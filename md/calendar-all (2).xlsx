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 sheetId="1" state="visible" r:id="rId3"/>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@tungh@hocmai.vn bài này báo lỗi đen màn hình và video không tải được
Đã giao cho tungh@hocmai.vn
Assigned to tungh@hocmai.vn
</t>
        </r>
      </text>
    </comment>
    <comment ref="B6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@tungh@hocmai.vn lỗi hình ảnh
Đã giao cho tungh@hocmai.vn
Assigned to tungh@hocmai.vn
</t>
        </r>
      </text>
    </comment>
    <comment ref="B10485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@tungh@hocmai.vn bài này báo lỗi đen màn hình và video không tải được
Đã giao cho tungh@hocmai.vn
Assigned to tungh@hocmai.vn
</t>
        </r>
      </text>
    </comment>
    <comment ref="B104853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@tungh@hocmai.vn lỗi hình ảnh
Đã giao cho tungh@hocmai.vn
Assigned to tungh@hocmai.vn
</t>
        </r>
      </text>
    </comment>
  </commentList>
</comments>
</file>

<file path=xl/sharedStrings.xml><?xml version="1.0" encoding="utf-8"?>
<sst xmlns="http://schemas.openxmlformats.org/spreadsheetml/2006/main" count="82" uniqueCount="40">
  <si>
    <t xml:space="preserve">?</t>
  </si>
  <si>
    <t xml:space="preserve">Lưu ý: Lịch xuất bản trùng với lịch Live</t>
  </si>
  <si>
    <t xml:space="preserve">HMO.Topuni 2027.Campaign Khóa học phễu</t>
  </si>
  <si>
    <t xml:space="preserve">Môn</t>
  </si>
  <si>
    <t xml:space="preserve">Mã buổi học</t>
  </si>
  <si>
    <t xml:space="preserve">Tên bài giảng</t>
  </si>
  <si>
    <t xml:space="preserve">Tên GV</t>
  </si>
  <si>
    <t xml:space="preserve"> Ngày live</t>
  </si>
  <si>
    <t xml:space="preserve">Thứ</t>
  </si>
  <si>
    <t xml:space="preserve">Khung giờ</t>
  </si>
  <si>
    <t xml:space="preserve">Tài liệu live 
(TL HS)</t>
  </si>
  <si>
    <t xml:space="preserve">Nhiệm vụ học tập</t>
  </si>
  <si>
    <t xml:space="preserve">Tài liệu lưu trữ</t>
  </si>
  <si>
    <t xml:space="preserve">BTV ND</t>
  </si>
  <si>
    <t xml:space="preserve">Trợ giảng</t>
  </si>
  <si>
    <t xml:space="preserve">Link sharepoint</t>
  </si>
  <si>
    <r>
      <rPr>
        <b val="true"/>
        <sz val="11"/>
        <color rgb="FFFFFFFF"/>
        <rFont val="Arial"/>
        <family val="0"/>
        <charset val="1"/>
      </rPr>
      <t xml:space="preserve">ID course
</t>
    </r>
    <r>
      <rPr>
        <b val="true"/>
        <sz val="11"/>
        <color rgb="FFFFFF00"/>
        <rFont val="Arial"/>
        <family val="0"/>
        <charset val="1"/>
      </rPr>
      <t xml:space="preserve">(</t>
    </r>
    <r>
      <rPr>
        <b val="true"/>
        <i val="true"/>
        <sz val="11"/>
        <color rgb="FFFFFF00"/>
        <rFont val="Arial"/>
        <family val="0"/>
        <charset val="1"/>
      </rPr>
      <t xml:space="preserve">TSA,HSA,V-ACT,TN THPT)</t>
    </r>
  </si>
  <si>
    <r>
      <rPr>
        <b val="true"/>
        <sz val="11"/>
        <color rgb="FFFFFFFF"/>
        <rFont val="Arial"/>
        <family val="0"/>
        <charset val="1"/>
      </rPr>
      <t xml:space="preserve">ID Bài giảng
</t>
    </r>
    <r>
      <rPr>
        <b val="true"/>
        <sz val="11"/>
        <color rgb="FFFFFF00"/>
        <rFont val="Arial"/>
        <family val="0"/>
        <charset val="1"/>
      </rPr>
      <t xml:space="preserve">(</t>
    </r>
    <r>
      <rPr>
        <b val="true"/>
        <i val="true"/>
        <sz val="11"/>
        <color rgb="FFFFFF00"/>
        <rFont val="Arial"/>
        <family val="0"/>
        <charset val="1"/>
      </rPr>
      <t xml:space="preserve">TSA,HSA,V-ACT,TN THPT)</t>
    </r>
  </si>
  <si>
    <r>
      <rPr>
        <b val="true"/>
        <sz val="11"/>
        <color rgb="FFFFFFFF"/>
        <rFont val="Arial"/>
        <family val="0"/>
        <charset val="1"/>
      </rPr>
      <t xml:space="preserve">ID package
(</t>
    </r>
    <r>
      <rPr>
        <b val="true"/>
        <i val="true"/>
        <sz val="11"/>
        <color rgb="FFFFFF00"/>
        <rFont val="Arial"/>
        <family val="0"/>
        <charset val="1"/>
      </rPr>
      <t xml:space="preserve">TSA,HSA,V-ACT,TN THPT)</t>
    </r>
  </si>
  <si>
    <t xml:space="preserve">Ngày XB </t>
  </si>
  <si>
    <t xml:space="preserve">Trạng thái</t>
  </si>
  <si>
    <t xml:space="preserve">BTV vận hành</t>
  </si>
  <si>
    <t xml:space="preserve">BACK</t>
  </si>
  <si>
    <t xml:space="preserve">Link record</t>
  </si>
  <si>
    <t xml:space="preserve">Link API</t>
  </si>
  <si>
    <t xml:space="preserve">Tháng live</t>
  </si>
  <si>
    <t xml:space="preserve">Email GV</t>
  </si>
  <si>
    <t xml:space="preserve">Email TG</t>
  </si>
  <si>
    <t xml:space="preserve">ID</t>
  </si>
  <si>
    <t xml:space="preserve">Combine</t>
  </si>
  <si>
    <t xml:space="preserve">Nền tảng</t>
  </si>
  <si>
    <t xml:space="preserve">TSA</t>
  </si>
  <si>
    <t xml:space="preserve">QDA</t>
  </si>
  <si>
    <t xml:space="preserve">HSA</t>
  </si>
  <si>
    <t xml:space="preserve">TN THPT</t>
  </si>
  <si>
    <t xml:space="preserve">V-ACT lớp V</t>
  </si>
  <si>
    <t xml:space="preserve">V-ACT lớp S</t>
  </si>
  <si>
    <t xml:space="preserve">Quy định vận hành</t>
  </si>
  <si>
    <t xml:space="preserve">Link Hocmai</t>
  </si>
  <si>
    <t xml:space="preserve">Link Drive</t>
  </si>
</sst>
</file>

<file path=xl/styles.xml><?xml version="1.0" encoding="utf-8"?>
<styleSheet xmlns="http://schemas.openxmlformats.org/spreadsheetml/2006/main">
  <numFmts count="7">
    <numFmt numFmtId="164" formatCode="General"/>
    <numFmt numFmtId="165" formatCode="dd\/mm\/yyyy"/>
    <numFmt numFmtId="166" formatCode="General"/>
    <numFmt numFmtId="167" formatCode="dd/mm/yyyy"/>
    <numFmt numFmtId="168" formatCode="d\/m"/>
    <numFmt numFmtId="169" formatCode="@"/>
    <numFmt numFmtId="170" formatCode="0.000000"/>
  </numFmts>
  <fonts count="23">
    <font>
      <sz val="12"/>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FF0000"/>
      <name val="Arial"/>
      <family val="0"/>
      <charset val="1"/>
    </font>
    <font>
      <sz val="11"/>
      <color rgb="FFFFFFFF"/>
      <name val="Arial"/>
      <family val="0"/>
      <charset val="1"/>
    </font>
    <font>
      <sz val="11"/>
      <color theme="1"/>
      <name val="Arial"/>
      <family val="0"/>
      <charset val="1"/>
    </font>
    <font>
      <b val="true"/>
      <u val="single"/>
      <sz val="11"/>
      <color rgb="FF1155CC"/>
      <name val="Arial"/>
      <family val="0"/>
      <charset val="1"/>
    </font>
    <font>
      <b val="true"/>
      <sz val="11"/>
      <color rgb="FFFFFF00"/>
      <name val="Arial"/>
      <family val="0"/>
      <charset val="1"/>
    </font>
    <font>
      <b val="true"/>
      <i val="true"/>
      <sz val="11"/>
      <color rgb="FFFFFF00"/>
      <name val="Arial"/>
      <family val="0"/>
      <charset val="1"/>
    </font>
    <font>
      <b val="true"/>
      <i val="true"/>
      <sz val="11"/>
      <color theme="1"/>
      <name val="Arial"/>
      <family val="0"/>
      <charset val="1"/>
    </font>
    <font>
      <i val="true"/>
      <sz val="11"/>
      <color rgb="FFFF0000"/>
      <name val="Arial"/>
      <family val="0"/>
      <charset val="1"/>
    </font>
    <font>
      <i val="true"/>
      <u val="single"/>
      <sz val="11"/>
      <color rgb="FF0000FF"/>
      <name val="Arial"/>
      <family val="0"/>
      <charset val="1"/>
    </font>
    <font>
      <i val="true"/>
      <sz val="11"/>
      <color theme="1"/>
      <name val="Arial"/>
      <family val="0"/>
      <charset val="1"/>
    </font>
    <font>
      <sz val="11"/>
      <color rgb="FF000000"/>
      <name val="Arial"/>
      <family val="0"/>
      <charset val="1"/>
    </font>
    <font>
      <sz val="10"/>
      <color rgb="FF000000"/>
      <name val="Arial"/>
      <family val="0"/>
      <charset val="1"/>
    </font>
    <font>
      <u val="single"/>
      <sz val="11"/>
      <color rgb="FF000000"/>
      <name val="Arial"/>
      <family val="0"/>
      <charset val="1"/>
    </font>
    <font>
      <sz val="11"/>
      <color rgb="FF1155CC"/>
      <name val="Arial"/>
      <family val="0"/>
      <charset val="1"/>
    </font>
    <font>
      <u val="single"/>
      <sz val="11"/>
      <color rgb="FF1155CC"/>
      <name val="Arial"/>
      <family val="0"/>
      <charset val="1"/>
    </font>
    <font>
      <u val="single"/>
      <sz val="11"/>
      <color rgb="FF000000"/>
      <name val="Cambria"/>
      <family val="0"/>
      <charset val="1"/>
    </font>
    <font>
      <b val="true"/>
      <i val="true"/>
      <sz val="11"/>
      <color rgb="FFFF0000"/>
      <name val="Arial"/>
      <family val="0"/>
      <charset val="1"/>
    </font>
    <font>
      <sz val="10"/>
      <name val="Arial"/>
      <family val="2"/>
    </font>
  </fonts>
  <fills count="9">
    <fill>
      <patternFill patternType="none"/>
    </fill>
    <fill>
      <patternFill patternType="gray125"/>
    </fill>
    <fill>
      <patternFill patternType="solid">
        <fgColor rgb="FFFFFFFF"/>
        <bgColor rgb="FFFFF2CC"/>
      </patternFill>
    </fill>
    <fill>
      <patternFill patternType="solid">
        <fgColor rgb="FF0C343D"/>
        <bgColor rgb="FF003300"/>
      </patternFill>
    </fill>
    <fill>
      <patternFill patternType="solid">
        <fgColor rgb="FF741B47"/>
        <bgColor rgb="FF800080"/>
      </patternFill>
    </fill>
    <fill>
      <patternFill patternType="solid">
        <fgColor rgb="FF980000"/>
        <bgColor rgb="FF800000"/>
      </patternFill>
    </fill>
    <fill>
      <patternFill patternType="solid">
        <fgColor rgb="FF46BDC6"/>
        <bgColor rgb="FF34A853"/>
      </patternFill>
    </fill>
    <fill>
      <patternFill patternType="solid">
        <fgColor rgb="FF0B5394"/>
        <bgColor rgb="FF1155CC"/>
      </patternFill>
    </fill>
    <fill>
      <patternFill patternType="solid">
        <fgColor rgb="FFFFFF00"/>
        <bgColor rgb="FFFFFF00"/>
      </patternFill>
    </fill>
  </fills>
  <borders count="2">
    <border diagonalUp="false" diagonalDown="false">
      <left/>
      <right/>
      <top/>
      <bottom/>
      <diagonal/>
    </border>
    <border diagonalUp="false" diagonalDown="false">
      <left style="thin">
        <color rgb="FF34A853"/>
      </left>
      <right style="thin">
        <color rgb="FF34A853"/>
      </right>
      <top style="thin">
        <color rgb="FF34A853"/>
      </top>
      <bottom style="thin">
        <color rgb="FF34A85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false" indent="0" shrinkToFit="false"/>
      <protection locked="true" hidden="false"/>
    </xf>
    <xf numFmtId="164" fontId="4" fillId="3" borderId="1" xfId="0" applyFont="true" applyBorder="true" applyAlignment="true" applyProtection="false">
      <alignment horizontal="general" vertical="center" textRotation="0" wrapText="false" indent="0" shrinkToFit="false"/>
      <protection locked="true" hidden="false"/>
    </xf>
    <xf numFmtId="165" fontId="4" fillId="3" borderId="1"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general" vertical="center" textRotation="0" wrapText="false" indent="0" shrinkToFit="false"/>
      <protection locked="true" hidden="false"/>
    </xf>
    <xf numFmtId="164" fontId="4" fillId="7" borderId="1" xfId="0" applyFont="true" applyBorder="true" applyAlignment="true" applyProtection="false">
      <alignment horizontal="left" vertical="center" textRotation="0" wrapText="fals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4" fillId="7"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left" vertical="center" textRotation="0" wrapText="false" indent="0" shrinkToFit="false"/>
      <protection locked="true" hidden="false"/>
    </xf>
    <xf numFmtId="164" fontId="15" fillId="2" borderId="1" xfId="0" applyFont="true" applyBorder="true" applyAlignment="true" applyProtection="false">
      <alignment horizontal="left" vertical="center" textRotation="0" wrapText="false" indent="0" shrinkToFit="false"/>
      <protection locked="true" hidden="false"/>
    </xf>
    <xf numFmtId="164" fontId="16" fillId="2" borderId="1" xfId="0" applyFont="true" applyBorder="true" applyAlignment="true" applyProtection="false">
      <alignment horizontal="left" vertical="center" textRotation="0" wrapText="false" indent="0" shrinkToFit="false"/>
      <protection locked="true" hidden="false"/>
    </xf>
    <xf numFmtId="164" fontId="15" fillId="2" borderId="1" xfId="0" applyFont="true" applyBorder="true" applyAlignment="true" applyProtection="false">
      <alignment horizontal="general" vertical="center" textRotation="0" wrapText="false" indent="0" shrinkToFit="false"/>
      <protection locked="true" hidden="false"/>
    </xf>
    <xf numFmtId="167" fontId="15" fillId="2" borderId="1" xfId="0" applyFont="true" applyBorder="true" applyAlignment="true" applyProtection="false">
      <alignment horizontal="center" vertical="center" textRotation="0" wrapText="false" indent="0" shrinkToFit="false"/>
      <protection locked="true" hidden="false"/>
    </xf>
    <xf numFmtId="166" fontId="15" fillId="2" borderId="1" xfId="0" applyFont="true" applyBorder="tru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left"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18" fillId="2" borderId="1" xfId="0" applyFont="true" applyBorder="true" applyAlignment="true" applyProtection="false">
      <alignment horizontal="left" vertical="center" textRotation="0" wrapText="false" indent="0" shrinkToFit="false"/>
      <protection locked="true" hidden="false"/>
    </xf>
    <xf numFmtId="164" fontId="19" fillId="2" borderId="1" xfId="0" applyFont="true" applyBorder="true" applyAlignment="true" applyProtection="false">
      <alignment horizontal="general" vertical="center" textRotation="0" wrapText="false" indent="0" shrinkToFit="false"/>
      <protection locked="true" hidden="false"/>
    </xf>
    <xf numFmtId="166" fontId="19"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right" vertical="center" textRotation="0" wrapText="false" indent="0" shrinkToFit="false"/>
      <protection locked="true" hidden="false"/>
    </xf>
    <xf numFmtId="166" fontId="7" fillId="2" borderId="1" xfId="0" applyFont="true" applyBorder="tru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left" vertical="center" textRotation="0" wrapText="true" indent="0" shrinkToFit="false"/>
      <protection locked="true" hidden="false"/>
    </xf>
    <xf numFmtId="168" fontId="17" fillId="2" borderId="1" xfId="0" applyFont="true" applyBorder="true" applyAlignment="true" applyProtection="false">
      <alignment horizontal="left" vertical="center" textRotation="0" wrapText="false" indent="0" shrinkToFit="false"/>
      <protection locked="true" hidden="false"/>
    </xf>
    <xf numFmtId="164" fontId="20" fillId="2" borderId="1" xfId="0" applyFont="true" applyBorder="true" applyAlignment="true" applyProtection="false">
      <alignment horizontal="general" vertical="center" textRotation="0" wrapText="fals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6" fontId="17" fillId="2" borderId="1" xfId="0" applyFont="true" applyBorder="true" applyAlignment="true" applyProtection="false">
      <alignment horizontal="center" vertical="center" textRotation="0" wrapText="false" indent="0" shrinkToFit="false"/>
      <protection locked="true" hidden="false"/>
    </xf>
    <xf numFmtId="164" fontId="16" fillId="2" borderId="1" xfId="0" applyFont="true" applyBorder="true" applyAlignment="true" applyProtection="false">
      <alignment horizontal="general" vertical="center" textRotation="0" wrapText="false" indent="0" shrinkToFit="false"/>
      <protection locked="true" hidden="false"/>
    </xf>
    <xf numFmtId="164" fontId="20" fillId="2" borderId="1" xfId="0" applyFont="true" applyBorder="true" applyAlignment="true" applyProtection="false">
      <alignment horizontal="center" vertical="bottom" textRotation="0" wrapText="false" indent="0" shrinkToFit="false"/>
      <protection locked="true" hidden="false"/>
    </xf>
    <xf numFmtId="164" fontId="20" fillId="2" borderId="1" xfId="0" applyFont="true" applyBorder="true" applyAlignment="true" applyProtection="false">
      <alignment horizontal="left" vertical="center" textRotation="0" wrapText="false" indent="0" shrinkToFit="false"/>
      <protection locked="true" hidden="false"/>
    </xf>
    <xf numFmtId="168" fontId="15" fillId="2" borderId="1" xfId="0" applyFont="true" applyBorder="true" applyAlignment="true" applyProtection="false">
      <alignment horizontal="left" vertical="center" textRotation="0" wrapText="false" indent="0" shrinkToFit="false"/>
      <protection locked="true" hidden="false"/>
    </xf>
    <xf numFmtId="164" fontId="15" fillId="2" borderId="1" xfId="0" applyFont="true" applyBorder="true" applyAlignment="true" applyProtection="false">
      <alignment horizontal="center" vertical="bottom" textRotation="0" wrapText="false" indent="0" shrinkToFit="false"/>
      <protection locked="true" hidden="false"/>
    </xf>
    <xf numFmtId="164" fontId="21" fillId="2" borderId="1" xfId="0" applyFont="true" applyBorder="true" applyAlignment="true" applyProtection="false">
      <alignment horizontal="general" vertical="center" textRotation="0" wrapText="false" indent="0" shrinkToFit="false"/>
      <protection locked="true" hidden="false"/>
    </xf>
    <xf numFmtId="164" fontId="21" fillId="2" borderId="1" xfId="0" applyFont="true" applyBorder="true" applyAlignment="true" applyProtection="false">
      <alignment horizontal="left" vertical="center" textRotation="0" wrapText="false" indent="0" shrinkToFit="false"/>
      <protection locked="true" hidden="false"/>
    </xf>
    <xf numFmtId="166" fontId="21" fillId="2" borderId="1" xfId="0" applyFont="true" applyBorder="true" applyAlignment="true" applyProtection="false">
      <alignment horizontal="center" vertical="center" textRotation="0" wrapText="false" indent="0" shrinkToFit="false"/>
      <protection locked="true" hidden="false"/>
    </xf>
    <xf numFmtId="164" fontId="21" fillId="2"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left" vertical="bottom" textRotation="0" wrapText="false" indent="0" shrinkToFit="false"/>
      <protection locked="true" hidden="false"/>
    </xf>
    <xf numFmtId="164" fontId="20" fillId="2" borderId="1" xfId="0" applyFont="true" applyBorder="true" applyAlignment="true" applyProtection="false">
      <alignment horizontal="general" vertical="bottom" textRotation="0" wrapText="false" indent="0" shrinkToFit="false"/>
      <protection locked="true" hidden="false"/>
    </xf>
    <xf numFmtId="167" fontId="15" fillId="2" borderId="1" xfId="0" applyFont="true" applyBorder="true" applyAlignment="true" applyProtection="false">
      <alignment horizontal="center" vertical="bottom" textRotation="0" wrapText="false" indent="0" shrinkToFit="false"/>
      <protection locked="true" hidden="false"/>
    </xf>
    <xf numFmtId="164" fontId="15" fillId="2" borderId="1" xfId="0" applyFont="true" applyBorder="true" applyAlignment="true" applyProtection="false">
      <alignment horizontal="general" vertical="bottom" textRotation="0" wrapText="false" indent="0" shrinkToFit="false"/>
      <protection locked="true" hidden="false"/>
    </xf>
    <xf numFmtId="169" fontId="15" fillId="2" borderId="1" xfId="0" applyFont="true" applyBorder="true" applyAlignment="true" applyProtection="false">
      <alignment horizontal="center" vertical="center" textRotation="0" wrapText="false" indent="0" shrinkToFit="false"/>
      <protection locked="true" hidden="false"/>
    </xf>
    <xf numFmtId="170" fontId="15" fillId="2" borderId="1" xfId="0" applyFont="true" applyBorder="true" applyAlignment="true" applyProtection="false">
      <alignment horizontal="center" vertical="bottom" textRotation="0" wrapText="false" indent="0" shrinkToFit="false"/>
      <protection locked="true" hidden="false"/>
    </xf>
    <xf numFmtId="166" fontId="7" fillId="2" borderId="1" xfId="0" applyFont="true" applyBorder="true" applyAlignment="true" applyProtection="false">
      <alignment horizontal="left" vertical="center" textRotation="0" wrapText="false" indent="0" shrinkToFit="false"/>
      <protection locked="true" hidden="false"/>
    </xf>
    <xf numFmtId="169" fontId="17" fillId="2" borderId="1" xfId="0" applyFont="true" applyBorder="true" applyAlignment="true" applyProtection="false">
      <alignment horizontal="center" vertical="center" textRotation="0" wrapText="false" indent="0" shrinkToFit="false"/>
      <protection locked="true" hidden="false"/>
    </xf>
    <xf numFmtId="169" fontId="20" fillId="2" borderId="1" xfId="0" applyFont="true" applyBorder="true" applyAlignment="true" applyProtection="false">
      <alignment horizontal="center" vertical="bottom" textRotation="0" wrapText="false" indent="0" shrinkToFit="false"/>
      <protection locked="true" hidden="false"/>
    </xf>
    <xf numFmtId="169" fontId="15" fillId="2" borderId="1" xfId="0" applyFont="true" applyBorder="true" applyAlignment="true" applyProtection="false">
      <alignment horizontal="center" vertical="bottom" textRotation="0" wrapText="false" indent="0" shrinkToFit="false"/>
      <protection locked="true" hidden="false"/>
    </xf>
    <xf numFmtId="166" fontId="20" fillId="2" borderId="1" xfId="0" applyFont="true" applyBorder="true" applyAlignment="true" applyProtection="false">
      <alignment horizontal="center" vertical="bottom" textRotation="0" wrapText="false" indent="0" shrinkToFit="false"/>
      <protection locked="true" hidden="false"/>
    </xf>
    <xf numFmtId="164" fontId="15" fillId="8" borderId="1" xfId="0" applyFont="true" applyBorder="true" applyAlignment="true" applyProtection="false">
      <alignment horizontal="left" vertical="center" textRotation="0" wrapText="false" indent="0" shrinkToFit="false"/>
      <protection locked="true" hidden="false"/>
    </xf>
    <xf numFmtId="169" fontId="17" fillId="2" borderId="1" xfId="0" applyFont="true" applyBorder="true" applyAlignment="true" applyProtection="false">
      <alignment horizontal="center" vertical="bottom" textRotation="0" wrapText="false" indent="0" shrinkToFit="false"/>
      <protection locked="true" hidden="false"/>
    </xf>
    <xf numFmtId="166" fontId="7" fillId="2" borderId="1"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left" vertical="center" textRotation="0" wrapText="false" indent="0" shrinkToFit="false"/>
      <protection locked="true" hidden="false"/>
    </xf>
    <xf numFmtId="164" fontId="16"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7" fontId="15" fillId="2"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false" applyAlignment="true" applyProtection="false">
      <alignment horizontal="left"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center"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2"/>
        <color rgb="FF000000"/>
        <sz val="12"/>
      </font>
      <fill>
        <patternFill>
          <bgColor rgb="FFB7E1CD"/>
        </patternFill>
      </fill>
    </dxf>
    <dxf>
      <font>
        <name val="Calibri"/>
        <charset val="1"/>
        <family val="2"/>
        <b val="1"/>
        <i val="1"/>
        <color rgb="FFFF0000"/>
        <sz val="12"/>
      </font>
      <fill>
        <patternFill>
          <bgColor rgb="FFFFF2CC"/>
        </patternFill>
      </fill>
    </dxf>
    <dxf>
      <font>
        <name val="Calibri"/>
        <charset val="1"/>
        <family val="2"/>
        <color rgb="FF000000"/>
        <sz val="12"/>
      </font>
      <fill>
        <patternFill>
          <bgColor rgb="FFFFFF00"/>
        </patternFill>
      </fill>
    </dxf>
  </dxf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FF2CC"/>
      <rgbColor rgb="FFCCFFFF"/>
      <rgbColor rgb="FF741B47"/>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FCC99"/>
      <rgbColor rgb="FF3366FF"/>
      <rgbColor rgb="FF46BDC6"/>
      <rgbColor rgb="FF99CC00"/>
      <rgbColor rgb="FFFFCC00"/>
      <rgbColor rgb="FFFF9900"/>
      <rgbColor rgb="FFFF6600"/>
      <rgbColor rgb="FF666699"/>
      <rgbColor rgb="FF969696"/>
      <rgbColor rgb="FF0C343D"/>
      <rgbColor rgb="FF34A853"/>
      <rgbColor rgb="FF003300"/>
      <rgbColor rgb="FF333300"/>
      <rgbColor rgb="FF993300"/>
      <rgbColor rgb="FF993366"/>
      <rgbColor rgb="FF0B539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Td7OcU1SqtvqgnAq1-eGju52AentqGw9cdXjUflMUSg/edit?gid=1826424214" TargetMode="External"/><Relationship Id="rId3" Type="http://schemas.openxmlformats.org/officeDocument/2006/relationships/hyperlink" Target="https://drive.google.com/drive/folders/1CQPgQVK2fy9V1LbV-GJ630IJMd2GGkUc" TargetMode="External"/><Relationship Id="rId4" Type="http://schemas.openxmlformats.org/officeDocument/2006/relationships/hyperlink" Target="https://hocmai.vn/mod/scorm/view_file.php?id=179705" TargetMode="External"/><Relationship Id="rId5" Type="http://schemas.openxmlformats.org/officeDocument/2006/relationships/hyperlink" Target="https://hocmai.vn/mod/scorm/view_file.php?id=179746" TargetMode="External"/><Relationship Id="rId6" Type="http://schemas.openxmlformats.org/officeDocument/2006/relationships/hyperlink" Target="https://drive.google.com/drive/folders/1pooVkDuKbZux71nx9JQOPCtMkkO-NiVH?usp=drive_link" TargetMode="External"/><Relationship Id="rId7" Type="http://schemas.openxmlformats.org/officeDocument/2006/relationships/hyperlink" Target="https://hocmai.sharepoint.com/Education_Development/Lists/San_xuat_video/DispForm.aspx?ID=12140" TargetMode="External"/><Relationship Id="rId8" Type="http://schemas.openxmlformats.org/officeDocument/2006/relationships/hyperlink" Target="https://s3.evgcloud.net/livestream/video/mp4/2026/04/04/336_3367b21041d85e947b681e0b1d2ab785e71_RELAY-20260404195951-cv.mp4" TargetMode="External"/><Relationship Id="rId9" Type="http://schemas.openxmlformats.org/officeDocument/2006/relationships/hyperlink" Target="https://hocmai.vn/mod/scorm/view_file.php?id=179750" TargetMode="External"/><Relationship Id="rId10" Type="http://schemas.openxmlformats.org/officeDocument/2006/relationships/hyperlink" Target="https://hocmai.vn/mod/scorm/view_file.php?id=179806" TargetMode="External"/><Relationship Id="rId11" Type="http://schemas.openxmlformats.org/officeDocument/2006/relationships/hyperlink" Target="https://drive.google.com/drive/folders/17Ns1XGnRDURERaThSuyC4O983qcqrHni?usp=drive_link" TargetMode="External"/><Relationship Id="rId12" Type="http://schemas.openxmlformats.org/officeDocument/2006/relationships/hyperlink" Target="https://hocmai.sharepoint.com/Education_Development/Lists/San_xuat_video/DispForm.aspx?ID=12141" TargetMode="External"/><Relationship Id="rId13" Type="http://schemas.openxmlformats.org/officeDocument/2006/relationships/hyperlink" Target="https://s3.evgcloud.net/livestream/video/mp4/2026/04/08/336_3367b21041d85e947b681e0b1d2ab785e71_RELAY-20260408201630-cv.mp4" TargetMode="External"/><Relationship Id="rId14" Type="http://schemas.openxmlformats.org/officeDocument/2006/relationships/hyperlink" Target="https://hocmai.vn/mod/scorm/view_file.php?id=179810" TargetMode="External"/><Relationship Id="rId15" Type="http://schemas.openxmlformats.org/officeDocument/2006/relationships/hyperlink" Target="https://hocmai.vn/mod/scorm/view_file.php?id=179848" TargetMode="External"/><Relationship Id="rId16" Type="http://schemas.openxmlformats.org/officeDocument/2006/relationships/hyperlink" Target="https://drive.google.com/drive/folders/1xgHxIawL2ZhDklUCtuAFi7FxgJkjde7U?usp=drive_link" TargetMode="External"/><Relationship Id="rId17" Type="http://schemas.openxmlformats.org/officeDocument/2006/relationships/hyperlink" Target="https://hocmai.sharepoint.com/Education_Development/Lists/San_xuat_video/DispForm.aspx?ID=12142" TargetMode="External"/><Relationship Id="rId18" Type="http://schemas.openxmlformats.org/officeDocument/2006/relationships/hyperlink" Target="https://s3.evgcloud.net/livestream/video/mp4/2026/04/11/336_3367b21041d85e947b681e0b1d2ab785e71_RELAY-20260411195610-cv.mp4" TargetMode="External"/><Relationship Id="rId19" Type="http://schemas.openxmlformats.org/officeDocument/2006/relationships/hyperlink" Target="https://hocmai.vn/mod/scorm/view_file.php?id=179871" TargetMode="External"/><Relationship Id="rId20" Type="http://schemas.openxmlformats.org/officeDocument/2006/relationships/hyperlink" Target="https://hocmai.vn/mod/scorm/view_file.php?id=179887" TargetMode="External"/><Relationship Id="rId21" Type="http://schemas.openxmlformats.org/officeDocument/2006/relationships/hyperlink" Target="https://drive.google.com/drive/folders/1d3LM0qCEksmEq7FP7DMglByLFRM_pOyE?usp=drive_link" TargetMode="External"/><Relationship Id="rId22" Type="http://schemas.openxmlformats.org/officeDocument/2006/relationships/hyperlink" Target="https://hocmai.sharepoint.com/Education_Development/Lists/San_xuat_video/DispForm.aspx?ID=12143" TargetMode="External"/><Relationship Id="rId23" Type="http://schemas.openxmlformats.org/officeDocument/2006/relationships/hyperlink" Target="https://s3.evgcloud.net/livestream/video/mp4/2026/04/15/336_336735e1943dfd144858558d92cc3a5e700_RELAY-20260415195526-cv.mp4" TargetMode="External"/><Relationship Id="rId24" Type="http://schemas.openxmlformats.org/officeDocument/2006/relationships/hyperlink" Target="https://hocmai.vn/mod/scorm/view_file.php?id=179894" TargetMode="External"/><Relationship Id="rId25" Type="http://schemas.openxmlformats.org/officeDocument/2006/relationships/hyperlink" Target="https://hocmai.vn/mod/scorm/view_file.php?id=179931" TargetMode="External"/><Relationship Id="rId26" Type="http://schemas.openxmlformats.org/officeDocument/2006/relationships/hyperlink" Target="https://drive.google.com/drive/folders/1GS701cWItnDxX4jwqGOpGUWAv3aPv2xC?usp=drive_link" TargetMode="External"/><Relationship Id="rId27" Type="http://schemas.openxmlformats.org/officeDocument/2006/relationships/hyperlink" Target="https://hocmai.sharepoint.com/Education_Development/Lists/San_xuat_video/DispForm.aspx?ID=12144" TargetMode="External"/><Relationship Id="rId28" Type="http://schemas.openxmlformats.org/officeDocument/2006/relationships/hyperlink" Target="https://s3.evgcloud.net/livestream/video/mp4/2026/04/18/336_33675f560e9966149c5bb6da16e6905fa9f_RELAY-20260418195744-cv.mp4" TargetMode="External"/><Relationship Id="rId29" Type="http://schemas.openxmlformats.org/officeDocument/2006/relationships/hyperlink" Target="https://hocmai.vn/mod/scorm/view_file.php?inpopup=true&amp;id=179950" TargetMode="External"/><Relationship Id="rId30" Type="http://schemas.openxmlformats.org/officeDocument/2006/relationships/hyperlink" Target="https://hocmai.vn/mod/scorm/view_file.php?inpopup=true&amp;id=179951" TargetMode="External"/><Relationship Id="rId31" Type="http://schemas.openxmlformats.org/officeDocument/2006/relationships/hyperlink" Target="https://drive.google.com/file/d/1mqz0vNOCcxBMRRvZ1gBnEo11x1iuIBUR/view?usp=drive_link" TargetMode="External"/><Relationship Id="rId32" Type="http://schemas.openxmlformats.org/officeDocument/2006/relationships/hyperlink" Target="https://hocmai.sharepoint.com/Education_Development/Lists/San_xuat_video/DispForm.aspx?ID=12188" TargetMode="External"/><Relationship Id="rId33" Type="http://schemas.openxmlformats.org/officeDocument/2006/relationships/hyperlink" Target="https://hocmai.vn/course/view.php?id=3313" TargetMode="External"/><Relationship Id="rId34" Type="http://schemas.openxmlformats.org/officeDocument/2006/relationships/hyperlink" Target="https://s3.evgcloud.net/livestream/video/mp4/2026/04/22/336_336c10bed572efe47edb6c03e1f78d13d85_RELAY-20260421213059-cv.mp4" TargetMode="External"/><Relationship Id="rId35" Type="http://schemas.openxmlformats.org/officeDocument/2006/relationships/hyperlink" Target="https://hocmai.vn/mod/scorm/view_file.php?id=179920" TargetMode="External"/><Relationship Id="rId36" Type="http://schemas.openxmlformats.org/officeDocument/2006/relationships/hyperlink" Target="https://hocmai.vn/mod/scorm/view_file.php?id=179955" TargetMode="External"/><Relationship Id="rId37" Type="http://schemas.openxmlformats.org/officeDocument/2006/relationships/hyperlink" Target="https://drive.google.com/drive/folders/1DbLJ9b34GfUr-wesgEFZKBUqvYDCFa_M?usp=drive_link" TargetMode="External"/><Relationship Id="rId38" Type="http://schemas.openxmlformats.org/officeDocument/2006/relationships/hyperlink" Target="https://hocmai.sharepoint.com/Education_Development/Lists/San_xuat_video/DispForm.aspx?ID=12145" TargetMode="External"/><Relationship Id="rId39" Type="http://schemas.openxmlformats.org/officeDocument/2006/relationships/hyperlink" Target="https://s3.evgcloud.net/livestream/video/mp4/2026/04/22/336_33675f560e9966149c5bb6da16e6905fa9f_RELAY-20260422195858-cv.mp4" TargetMode="External"/><Relationship Id="rId40" Type="http://schemas.openxmlformats.org/officeDocument/2006/relationships/hyperlink" Target="https://hocmai.vn/mod/scorm/view_file.php?id=180003" TargetMode="External"/><Relationship Id="rId41" Type="http://schemas.openxmlformats.org/officeDocument/2006/relationships/hyperlink" Target="https://hocmai.vn/mod/scorm/view_file.php?id=180011" TargetMode="External"/><Relationship Id="rId42" Type="http://schemas.openxmlformats.org/officeDocument/2006/relationships/hyperlink" Target="https://drive.google.com/drive/folders/13bqChLqEsjd6J_9-2kM5bpISg1_-BJHL?usp=drive_link" TargetMode="External"/><Relationship Id="rId43" Type="http://schemas.openxmlformats.org/officeDocument/2006/relationships/hyperlink" Target="https://hocmai.sharepoint.com/Education_Development/Lists/San_xuat_video/DispForm.aspx?ID=12146" TargetMode="External"/><Relationship Id="rId44" Type="http://schemas.openxmlformats.org/officeDocument/2006/relationships/hyperlink" Target="https://s3.evgcloud.net/livestream/video/mp4/2026/04/25/336_33675f560e9966149c5bb6da16e6905fa9f_RELAY-20260425195542-cv.mp4" TargetMode="External"/><Relationship Id="rId45" Type="http://schemas.openxmlformats.org/officeDocument/2006/relationships/hyperlink" Target="https://hocmai.vn/mod/scorm/view_file.php?inpopup=true&amp;id=180033" TargetMode="External"/><Relationship Id="rId46" Type="http://schemas.openxmlformats.org/officeDocument/2006/relationships/hyperlink" Target="https://hocmai.vn/mod/scorm/view_file.php?inpopup=true&amp;id=180040" TargetMode="External"/><Relationship Id="rId47" Type="http://schemas.openxmlformats.org/officeDocument/2006/relationships/hyperlink" Target="https://hocmai.sharepoint.com/Education_Development/Lists/San_xuat_video/DispForm.aspx?ID=12189" TargetMode="External"/><Relationship Id="rId48" Type="http://schemas.openxmlformats.org/officeDocument/2006/relationships/hyperlink" Target="https://hocmai.vn/course/view.php?id=3313" TargetMode="External"/><Relationship Id="rId49" Type="http://schemas.openxmlformats.org/officeDocument/2006/relationships/hyperlink" Target="https://s3.evgcloud.net/livestream/video/mp4/2026/04/29/336_33675f560e9966149c5bb6da16e6905fa9f_RELAY-20260428212501-cv.mp4" TargetMode="External"/><Relationship Id="rId50" Type="http://schemas.openxmlformats.org/officeDocument/2006/relationships/hyperlink" Target="https://hocmai.vn/mod/scorm/view_file.php?id=180020" TargetMode="External"/><Relationship Id="rId51" Type="http://schemas.openxmlformats.org/officeDocument/2006/relationships/hyperlink" Target="https://hocmai.vn/mod/scorm/view_file.php?id=180027" TargetMode="External"/><Relationship Id="rId52" Type="http://schemas.openxmlformats.org/officeDocument/2006/relationships/hyperlink" Target="https://drive.google.com/drive/folders/1SrhX0P8LFpuSfjj8sL52PlP7AguTZgoW?usp=drive_link" TargetMode="External"/><Relationship Id="rId53" Type="http://schemas.openxmlformats.org/officeDocument/2006/relationships/hyperlink" Target="https://hocmai.sharepoint.com/Education_Development/Lists/San_xuat_video/DispForm.aspx?ID=12147" TargetMode="External"/><Relationship Id="rId54" Type="http://schemas.openxmlformats.org/officeDocument/2006/relationships/hyperlink" Target="https://s3.evgcloud.net/livestream/video/mp4/2026/04/29/336_33675f560e9966149c5bb6da16e6905fa9f_RELAY-20260429195834-cv.mp4" TargetMode="External"/><Relationship Id="rId55" Type="http://schemas.openxmlformats.org/officeDocument/2006/relationships/hyperlink" Target="https://hocmai.vn/mod/scorm/view_file.php?id=180049" TargetMode="External"/><Relationship Id="rId56" Type="http://schemas.openxmlformats.org/officeDocument/2006/relationships/hyperlink" Target="https://hocmai.vn/mod/scorm/view_file.php?id=180029" TargetMode="External"/><Relationship Id="rId57" Type="http://schemas.openxmlformats.org/officeDocument/2006/relationships/hyperlink" Target="https://drive.google.com/drive/folders/1KTWBEmjJ46Mw-BVWSU_L-xmKo5r5FG35?usp=drive_link" TargetMode="External"/><Relationship Id="rId58" Type="http://schemas.openxmlformats.org/officeDocument/2006/relationships/hyperlink" Target="https://hocmai.sharepoint.com/Education_Development/Lists/San_xuat_video/DispForm.aspx?ID=12148" TargetMode="External"/><Relationship Id="rId59" Type="http://schemas.openxmlformats.org/officeDocument/2006/relationships/hyperlink" Target="https://hocmai.vn/mod/scorm/view_file.php?inpopup=true&amp;id=180066" TargetMode="External"/><Relationship Id="rId60" Type="http://schemas.openxmlformats.org/officeDocument/2006/relationships/hyperlink" Target="https://hocmai.vn/mod/scorm/view_file.php?inpopup=true&amp;id=180078" TargetMode="External"/><Relationship Id="rId61" Type="http://schemas.openxmlformats.org/officeDocument/2006/relationships/hyperlink" Target="https://hocmai.sharepoint.com/Education_Development/Lists/San_xuat_video/DispForm.aspx?ID=12190" TargetMode="External"/><Relationship Id="rId62" Type="http://schemas.openxmlformats.org/officeDocument/2006/relationships/hyperlink" Target="https://hocmai.vn/course/view.php?id=3313" TargetMode="External"/><Relationship Id="rId63" Type="http://schemas.openxmlformats.org/officeDocument/2006/relationships/hyperlink" Target="https://s3.evgcloud.net/livestream/video/mp4/2026/05/05/336_33675f560e9966149c5bb6da16e6905fa9f_RELAY-20260505205417-cv.mp4" TargetMode="External"/><Relationship Id="rId64" Type="http://schemas.openxmlformats.org/officeDocument/2006/relationships/hyperlink" Target="https://hocmai.vn/mod/scorm/view_file.php?id=180080" TargetMode="External"/><Relationship Id="rId65" Type="http://schemas.openxmlformats.org/officeDocument/2006/relationships/hyperlink" Target="https://hocmai.vn/mod/scorm/view_file.php?id=180081" TargetMode="External"/><Relationship Id="rId66" Type="http://schemas.openxmlformats.org/officeDocument/2006/relationships/hyperlink" Target="https://drive.google.com/drive/folders/1TQSr2qDRiDocCiTniIcIV9cdzinOy8bF?usp=drive_link" TargetMode="External"/><Relationship Id="rId67" Type="http://schemas.openxmlformats.org/officeDocument/2006/relationships/hyperlink" Target="https://hocmai.sharepoint.com/Education_Development/Lists/San_xuat_video/DispForm.aspx?ID=12149" TargetMode="External"/><Relationship Id="rId68" Type="http://schemas.openxmlformats.org/officeDocument/2006/relationships/hyperlink" Target="https://hocmai.vn/mod/scorm/view_file.php?id=180091" TargetMode="External"/><Relationship Id="rId69" Type="http://schemas.openxmlformats.org/officeDocument/2006/relationships/hyperlink" Target="https://hocmai.vn/mod/scorm/view_file.php?id=180104" TargetMode="External"/><Relationship Id="rId70" Type="http://schemas.openxmlformats.org/officeDocument/2006/relationships/hyperlink" Target="https://drive.google.com/drive/folders/1W1jJMdZQDFulPLSl9-J-_6wx57IlaYWG?usp=drive_link" TargetMode="External"/><Relationship Id="rId71" Type="http://schemas.openxmlformats.org/officeDocument/2006/relationships/hyperlink" Target="https://hocmai.sharepoint.com/Education_Development/Lists/San_xuat_video/DispForm.aspx?ID=12150" TargetMode="External"/><Relationship Id="rId72" Type="http://schemas.openxmlformats.org/officeDocument/2006/relationships/hyperlink" Target="https://hocmai.vn/mod/scorm/view_file.php?inpopup=true&amp;id=180111" TargetMode="External"/><Relationship Id="rId73" Type="http://schemas.openxmlformats.org/officeDocument/2006/relationships/hyperlink" Target="https://hocmai.vn/mod/scorm/view_file.php?inpopup=true&amp;id=180115" TargetMode="External"/><Relationship Id="rId74" Type="http://schemas.openxmlformats.org/officeDocument/2006/relationships/hyperlink" Target="https://hocmai.sharepoint.com/Education_Development/Lists/San_xuat_video/DispForm.aspx?ID=12191" TargetMode="External"/><Relationship Id="rId75" Type="http://schemas.openxmlformats.org/officeDocument/2006/relationships/hyperlink" Target="https://hocmai.vn/course/view.php?id=3313" TargetMode="External"/><Relationship Id="rId76" Type="http://schemas.openxmlformats.org/officeDocument/2006/relationships/hyperlink" Target="https://hocmai.vn/mod/scorm/view_file.php?id=180098" TargetMode="External"/><Relationship Id="rId77" Type="http://schemas.openxmlformats.org/officeDocument/2006/relationships/hyperlink" Target="https://hocmai.vn/mod/scorm/view_file.php?id=180120" TargetMode="External"/><Relationship Id="rId78" Type="http://schemas.openxmlformats.org/officeDocument/2006/relationships/hyperlink" Target="https://drive.google.com/drive/folders/1G5v6zUww2xBeXLEAWV2j3PEkldm5KfcR?usp=drive_link" TargetMode="External"/><Relationship Id="rId79" Type="http://schemas.openxmlformats.org/officeDocument/2006/relationships/hyperlink" Target="https://hocmai.sharepoint.com/Education_Development/Lists/San_xuat_video/DispForm.aspx?ID=12151" TargetMode="External"/><Relationship Id="rId80" Type="http://schemas.openxmlformats.org/officeDocument/2006/relationships/hyperlink" Target="https://hocmai.vn/mod/scorm/view_file.php?id=180122" TargetMode="External"/><Relationship Id="rId81" Type="http://schemas.openxmlformats.org/officeDocument/2006/relationships/hyperlink" Target="https://hocmai.vn/mod/scorm/view_file.php?id=180132" TargetMode="External"/><Relationship Id="rId82" Type="http://schemas.openxmlformats.org/officeDocument/2006/relationships/hyperlink" Target="https://drive.google.com/drive/folders/1V9w_qNbfN-N6v0fQ5ZWj5bS9UxNAmfTD?usp=drive_link" TargetMode="External"/><Relationship Id="rId83" Type="http://schemas.openxmlformats.org/officeDocument/2006/relationships/hyperlink" Target="https://hocmai.sharepoint.com/Education_Development/Lists/San_xuat_video/DispForm.aspx?ID=12152" TargetMode="External"/><Relationship Id="rId84" Type="http://schemas.openxmlformats.org/officeDocument/2006/relationships/hyperlink" Target="https://hocmai.vn/mod/scorm/view_file.php?inpopup=true&amp;id=180143" TargetMode="External"/><Relationship Id="rId85" Type="http://schemas.openxmlformats.org/officeDocument/2006/relationships/hyperlink" Target="https://hocmai.vn/mod/scorm/view_file.php?inpopup=true&amp;id=180134" TargetMode="External"/><Relationship Id="rId86" Type="http://schemas.openxmlformats.org/officeDocument/2006/relationships/hyperlink" Target="https://hocmai.sharepoint.com/Education_Development/Lists/San_xuat_video/DispForm.aspx?ID=12192" TargetMode="External"/><Relationship Id="rId87" Type="http://schemas.openxmlformats.org/officeDocument/2006/relationships/hyperlink" Target="https://hocmai.vn/course/view.php?id=3313" TargetMode="External"/><Relationship Id="rId88" Type="http://schemas.openxmlformats.org/officeDocument/2006/relationships/hyperlink" Target="https://hocmai.vn/mod/scorm/view_file.php?id=180138" TargetMode="External"/><Relationship Id="rId89" Type="http://schemas.openxmlformats.org/officeDocument/2006/relationships/hyperlink" Target="https://hocmai.vn/mod/scorm/view_file.php?id=180166" TargetMode="External"/><Relationship Id="rId90" Type="http://schemas.openxmlformats.org/officeDocument/2006/relationships/hyperlink" Target="https://drive.google.com/drive/folders/1Ycl6619I1qcaUCAjfB4uIc4j-T--DDvS?usp=drive_link" TargetMode="External"/><Relationship Id="rId91" Type="http://schemas.openxmlformats.org/officeDocument/2006/relationships/hyperlink" Target="https://hocmai.sharepoint.com/Education_Development/Lists/San_xuat_video/DispForm.aspx?ID=12153" TargetMode="External"/><Relationship Id="rId92" Type="http://schemas.openxmlformats.org/officeDocument/2006/relationships/hyperlink" Target="https://hocmai.vn/mod/scorm/view_file.php?id=180168" TargetMode="External"/><Relationship Id="rId93" Type="http://schemas.openxmlformats.org/officeDocument/2006/relationships/hyperlink" Target="https://hocmai.vn/mod/scorm/view_file.php?id=180176" TargetMode="External"/><Relationship Id="rId94" Type="http://schemas.openxmlformats.org/officeDocument/2006/relationships/hyperlink" Target="https://drive.google.com/drive/folders/1uoNC8cTvCsk7_S3JvgJznQIbEBC-Iyb8?usp=drive_link" TargetMode="External"/><Relationship Id="rId95" Type="http://schemas.openxmlformats.org/officeDocument/2006/relationships/hyperlink" Target="https://hocmai.sharepoint.com/Education_Development/Lists/San_xuat_video/DispForm.aspx?ID=12154" TargetMode="External"/><Relationship Id="rId96" Type="http://schemas.openxmlformats.org/officeDocument/2006/relationships/hyperlink" Target="https://hocmai.vn/mod/scorm/view_file.php?id=180172" TargetMode="External"/><Relationship Id="rId97" Type="http://schemas.openxmlformats.org/officeDocument/2006/relationships/hyperlink" Target="https://hocmai.vn/mod/scorm/view_file.php?id=180178" TargetMode="External"/><Relationship Id="rId98" Type="http://schemas.openxmlformats.org/officeDocument/2006/relationships/hyperlink" Target="https://drive.google.com/drive/folders/1uoNC8cTvCsk7_S3JvgJznQIbEBC-Iyb8?usp=drive_link" TargetMode="External"/><Relationship Id="rId99" Type="http://schemas.openxmlformats.org/officeDocument/2006/relationships/hyperlink" Target="https://hocmai.sharepoint.com/Education_Development/Lists/San_xuat_video/DispForm.aspx?ID=12154" TargetMode="External"/><Relationship Id="rId100" Type="http://schemas.openxmlformats.org/officeDocument/2006/relationships/hyperlink" Target="https://hocmai.vn/mod/scorm/view_file.php?id=180173" TargetMode="External"/><Relationship Id="rId101" Type="http://schemas.openxmlformats.org/officeDocument/2006/relationships/hyperlink" Target="https://hocmai.vn/mod/scorm/view_file.php?id=180180" TargetMode="External"/><Relationship Id="rId102" Type="http://schemas.openxmlformats.org/officeDocument/2006/relationships/hyperlink" Target="https://drive.google.com/drive/folders/1bmKFOGgfd0V_nVx289MN28FE4oYeOmCT?usp=drive_link" TargetMode="External"/><Relationship Id="rId103" Type="http://schemas.openxmlformats.org/officeDocument/2006/relationships/hyperlink" Target="https://hocmai.sharepoint.com/Education_Development/Lists/San_xuat_video/DispForm.aspx?ID=12155" TargetMode="External"/><Relationship Id="rId104" Type="http://schemas.openxmlformats.org/officeDocument/2006/relationships/hyperlink" Target="https://hocmai.vn/mod/scorm/view_file.php?inpopup=true&amp;id=180185" TargetMode="External"/><Relationship Id="rId105" Type="http://schemas.openxmlformats.org/officeDocument/2006/relationships/hyperlink" Target="https://hocmai.vn/mod/scorm/view_file.php?inpopup=true&amp;id=180186" TargetMode="External"/><Relationship Id="rId106" Type="http://schemas.openxmlformats.org/officeDocument/2006/relationships/hyperlink" Target="https://hocmai.sharepoint.com/Education_Development/Lists/San_xuat_video/DispForm.aspx?ID=12193" TargetMode="External"/><Relationship Id="rId107" Type="http://schemas.openxmlformats.org/officeDocument/2006/relationships/hyperlink" Target="https://hocmai.vn/course/view.php?id=3313" TargetMode="External"/><Relationship Id="rId108" Type="http://schemas.openxmlformats.org/officeDocument/2006/relationships/hyperlink" Target="https://hocmai.vn/mod/scorm/view_file.php?id=180184" TargetMode="External"/><Relationship Id="rId109" Type="http://schemas.openxmlformats.org/officeDocument/2006/relationships/hyperlink" Target="https://hocmai.vn/mod/scorm/view_file.php?id=180192" TargetMode="External"/><Relationship Id="rId110" Type="http://schemas.openxmlformats.org/officeDocument/2006/relationships/hyperlink" Target="https://drive.google.com/drive/folders/1W27G-KXm8U1uZQxc39Owkmg_kfWtXQeY?usp=drive_link" TargetMode="External"/><Relationship Id="rId111" Type="http://schemas.openxmlformats.org/officeDocument/2006/relationships/hyperlink" Target="https://hocmai.sharepoint.com/Education_Development/Lists/San_xuat_video/DispForm.aspx?ID=12156" TargetMode="External"/><Relationship Id="rId112" Type="http://schemas.openxmlformats.org/officeDocument/2006/relationships/hyperlink" Target="https://hocmai.vn/mod/scorm/view_file.php?id=180191" TargetMode="External"/><Relationship Id="rId113" Type="http://schemas.openxmlformats.org/officeDocument/2006/relationships/hyperlink" Target="https://hocmai.vn/mod/scorm/view_file.php?id=180205" TargetMode="External"/><Relationship Id="rId114" Type="http://schemas.openxmlformats.org/officeDocument/2006/relationships/hyperlink" Target="https://drive.google.com/drive/folders/1OeTfOrGwcEPIp1PDLqo5qXJ9zWue2S-S?usp=drive_link" TargetMode="External"/><Relationship Id="rId115" Type="http://schemas.openxmlformats.org/officeDocument/2006/relationships/hyperlink" Target="https://hocmai.sharepoint.com/Education_Development/Lists/San_xuat_video/DispForm.aspx?ID=12157" TargetMode="External"/><Relationship Id="rId116" Type="http://schemas.openxmlformats.org/officeDocument/2006/relationships/hyperlink" Target="https://hocmai.vn/mod/scorm/view_file.php?id=180197" TargetMode="External"/><Relationship Id="rId117" Type="http://schemas.openxmlformats.org/officeDocument/2006/relationships/hyperlink" Target="https://hocmai.vn/mod/scorm/view_file.php?id=180207" TargetMode="External"/><Relationship Id="rId118" Type="http://schemas.openxmlformats.org/officeDocument/2006/relationships/hyperlink" Target="https://drive.google.com/drive/folders/1tgo-5Je0l37tkoF7nqTHi-nqZ63y9wnX?usp=drive_link" TargetMode="External"/><Relationship Id="rId119" Type="http://schemas.openxmlformats.org/officeDocument/2006/relationships/hyperlink" Target="https://hocmai.sharepoint.com/Education_Development/Lists/San_xuat_video/DispForm.aspx?ID=12158" TargetMode="External"/><Relationship Id="rId120" Type="http://schemas.openxmlformats.org/officeDocument/2006/relationships/hyperlink" Target="https://hocmai.vn/mod/scorm/view_file.php?inpopup=true&amp;id=180202" TargetMode="External"/><Relationship Id="rId121" Type="http://schemas.openxmlformats.org/officeDocument/2006/relationships/hyperlink" Target="https://hocmai.vn/mod/scorm/view_file.php?inpopup=true&amp;id=180203" TargetMode="External"/><Relationship Id="rId122" Type="http://schemas.openxmlformats.org/officeDocument/2006/relationships/hyperlink" Target="https://hocmai.sharepoint.com/Education_Development/Lists/San_xuat_video/DispForm.aspx?ID=12194" TargetMode="External"/><Relationship Id="rId123" Type="http://schemas.openxmlformats.org/officeDocument/2006/relationships/hyperlink" Target="https://hocmai.vn/course/view.php?id=3313" TargetMode="External"/><Relationship Id="rId124" Type="http://schemas.openxmlformats.org/officeDocument/2006/relationships/hyperlink" Target="https://hocmai.vn/mod/scorm/view_file.php?id=180213" TargetMode="External"/><Relationship Id="rId125" Type="http://schemas.openxmlformats.org/officeDocument/2006/relationships/hyperlink" Target="https://hocmai.vn/mod/scorm/view_file.php?id=180221" TargetMode="External"/><Relationship Id="rId126" Type="http://schemas.openxmlformats.org/officeDocument/2006/relationships/hyperlink" Target="https://drive.google.com/drive/folders/1fC7WWo7u0zywx8D7ZBiJYdZxL3gN7Mjk?usp=drive_link" TargetMode="External"/><Relationship Id="rId127" Type="http://schemas.openxmlformats.org/officeDocument/2006/relationships/hyperlink" Target="https://hocmai.sharepoint.com/Education_Development/Lists/San_xuat_video/DispForm.aspx?ID=12159" TargetMode="External"/><Relationship Id="rId128" Type="http://schemas.openxmlformats.org/officeDocument/2006/relationships/hyperlink" Target="https://hocmai.vn/mod/scorm/view_file.php?id=180219" TargetMode="External"/><Relationship Id="rId129" Type="http://schemas.openxmlformats.org/officeDocument/2006/relationships/hyperlink" Target="https://hocmai.vn/mod/scorm/view_file.php?id=180561" TargetMode="External"/><Relationship Id="rId130" Type="http://schemas.openxmlformats.org/officeDocument/2006/relationships/hyperlink" Target="https://drive.google.com/drive/folders/1DuybJH7F16nah89d-R8umD-8S1Z8LalM?usp=drive_link" TargetMode="External"/><Relationship Id="rId131" Type="http://schemas.openxmlformats.org/officeDocument/2006/relationships/hyperlink" Target="https://hocmai.sharepoint.com/Education_Development/Lists/San_xuat_video/DispForm.aspx?ID=12160" TargetMode="External"/><Relationship Id="rId132" Type="http://schemas.openxmlformats.org/officeDocument/2006/relationships/hyperlink" Target="https://hocmai.vn/mod/scorm/view_file.php?id=180559" TargetMode="External"/><Relationship Id="rId133" Type="http://schemas.openxmlformats.org/officeDocument/2006/relationships/hyperlink" Target="https://hocmai.vn/mod/scorm/view_file.php?id=180563" TargetMode="External"/><Relationship Id="rId134" Type="http://schemas.openxmlformats.org/officeDocument/2006/relationships/hyperlink" Target="https://drive.google.com/drive/folders/1lP4XtE84d_aRaZDjqqioXTmxOmWZwzra?usp=drive_link" TargetMode="External"/><Relationship Id="rId135" Type="http://schemas.openxmlformats.org/officeDocument/2006/relationships/hyperlink" Target="https://hocmai.sharepoint.com/Education_Development/Lists/San_xuat_video/DispForm.aspx?ID=12161" TargetMode="External"/><Relationship Id="rId136" Type="http://schemas.openxmlformats.org/officeDocument/2006/relationships/hyperlink" Target="https://hocmai.vn/mod/scorm/view_file.php?inpopup=true&amp;id=180565" TargetMode="External"/><Relationship Id="rId137" Type="http://schemas.openxmlformats.org/officeDocument/2006/relationships/hyperlink" Target="https://hocmai.vn/mod/scorm/view_file.php?inpopup=true&amp;id=180568" TargetMode="External"/><Relationship Id="rId138" Type="http://schemas.openxmlformats.org/officeDocument/2006/relationships/hyperlink" Target="https://drive.google.com/drive/folders/1uQJIAcYibQZh_DS3p1MVsVXJY00XCjQ2?usp=drive_link" TargetMode="External"/><Relationship Id="rId139" Type="http://schemas.openxmlformats.org/officeDocument/2006/relationships/hyperlink" Target="https://hocmai.sharepoint.com/Education_Development/Lists/San_xuat_video/DispForm.aspx?ID=12195" TargetMode="External"/><Relationship Id="rId140" Type="http://schemas.openxmlformats.org/officeDocument/2006/relationships/hyperlink" Target="https://hocmai.vn/course/view.php?id=3313" TargetMode="External"/><Relationship Id="rId141" Type="http://schemas.openxmlformats.org/officeDocument/2006/relationships/hyperlink" Target="https://hocmai.vn/mod/scorm/view_file.php?id=180560" TargetMode="External"/><Relationship Id="rId142" Type="http://schemas.openxmlformats.org/officeDocument/2006/relationships/hyperlink" Target="https://hocmai.vn/mod/scorm/view_file.php?id=180942" TargetMode="External"/><Relationship Id="rId143" Type="http://schemas.openxmlformats.org/officeDocument/2006/relationships/hyperlink" Target="https://drive.google.com/drive/folders/11T-F4N5lJjdVw3OviiJyNdn00NroY9bR?usp=drive_link" TargetMode="External"/><Relationship Id="rId144" Type="http://schemas.openxmlformats.org/officeDocument/2006/relationships/hyperlink" Target="https://hocmai.sharepoint.com/Education_Development/Lists/San_xuat_video/DispForm.aspx?ID=12162" TargetMode="External"/><Relationship Id="rId145" Type="http://schemas.openxmlformats.org/officeDocument/2006/relationships/hyperlink" Target="https://hocmai.vn/mod/scorm/view_file.php?id=180921" TargetMode="External"/><Relationship Id="rId146" Type="http://schemas.openxmlformats.org/officeDocument/2006/relationships/hyperlink" Target="https://hocmai.vn/mod/scorm/view_file.php?id=180979" TargetMode="External"/><Relationship Id="rId147" Type="http://schemas.openxmlformats.org/officeDocument/2006/relationships/hyperlink" Target="https://drive.google.com/drive/folders/1-h4iYOvBqYXrsAGl4TjolBwLq6MDhzWY?usp=drive_link" TargetMode="External"/><Relationship Id="rId148" Type="http://schemas.openxmlformats.org/officeDocument/2006/relationships/hyperlink" Target="https://hocmai.sharepoint.com/Education_Development/Lists/San_xuat_video/DispForm.aspx?ID=12163" TargetMode="External"/><Relationship Id="rId149" Type="http://schemas.openxmlformats.org/officeDocument/2006/relationships/hyperlink" Target="https://hocmai.vn/mod/scorm/view_file.php?inpopup=true&amp;id=180926" TargetMode="External"/><Relationship Id="rId150" Type="http://schemas.openxmlformats.org/officeDocument/2006/relationships/hyperlink" Target="https://hocmai.vn/mod/scorm/view_file.php?inpopup=true&amp;id=180927" TargetMode="External"/><Relationship Id="rId151" Type="http://schemas.openxmlformats.org/officeDocument/2006/relationships/hyperlink" Target="https://drive.google.com/drive/folders/1NG8TCHJCwEcbGNufeRUQEeedUv_i2bxl?usp=drive_link" TargetMode="External"/><Relationship Id="rId152" Type="http://schemas.openxmlformats.org/officeDocument/2006/relationships/hyperlink" Target="https://hocmai.sharepoint.com/Education_Development/Lists/San_xuat_video/DispForm.aspx?ID=12196" TargetMode="External"/><Relationship Id="rId153" Type="http://schemas.openxmlformats.org/officeDocument/2006/relationships/hyperlink" Target="https://hocmai.vn/course/view.php?id=3313" TargetMode="External"/><Relationship Id="rId154" Type="http://schemas.openxmlformats.org/officeDocument/2006/relationships/hyperlink" Target="https://hocmai.vn/mod/scorm/view_file.php?id=180922" TargetMode="External"/><Relationship Id="rId155" Type="http://schemas.openxmlformats.org/officeDocument/2006/relationships/hyperlink" Target="https://hocmai.vn/mod/scorm/view_file.php?id=180987" TargetMode="External"/><Relationship Id="rId156" Type="http://schemas.openxmlformats.org/officeDocument/2006/relationships/hyperlink" Target="https://drive.google.com/drive/folders/1c6ls30QeA9CZ9XM67E8QYPIJhUgUVdmU?usp=drive_link" TargetMode="External"/><Relationship Id="rId157" Type="http://schemas.openxmlformats.org/officeDocument/2006/relationships/hyperlink" Target="https://hocmai.sharepoint.com/Education_Development/Lists/San_xuat_video/DispForm.aspx?ID=12164" TargetMode="External"/><Relationship Id="rId158" Type="http://schemas.openxmlformats.org/officeDocument/2006/relationships/hyperlink" Target="https://hocmai.vn/mod/scorm/view_file.php?inpopup=true&amp;id=180946" TargetMode="External"/><Relationship Id="rId159" Type="http://schemas.openxmlformats.org/officeDocument/2006/relationships/hyperlink" Target="https://hocmai.vn/mod/scorm/view_file.php?inpopup=true&amp;id=180998" TargetMode="External"/><Relationship Id="rId160" Type="http://schemas.openxmlformats.org/officeDocument/2006/relationships/hyperlink" Target="https://drive.google.com/file/d/1MfxiPWY3wgiBfuRXDBDY-P5zUnveUufT/view?usp=drive_link" TargetMode="External"/><Relationship Id="rId161" Type="http://schemas.openxmlformats.org/officeDocument/2006/relationships/hyperlink" Target="https://hocmai.vn/mod/scorm/view_file.php?inpopup=true&amp;id=180924" TargetMode="External"/><Relationship Id="rId162" Type="http://schemas.openxmlformats.org/officeDocument/2006/relationships/hyperlink" Target="https://hocmai.vn/mod/scorm/view_file.php?inpopup=true&amp;id=180982" TargetMode="External"/><Relationship Id="rId163" Type="http://schemas.openxmlformats.org/officeDocument/2006/relationships/hyperlink" Target="https://drive.google.com/file/d/1SPCCaOuv0GuSyB5YxIzi-xO3_bA7ub4c/view?usp=drive_link" TargetMode="External"/><Relationship Id="rId164" Type="http://schemas.openxmlformats.org/officeDocument/2006/relationships/hyperlink" Target="https://hocmai.vn/course/view.php?id=3120&amp;edit=on&amp;sesskey=iNeihlzt40" TargetMode="External"/><Relationship Id="rId165" Type="http://schemas.openxmlformats.org/officeDocument/2006/relationships/hyperlink" Target="https://hocmai.vn/mod/scorm/view_file.php?id=180576" TargetMode="External"/><Relationship Id="rId166" Type="http://schemas.openxmlformats.org/officeDocument/2006/relationships/hyperlink" Target="https://hocmai.vn/mod/scorm/view_file.php?id=181009" TargetMode="External"/><Relationship Id="rId167" Type="http://schemas.openxmlformats.org/officeDocument/2006/relationships/hyperlink" Target="https://drive.google.com/drive/folders/1xqzMZVBAOs9v29FwWvg8yfts6dYcG6-t?usp=drive_link" TargetMode="External"/><Relationship Id="rId168" Type="http://schemas.openxmlformats.org/officeDocument/2006/relationships/hyperlink" Target="https://hocmai.vn/kho-tai-lieu/read.php?id=19937" TargetMode="External"/><Relationship Id="rId169" Type="http://schemas.openxmlformats.org/officeDocument/2006/relationships/hyperlink" Target="https://drive.google.com/drive/folders/1soJOy-ndjRXSxFDTUWlYedfvZAObXioF?usp=drive_link" TargetMode="External"/><Relationship Id="rId170" Type="http://schemas.openxmlformats.org/officeDocument/2006/relationships/hyperlink" Target="https://hocmai.vn/mod/scorm/view_file.php?inpopup=true&amp;id=181030" TargetMode="External"/><Relationship Id="rId171" Type="http://schemas.openxmlformats.org/officeDocument/2006/relationships/hyperlink" Target="https://hocmai.vn/mod/scorm/view_file.php?inpopup=true&amp;id=181031" TargetMode="External"/><Relationship Id="rId172" Type="http://schemas.openxmlformats.org/officeDocument/2006/relationships/hyperlink" Target="https://drive.google.com/drive/folders/1Oi_dW-kqYkqVgBIwysHGAnsse2saB5wP" TargetMode="External"/><Relationship Id="rId173" Type="http://schemas.openxmlformats.org/officeDocument/2006/relationships/hyperlink" Target="https://hocmai.vn/mod/scorm/view_file.php?inpopup=true&amp;id=180948" TargetMode="External"/><Relationship Id="rId174" Type="http://schemas.openxmlformats.org/officeDocument/2006/relationships/hyperlink" Target="https://hocmai.vn/mod/scorm/view_file.php?inpopup=true&amp;id=181003" TargetMode="External"/><Relationship Id="rId175" Type="http://schemas.openxmlformats.org/officeDocument/2006/relationships/hyperlink" Target="https://drive.google.com/drive/folders/130hYZYnEvDIeCATxS7Yki8fNKChHnDJp" TargetMode="External"/><Relationship Id="rId176" Type="http://schemas.openxmlformats.org/officeDocument/2006/relationships/hyperlink" Target="https://hocmai.vn/mod/scorm/view_file.php?inpopup=true&amp;id=180950" TargetMode="External"/><Relationship Id="rId177" Type="http://schemas.openxmlformats.org/officeDocument/2006/relationships/hyperlink" Target="https://hocmai.vn/mod/scorm/view_file.php?inpopup=true&amp;id=181061" TargetMode="External"/><Relationship Id="rId178" Type="http://schemas.openxmlformats.org/officeDocument/2006/relationships/hyperlink" Target="https://drive.google.com/file/d/1WmgRNvC1dSQhiNlrs5FN6Ho7y_MIW6-a/view" TargetMode="External"/><Relationship Id="rId179" Type="http://schemas.openxmlformats.org/officeDocument/2006/relationships/hyperlink" Target="https://hocmai.vn/mod/scorm/view_file.php?inpopup=true&amp;id=180949" TargetMode="External"/><Relationship Id="rId180" Type="http://schemas.openxmlformats.org/officeDocument/2006/relationships/hyperlink" Target="https://hocmai.vn/mod/scorm/view_file.php?inpopup=true&amp;id=181005" TargetMode="External"/><Relationship Id="rId181" Type="http://schemas.openxmlformats.org/officeDocument/2006/relationships/hyperlink" Target="https://drive.google.com/drive/folders/1GucRXXUN8GNl7PiTVOd9H_dc7tygMJ3S" TargetMode="External"/><Relationship Id="rId182" Type="http://schemas.openxmlformats.org/officeDocument/2006/relationships/hyperlink" Target="https://hocmai.vn/course/view.php?id=3126&amp;edit=on&amp;sesskey=iCYoqF7jXe" TargetMode="External"/><Relationship Id="rId183" Type="http://schemas.openxmlformats.org/officeDocument/2006/relationships/hyperlink" Target="https://hocmai.vn/file.php/3110/Nam_hoc_2026_-_2027/VAT_LI/TAI_LIEU_HOC_SINH/TLHS_TOV_TSA_T01_Do_luong_va_sai_so_-_Tu_duy_thuc_nghiem_trong_Vat_li.pdf" TargetMode="External"/><Relationship Id="rId184" Type="http://schemas.openxmlformats.org/officeDocument/2006/relationships/hyperlink" Target="https://hocmai.vn/file.php/3110/Nam_hoc_2026_-_2027/VAT_LI/BTTL/BTTL_TOV_TSA_L01._Do_luong_va_sai_so_-_Tu_duy_thuc_nghiem_trong_Vat_li.pdf" TargetMode="External"/><Relationship Id="rId185" Type="http://schemas.openxmlformats.org/officeDocument/2006/relationships/hyperlink" Target="https://drive.google.com/drive/folders/1--fTQBvSLPS1K3YB5cQkeiuA8K4TFbMj" TargetMode="External"/><Relationship Id="rId186" Type="http://schemas.openxmlformats.org/officeDocument/2006/relationships/hyperlink" Target="https://hocmai.vn/course/view.php?id=3110" TargetMode="External"/><Relationship Id="rId187" Type="http://schemas.openxmlformats.org/officeDocument/2006/relationships/hyperlink" Target="https://hocmai.vn/file.php/3117/Tai_lieu_live_2026_-_2027/TLHS_TOV_HSA_DL01_Cac_bai_toan_ve_ham_so_chua_tham_so.pdf" TargetMode="External"/><Relationship Id="rId188" Type="http://schemas.openxmlformats.org/officeDocument/2006/relationships/hyperlink" Target="https://drive.google.com/file/d/1KMzbSnzb7OIa7hCO9Axz0fKqT2KniZaC/view?usp=drive_link" TargetMode="External"/><Relationship Id="rId189" Type="http://schemas.openxmlformats.org/officeDocument/2006/relationships/hyperlink" Target="https://s3.evgcloud.net/livestream/video/mp4/2026/06/18/336_33675f560e9966149c5bb6da16e6905fa9f_RELAY-20260618180305-cv.mp4" TargetMode="External"/><Relationship Id="rId190" Type="http://schemas.openxmlformats.org/officeDocument/2006/relationships/hyperlink" Target="https://hocmai.vn/file.php/3119/NAM_HOC_2026_-_2027/Tai_lieu_live/TLHS_TOV_HSA_VL01_Do_luong_va_xu_li_so_lieu.pdf" TargetMode="External"/><Relationship Id="rId191" Type="http://schemas.openxmlformats.org/officeDocument/2006/relationships/hyperlink" Target="https://hocmai.vn/file.php/3119/NAM_HOC_2026_-_2027/BTTL/BTTL_TOV_HSA_VL01._Do_luong_va_xu_li_so_lieu.pdf" TargetMode="External"/><Relationship Id="rId192" Type="http://schemas.openxmlformats.org/officeDocument/2006/relationships/hyperlink" Target="https://drive.google.com/file/d/1IGveFE1xTQW1KpFtCjH5mwfKbzDGe0z2/view?usp=drive_link" TargetMode="External"/><Relationship Id="rId193" Type="http://schemas.openxmlformats.org/officeDocument/2006/relationships/hyperlink" Target="https://hocmai.vn/course/view.php?id=3119&amp;edit=on&amp;sesskey=4KPJGukykI" TargetMode="External"/><Relationship Id="rId194" Type="http://schemas.openxmlformats.org/officeDocument/2006/relationships/hyperlink" Target="https://hocmai.vn/kho-tai-lieu/read.php?id=19939" TargetMode="External"/><Relationship Id="rId195" Type="http://schemas.openxmlformats.org/officeDocument/2006/relationships/hyperlink" Target="https://hocmai.vn/kho-tai-lieu/read.php?id=19940" TargetMode="External"/><Relationship Id="rId196" Type="http://schemas.openxmlformats.org/officeDocument/2006/relationships/hyperlink" Target="https://drive.google.com/drive/folders/1hRKWRF-9T93qDP_5ebRZSV2Ma0tQrzgJ?usp=sharing" TargetMode="External"/><Relationship Id="rId197" Type="http://schemas.openxmlformats.org/officeDocument/2006/relationships/hyperlink" Target="https://hocmai.vn/mod/scorm/view_file.php?inpopup=true&amp;id=181045" TargetMode="External"/><Relationship Id="rId198" Type="http://schemas.openxmlformats.org/officeDocument/2006/relationships/hyperlink" Target="https://hocmai.vn/mod/scorm/view_file.php?inpopup=true&amp;id=181301" TargetMode="External"/><Relationship Id="rId199" Type="http://schemas.openxmlformats.org/officeDocument/2006/relationships/hyperlink" Target="https://drive.google.com/file/d/1RYc9ROmaPxnooBme7WfY4Fd4PuF2HHSq/view?usp=drive_link" TargetMode="External"/><Relationship Id="rId200" Type="http://schemas.openxmlformats.org/officeDocument/2006/relationships/hyperlink" Target="https://hocmai.vn/mod/scorm/view_file.php?inpopup=true&amp;id=180975" TargetMode="External"/><Relationship Id="rId201" Type="http://schemas.openxmlformats.org/officeDocument/2006/relationships/hyperlink" Target="https://hocmai.vn/mod/scorm/view_file.php?inpopup=true&amp;id=181020" TargetMode="External"/><Relationship Id="rId202" Type="http://schemas.openxmlformats.org/officeDocument/2006/relationships/hyperlink" Target="https://drive.google.com/drive/folders/1wKq8y33XK-dSy9M5IVc5TtsBJqRUr-Uq?usp=drive_link" TargetMode="External"/><Relationship Id="rId203" Type="http://schemas.openxmlformats.org/officeDocument/2006/relationships/hyperlink" Target="https://hocmai.vn/file.php/3110/Nam_hoc_2026_-_2027/HOA_HOC/TL_Live/TLHS_TOV_TSA_H01-The_gioi_nguyen_tu_va_Su_tuan_hoan.pdf" TargetMode="External"/><Relationship Id="rId204" Type="http://schemas.openxmlformats.org/officeDocument/2006/relationships/hyperlink" Target="https://hocmai.vn/mod/scorm/view_file.php?id=181225" TargetMode="External"/><Relationship Id="rId205" Type="http://schemas.openxmlformats.org/officeDocument/2006/relationships/hyperlink" Target="https://drive.google.com/file/d/1R6gEgvAeeTuH6ehjgVV_2ztoLrNZej0t/view?usp=drive_link" TargetMode="External"/><Relationship Id="rId206" Type="http://schemas.openxmlformats.org/officeDocument/2006/relationships/hyperlink" Target="https://hocmai.vn/mod/scorm/view_file.php?inpopup=true&amp;id=181014" TargetMode="External"/><Relationship Id="rId207" Type="http://schemas.openxmlformats.org/officeDocument/2006/relationships/hyperlink" Target="https://hocmai.vn/mod/scorm/view_file.php?inpopup=true&amp;id=181023" TargetMode="External"/><Relationship Id="rId208" Type="http://schemas.openxmlformats.org/officeDocument/2006/relationships/hyperlink" Target="https://drive.google.com/file/d/1r0Ryz4Hybtz3pNf5AVpZimrmcrQoEEFW/view?usp=drive_link" TargetMode="External"/><Relationship Id="rId209" Type="http://schemas.openxmlformats.org/officeDocument/2006/relationships/hyperlink" Target="https://hocmai.vn/mod/scorm/view_file.php?inpopup=true&amp;id=181195" TargetMode="External"/><Relationship Id="rId210" Type="http://schemas.openxmlformats.org/officeDocument/2006/relationships/hyperlink" Target="https://hocmai.vn/mod/scorm/view_file.php?inpopup=true&amp;id=181196" TargetMode="External"/><Relationship Id="rId211" Type="http://schemas.openxmlformats.org/officeDocument/2006/relationships/hyperlink" Target="https://drive.google.com/drive/folders/1XT_t_JyRwQOIJN5-E7xlk-2e3NdgDL-b?usp=drive_link" TargetMode="External"/><Relationship Id="rId212" Type="http://schemas.openxmlformats.org/officeDocument/2006/relationships/hyperlink" Target="https://hocmai.sharepoint.com/Education_Development/Lists/San_xuat_video/DispForm.aspx?ID=12197" TargetMode="External"/><Relationship Id="rId213" Type="http://schemas.openxmlformats.org/officeDocument/2006/relationships/hyperlink" Target="https://hocmai.vn/course/view.php?id=3313" TargetMode="External"/><Relationship Id="rId214" Type="http://schemas.openxmlformats.org/officeDocument/2006/relationships/hyperlink" Target="https://hocmai.vn/mod/scorm/view_file.php?id=181205" TargetMode="External"/><Relationship Id="rId215" Type="http://schemas.openxmlformats.org/officeDocument/2006/relationships/hyperlink" Target="https://hocmai.vn/mod/scorm/view_file.php?id=181227" TargetMode="External"/><Relationship Id="rId216" Type="http://schemas.openxmlformats.org/officeDocument/2006/relationships/hyperlink" Target="https://drive.google.com/drive/folders/1Cg_dCU169HROL3BC0bwpGuesRbQBrDy0?usp=drive_link" TargetMode="External"/><Relationship Id="rId217" Type="http://schemas.openxmlformats.org/officeDocument/2006/relationships/hyperlink" Target="https://hocmai.sharepoint.com/Education_Development/Lists/San_xuat_video/DispForm.aspx?ID=12165" TargetMode="External"/><Relationship Id="rId218" Type="http://schemas.openxmlformats.org/officeDocument/2006/relationships/hyperlink" Target="https://hocmai.vn/mod/scorm/view_file.php?id=181291" TargetMode="External"/><Relationship Id="rId219" Type="http://schemas.openxmlformats.org/officeDocument/2006/relationships/hyperlink" Target="https://hocmai.vn/mod/scorm/view_file.php?inpopup=true&amp;id=181303" TargetMode="External"/><Relationship Id="rId220" Type="http://schemas.openxmlformats.org/officeDocument/2006/relationships/hyperlink" Target="https://drive.google.com/file/d/1I4D--9YMOYbV6laGTSr36CG-8ZuStet5/view?usp=drive_link" TargetMode="External"/><Relationship Id="rId221" Type="http://schemas.openxmlformats.org/officeDocument/2006/relationships/hyperlink" Target="https://hocmai.vn/file.php/3140/TLHS_TOV_HV_TA0_Cau_tao_tu_-_Trat_tu_tu_-_Phep_song_hanh.pdf" TargetMode="External"/><Relationship Id="rId222" Type="http://schemas.openxmlformats.org/officeDocument/2006/relationships/hyperlink" Target="https://hocmai.vn/mod/scorm/view_file.php?inpopup=true&amp;id=181331" TargetMode="External"/><Relationship Id="rId223" Type="http://schemas.openxmlformats.org/officeDocument/2006/relationships/hyperlink" Target="https://drive.google.com/file/d/1zSIPT2y1-wItf9l7W5XZUV2vHGzXLhOd/view?usp=drive_link" TargetMode="External"/><Relationship Id="rId224" Type="http://schemas.openxmlformats.org/officeDocument/2006/relationships/hyperlink" Target="https://hocmai.vn/mod/scorm/view_file.php?id=181275" TargetMode="External"/><Relationship Id="rId225" Type="http://schemas.openxmlformats.org/officeDocument/2006/relationships/hyperlink" Target="https://hocmai.vn/mod/scorm/view_file.php?id=181288" TargetMode="External"/><Relationship Id="rId226" Type="http://schemas.openxmlformats.org/officeDocument/2006/relationships/hyperlink" Target="https://drive.google.com/drive/folders/1HrNccDBA0e4HnEp1Q-MnWsjKE61341K1?usp=drive_link" TargetMode="External"/><Relationship Id="rId227" Type="http://schemas.openxmlformats.org/officeDocument/2006/relationships/hyperlink" Target="https://hocmai.vn/file.php/3127/Tai_lieu_live_2026_-_2027/TLHS_TOV_TC_T02_CAC_DANG_CAU_HOI_DIEN_HINH_VE_HAM_SO_P2_.pdf" TargetMode="External"/><Relationship Id="rId228" Type="http://schemas.openxmlformats.org/officeDocument/2006/relationships/hyperlink" Target="https://drive.google.com/drive/folders/1pyNO0Em49CNepL2ayQ_d3u0JUCf7am5n?usp=drive_link" TargetMode="External"/><Relationship Id="rId229" Type="http://schemas.openxmlformats.org/officeDocument/2006/relationships/hyperlink" Target="https://hocmai.vn/mod/scorm/view_file.php?inpopup=true&amp;id=181449" TargetMode="External"/><Relationship Id="rId230" Type="http://schemas.openxmlformats.org/officeDocument/2006/relationships/hyperlink" Target="https://hocmai.vn/mod/scorm/view_file.php?inpopup=true&amp;id=181469" TargetMode="External"/><Relationship Id="rId231" Type="http://schemas.openxmlformats.org/officeDocument/2006/relationships/hyperlink" Target="https://drive.google.com/drive/folders/1JHDqVb3xRrwGnYimgACRrgTW5zPkDchA" TargetMode="External"/><Relationship Id="rId232" Type="http://schemas.openxmlformats.org/officeDocument/2006/relationships/hyperlink" Target="https://hocmai.vn/mod/scorm/view_file.php?id=181063" TargetMode="External"/><Relationship Id="rId233" Type="http://schemas.openxmlformats.org/officeDocument/2006/relationships/hyperlink" Target="https://hocmai.vn/mod/scorm/view_file.php?inpopup=true&amp;id=181079" TargetMode="External"/><Relationship Id="rId234" Type="http://schemas.openxmlformats.org/officeDocument/2006/relationships/hyperlink" Target="https://drive.google.com/drive/folders/12ECceLYypgjNBQZUsOfyhJVoXlEymYHg" TargetMode="External"/><Relationship Id="rId235" Type="http://schemas.openxmlformats.org/officeDocument/2006/relationships/hyperlink" Target="https://hocmai.vn/mod/scorm/view_file.php?inpopup=true&amp;id=181308" TargetMode="External"/><Relationship Id="rId236" Type="http://schemas.openxmlformats.org/officeDocument/2006/relationships/hyperlink" Target="https://hocmai.vn/mod/scorm/view_file.php?inpopup=true&amp;id=181517" TargetMode="External"/><Relationship Id="rId237" Type="http://schemas.openxmlformats.org/officeDocument/2006/relationships/hyperlink" Target="https://drive.google.com/file/d/1i8zcmxcDcNFt_IBXyatObqphrcK8bUMm/view?usp=drivesdk" TargetMode="External"/><Relationship Id="rId238" Type="http://schemas.openxmlformats.org/officeDocument/2006/relationships/hyperlink" Target="https://hocmai.vn/mod/scorm/view_file.php?inpopup=true&amp;id=181064" TargetMode="External"/><Relationship Id="rId239" Type="http://schemas.openxmlformats.org/officeDocument/2006/relationships/hyperlink" Target="https://hocmai.vn/mod/scorm/view_file.php?inpopup=true&amp;id=181073" TargetMode="External"/><Relationship Id="rId240" Type="http://schemas.openxmlformats.org/officeDocument/2006/relationships/hyperlink" Target="https://drive.google.com/drive/folders/12ECceLYypgjNBQZUsOfyhJVoXlEymYHg" TargetMode="External"/><Relationship Id="rId241" Type="http://schemas.openxmlformats.org/officeDocument/2006/relationships/hyperlink" Target="https://hocmai.vn/file.php/3110/Nam_hoc_2026_-_2027/VAT_LI/TAI_LIEU_HOC_SINH/TLHS_TOV_TSA_T02_Chuyen_dong_thang_-_Phan_tich_do_thi_va_cac_mo_hinh_chuyen_dong.pdf" TargetMode="External"/><Relationship Id="rId242" Type="http://schemas.openxmlformats.org/officeDocument/2006/relationships/hyperlink" Target="https://hocmai.vn/file.php/3110/Nam_hoc_2026_-_2027/VAT_LI/BTTL/BTTL_TOV_TSA_L02._Chuyen_dong_thang_-_Phan_tich_do_thi_va_mo_hinh_chuyen_dong.pdf" TargetMode="External"/><Relationship Id="rId243" Type="http://schemas.openxmlformats.org/officeDocument/2006/relationships/hyperlink" Target="https://drive.google.com/drive/folders/1dEynXH-7yADJPBMDK4vUjdcmDFPYz5T7" TargetMode="External"/><Relationship Id="rId244" Type="http://schemas.openxmlformats.org/officeDocument/2006/relationships/hyperlink" Target="https://hocmai.vn/file.php/3315/Tai_lieu_live_2026_-_2027/TLHS_TOV_HSA_DL02_Cac_bai_toan_ve_ham_hop_P1.pdf" TargetMode="External"/><Relationship Id="rId245" Type="http://schemas.openxmlformats.org/officeDocument/2006/relationships/hyperlink" Target="https://drive.google.com/file/d/1v7qy1prZ808bxMOqDgzx9ThU8mkyn1Uf/view?usp=drive_link" TargetMode="External"/><Relationship Id="rId246" Type="http://schemas.openxmlformats.org/officeDocument/2006/relationships/hyperlink" Target="https://drive.google.com/file/d/1UxRO00rvXQCv76dx4dCWBiEd5dJOqHCH/view" TargetMode="External"/><Relationship Id="rId247" Type="http://schemas.openxmlformats.org/officeDocument/2006/relationships/hyperlink" Target="https://hocmai.vn/file.php/3119/NAM_HOC_2026_-_2027/Tai_lieu_live/TLHS_TOV_HSA_VL02_Dong_hoc_-_Quy_luat_chuyen_dong.pdf" TargetMode="External"/><Relationship Id="rId248" Type="http://schemas.openxmlformats.org/officeDocument/2006/relationships/hyperlink" Target="https://hocmai.vn/file.php/3119/NAM_HOC_2026_-_2027/BTTL/BTTL_TOV_HSA_VL02_Dong_hoc_-_Quy_luat_chuyen_dong.pdf" TargetMode="External"/><Relationship Id="rId249" Type="http://schemas.openxmlformats.org/officeDocument/2006/relationships/hyperlink" Target="https://drive.google.com/drive/folders/1R1JvqQ24x0EFH4sBgYvWtkZoG3P2j9Xo" TargetMode="External"/><Relationship Id="rId250" Type="http://schemas.openxmlformats.org/officeDocument/2006/relationships/hyperlink" Target="https://hocmai.vn/course/view.php?id=3119&amp;edit=on&amp;sesskey=4KPJGukykI" TargetMode="External"/><Relationship Id="rId251" Type="http://schemas.openxmlformats.org/officeDocument/2006/relationships/hyperlink" Target="https://hocmai.vn/file.php/3124/TLHS_TOA_V-ACT_T02.pdf" TargetMode="External"/><Relationship Id="rId252" Type="http://schemas.openxmlformats.org/officeDocument/2006/relationships/hyperlink" Target="https://hocmai.vn/file.php/3124/BTTL_TOA_V-ACT_T02.pdf" TargetMode="External"/><Relationship Id="rId253" Type="http://schemas.openxmlformats.org/officeDocument/2006/relationships/hyperlink" Target="https://drive.google.com/drive/folders/1GbXRgXQ2sOIZvOC-18KUNslqyUgCIqqr?usp=sharing" TargetMode="External"/><Relationship Id="rId254" Type="http://schemas.openxmlformats.org/officeDocument/2006/relationships/hyperlink" Target="https://hocmai.vn/mod/scorm/view_file.php?inpopup=true&amp;id=181350" TargetMode="External"/><Relationship Id="rId255" Type="http://schemas.openxmlformats.org/officeDocument/2006/relationships/hyperlink" Target="https://drive.google.com/file/d/1KMzbSnzb7OIa7hCO9Axz0fKqT2KniZaC/view?usp=drive_link" TargetMode="External"/><Relationship Id="rId256" Type="http://schemas.openxmlformats.org/officeDocument/2006/relationships/hyperlink" Target="https://hocmai.vn/mod/scorm/view_file.php?id=181395" TargetMode="External"/><Relationship Id="rId257" Type="http://schemas.openxmlformats.org/officeDocument/2006/relationships/hyperlink" Target="https://hocmai.vn/mod/scorm/view_file.php?inpopup=true&amp;id=181016" TargetMode="External"/><Relationship Id="rId258" Type="http://schemas.openxmlformats.org/officeDocument/2006/relationships/hyperlink" Target="https://drive.google.com/drive/folders/1tNUM6fkL3q6YdXVZytryIawi_Yv1ts6J?usp=drive_link" TargetMode="External"/><Relationship Id="rId259" Type="http://schemas.openxmlformats.org/officeDocument/2006/relationships/hyperlink" Target="https://hocmai.vn/mod/scorm/view_file.php?inpopup=true&amp;id=181087" TargetMode="External"/><Relationship Id="rId260" Type="http://schemas.openxmlformats.org/officeDocument/2006/relationships/hyperlink" Target="https://hocmai.vn/mod/scorm/view_file.php?inpopup=true&amp;id=181088" TargetMode="External"/><Relationship Id="rId261" Type="http://schemas.openxmlformats.org/officeDocument/2006/relationships/hyperlink" Target="https://drive.google.com/drive/folders/1zGeSvI82GLpI3FKLLfzXY3DgEiDOY4ar?usp=drive_link" TargetMode="External"/><Relationship Id="rId262" Type="http://schemas.openxmlformats.org/officeDocument/2006/relationships/hyperlink" Target="https://hocmai.vn/mod/scorm/view_file.php?inpopup=true&amp;id=181492" TargetMode="External"/><Relationship Id="rId263" Type="http://schemas.openxmlformats.org/officeDocument/2006/relationships/hyperlink" Target="https://hocmai.vn/mod/scorm/view_file.php?inpopup=true&amp;id=181493" TargetMode="External"/><Relationship Id="rId264" Type="http://schemas.openxmlformats.org/officeDocument/2006/relationships/hyperlink" Target="https://drive.google.com/file/d/14P5nOSktJSKKdWW0YREcCn-FhA3RjKfi/view?usp=drive_link" TargetMode="External"/><Relationship Id="rId265" Type="http://schemas.openxmlformats.org/officeDocument/2006/relationships/hyperlink" Target="https://hocmai.vn/mod/scorm/view_file.php?inpopup=true&amp;id=181516" TargetMode="External"/><Relationship Id="rId266" Type="http://schemas.openxmlformats.org/officeDocument/2006/relationships/hyperlink" Target="https://hocmai.vn/mod/scorm/view_file.php?inpopup=true&amp;id=181520" TargetMode="External"/><Relationship Id="rId267" Type="http://schemas.openxmlformats.org/officeDocument/2006/relationships/hyperlink" Target="https://drive.google.com/drive/folders/16XszIDTs79FfM3eC9t4ZPF8ACAu8VD01?usp=sharing" TargetMode="External"/><Relationship Id="rId268" Type="http://schemas.openxmlformats.org/officeDocument/2006/relationships/hyperlink" Target="https://hocmai.sharepoint.com/Education_Development/Lists/San_xuat_video/DispForm.aspx?ID=12198" TargetMode="External"/><Relationship Id="rId269" Type="http://schemas.openxmlformats.org/officeDocument/2006/relationships/hyperlink" Target="https://hocmai.vn/course/view.php?id=3313" TargetMode="External"/><Relationship Id="rId270" Type="http://schemas.openxmlformats.org/officeDocument/2006/relationships/hyperlink" Target="https://hocmai.vn/mod/scorm/view_file.php?id=181573" TargetMode="External"/><Relationship Id="rId271" Type="http://schemas.openxmlformats.org/officeDocument/2006/relationships/hyperlink" Target="https://hocmai.vn/mod/scorm/view_file.php?id=181641" TargetMode="External"/><Relationship Id="rId272" Type="http://schemas.openxmlformats.org/officeDocument/2006/relationships/hyperlink" Target="https://drive.google.com/drive/folders/1JD_Wqht1ev3CUcyCmKEMEbFyaZ9SUFsI?usp=drive_link" TargetMode="External"/><Relationship Id="rId273" Type="http://schemas.openxmlformats.org/officeDocument/2006/relationships/hyperlink" Target="https://hocmai.sharepoint.com/Education_Development/Lists/San_xuat_video/DispForm.aspx?ID=12166" TargetMode="External"/><Relationship Id="rId274" Type="http://schemas.openxmlformats.org/officeDocument/2006/relationships/hyperlink" Target="https://hocmai.vn/mod/scorm/view_file.php?inpopup=true&amp;id=181305" TargetMode="External"/><Relationship Id="rId275" Type="http://schemas.openxmlformats.org/officeDocument/2006/relationships/hyperlink" Target="https://hocmai.vn/mod/scorm/view_file.php?inpopup=true&amp;id=181306" TargetMode="External"/><Relationship Id="rId276" Type="http://schemas.openxmlformats.org/officeDocument/2006/relationships/hyperlink" Target="https://drive.google.com/file/d/11f9UwVOxIhuR98wV-Mdg0vTMk_byUXZ5/view?usp=drive_link" TargetMode="External"/><Relationship Id="rId277" Type="http://schemas.openxmlformats.org/officeDocument/2006/relationships/hyperlink" Target="https://drive.google.com/file/d/1GlIDqfdMRpEVmlDQil3n5aIqLjNgX9dH/view?usp=drive_link" TargetMode="External"/><Relationship Id="rId278" Type="http://schemas.openxmlformats.org/officeDocument/2006/relationships/hyperlink" Target="https://hocmai.vn/mod/scorm/view_file.php?id=181574" TargetMode="External"/><Relationship Id="rId279" Type="http://schemas.openxmlformats.org/officeDocument/2006/relationships/hyperlink" Target="https://hocmai.vn/mod/scorm/view_file.php?id=181575" TargetMode="External"/><Relationship Id="rId280" Type="http://schemas.openxmlformats.org/officeDocument/2006/relationships/hyperlink" Target="https://drive.google.com/drive/folders/1IDk1e0gmGV3gkXCu7c9tnkNHWPD3R4MR" TargetMode="External"/><Relationship Id="rId281" Type="http://schemas.openxmlformats.org/officeDocument/2006/relationships/hyperlink" Target="https://hocmai.vn/file.php/3315/Tai_lieu_live_2026_-_2027/TLHS_TOV_TC_T03_BAI_TOAN_THUC_TE_CO_YEU_TO_CUC_TRI_TOI_UU.pdf" TargetMode="External"/><Relationship Id="rId282" Type="http://schemas.openxmlformats.org/officeDocument/2006/relationships/hyperlink" Target="https://drive.google.com/drive/folders/1vRR9fM63F8zLQuvNu4w5wJEifI4wd4aS?usp=drive_link" TargetMode="External"/><Relationship Id="rId283" Type="http://schemas.openxmlformats.org/officeDocument/2006/relationships/hyperlink" Target="https://drive.google.com/drive/folders/1nztZLDoxOaI0yXB_fmec7KbycJIqPRst" TargetMode="External"/><Relationship Id="rId284" Type="http://schemas.openxmlformats.org/officeDocument/2006/relationships/hyperlink" Target="https://hocmai.vn/mod/scorm/view_file.php?inpopup=true&amp;id=181519" TargetMode="External"/><Relationship Id="rId285" Type="http://schemas.openxmlformats.org/officeDocument/2006/relationships/hyperlink" Target="https://drive.google.com/file/d/1SAd0E-YbkOdUwUNQphAjou6JwMZ8nJIM/view?usp=drive_link" TargetMode="External"/><Relationship Id="rId286" Type="http://schemas.openxmlformats.org/officeDocument/2006/relationships/hyperlink" Target="https://hocmai.vn/file.php/3110/Nam_hoc_2026_-_2027/VAT_LI/TAI_LIEU_HOC_SINH/TLHS_TOV_TSA_L03._Roi_tu_do_chuyen_dong_nem_va_chuyen_dong_tron.pdf" TargetMode="External"/><Relationship Id="rId287" Type="http://schemas.openxmlformats.org/officeDocument/2006/relationships/hyperlink" Target="https://hocmai.vn/file.php/3110/Nam_hoc_2026_-_2027/VAT_LI/BTTL/BTTL_TOV_TSA_L03._Roi_tu_do_chuyen_dong_nem_va_chuyen_dong_tron.pdf" TargetMode="External"/><Relationship Id="rId288" Type="http://schemas.openxmlformats.org/officeDocument/2006/relationships/hyperlink" Target="https://drive.google.com/drive/folders/1ZoHAVaoedEunp9pMyTySpikj6095yDTI" TargetMode="External"/><Relationship Id="rId289" Type="http://schemas.openxmlformats.org/officeDocument/2006/relationships/hyperlink" Target="https://drive.google.com/drive/folders/1VDhTxsO5zToJ523Nbl8Ztmr4PmlKeN69?usp=drive_link" TargetMode="External"/><Relationship Id="rId290" Type="http://schemas.openxmlformats.org/officeDocument/2006/relationships/hyperlink" Target="https://drive.google.com/file/d/1wURVMbkq5ltQGHc6oAOo8NR5ymGaXjJO/view" TargetMode="External"/><Relationship Id="rId291" Type="http://schemas.openxmlformats.org/officeDocument/2006/relationships/hyperlink" Target="https://hocmai.vn/file.php/3119/NAM_HOC_2026_-_2027/Tai_lieu_live/TLHS_TOV_HSA_VL03._Dong_luc_hoc.pdf" TargetMode="External"/><Relationship Id="rId292" Type="http://schemas.openxmlformats.org/officeDocument/2006/relationships/hyperlink" Target="https://hocmai.vn/file.php/3119/NAM_HOC_2026_-_2027/BTTL/BTTL_TOV_HSA_VL03._Dong_luc_hoc.pdf" TargetMode="External"/><Relationship Id="rId293" Type="http://schemas.openxmlformats.org/officeDocument/2006/relationships/hyperlink" Target="https://drive.google.com/drive/folders/1kE3bb_SlVnngVbzik63riPWnJQI2A6MM" TargetMode="External"/><Relationship Id="rId294" Type="http://schemas.openxmlformats.org/officeDocument/2006/relationships/hyperlink" Target="https://hocmai.vn/course/view.php?id=3119&amp;edit=on&amp;sesskey=4KPJGukykI" TargetMode="External"/><Relationship Id="rId295" Type="http://schemas.openxmlformats.org/officeDocument/2006/relationships/hyperlink" Target="https://drive.google.com/drive/folders/1xMmxJvQKhr2FJ8A2HtKaxvN-bfKZzRYx?usp=sharing" TargetMode="External"/><Relationship Id="rId296" Type="http://schemas.openxmlformats.org/officeDocument/2006/relationships/hyperlink" Target="https://drive.google.com/drive/folders/1O9cOqRVs8gx0Kp47FLmNdVJ9FG3ZelhA?usp=sharing" TargetMode="External"/><Relationship Id="rId297" Type="http://schemas.openxmlformats.org/officeDocument/2006/relationships/hyperlink" Target="https://drive.google.com/drive/folders/1DRNlxn83BWIcDQxYT7x81ccGFKJv8AJo" TargetMode="External"/><Relationship Id="rId298" Type="http://schemas.openxmlformats.org/officeDocument/2006/relationships/hyperlink" Target="https://hocmai.vn/mod/scorm/view_file.php?id=181875" TargetMode="External"/><Relationship Id="rId299" Type="http://schemas.openxmlformats.org/officeDocument/2006/relationships/hyperlink" Target="https://hocmai.vn/mod/scorm/view_file.php?id=181972" TargetMode="External"/><Relationship Id="rId300" Type="http://schemas.openxmlformats.org/officeDocument/2006/relationships/hyperlink" Target="https://drive.google.com/drive/folders/1gUrva5r60XZM5xYB8o0lMIOf3J5euWNU?usp=drive_link" TargetMode="External"/><Relationship Id="rId301" Type="http://schemas.openxmlformats.org/officeDocument/2006/relationships/hyperlink" Target="https://hocmai.vn/course/Tai_lieu_bai_giang/SLKH_2627/TLHS_TOS_V-ACT_KH03.pdf" TargetMode="External"/><Relationship Id="rId302" Type="http://schemas.openxmlformats.org/officeDocument/2006/relationships/hyperlink" Target="https://hocmai.vn/file.php/3126/Bai_tap_tu_luyen/26-27/NVHT_TOV_V-ACT_KH03_Thuc_hanh_ky_nang_scan_skim_-_Chon_tu_khoa_trong_van_ban_khoa_hoc.pdf" TargetMode="External"/><Relationship Id="rId303" Type="http://schemas.openxmlformats.org/officeDocument/2006/relationships/hyperlink" Target="https://drive.google.com/drive/folders/18iwJXG0_MBWTsGk6h-d-0P1sdSJLCOhG?usp=drive_link" TargetMode="External"/><Relationship Id="rId304" Type="http://schemas.openxmlformats.org/officeDocument/2006/relationships/hyperlink" Target="https://hocmai.vn/mod/scorm/view_file.php?inpopup=true&amp;id=181852" TargetMode="External"/><Relationship Id="rId305" Type="http://schemas.openxmlformats.org/officeDocument/2006/relationships/hyperlink" Target="https://hocmai.vn/mod/scorm/view_file.php?inpopup=true&amp;id=181872" TargetMode="External"/><Relationship Id="rId306" Type="http://schemas.openxmlformats.org/officeDocument/2006/relationships/hyperlink" Target="https://drive.google.com/drive/folders/1MqVPVpPTgcqFHaRXhRkRTMunoJ4ePZ1X?usp=sharing" TargetMode="External"/><Relationship Id="rId307" Type="http://schemas.openxmlformats.org/officeDocument/2006/relationships/hyperlink" Target="https://hocmai.sharepoint.com/Education_Development/Lists/San_xuat_video/DispForm.aspx?ID=12199" TargetMode="External"/><Relationship Id="rId308" Type="http://schemas.openxmlformats.org/officeDocument/2006/relationships/hyperlink" Target="https://hocmai.vn/course/view.php?id=3313" TargetMode="External"/><Relationship Id="rId309" Type="http://schemas.openxmlformats.org/officeDocument/2006/relationships/hyperlink" Target="https://hocmai.vn/mod/scorm/view_file.php?id=181936" TargetMode="External"/><Relationship Id="rId310" Type="http://schemas.openxmlformats.org/officeDocument/2006/relationships/hyperlink" Target="https://drive.google.com/drive/folders/1H6a_VXK2aw7mQo1-mWgAen_3dDZyslMI?usp=drive_link" TargetMode="External"/><Relationship Id="rId311" Type="http://schemas.openxmlformats.org/officeDocument/2006/relationships/hyperlink" Target="https://hocmai.sharepoint.com/Education_Development/Lists/San_xuat_video/DispForm.aspx?ID=12167" TargetMode="External"/><Relationship Id="rId312" Type="http://schemas.openxmlformats.org/officeDocument/2006/relationships/hyperlink" Target="https://drive.google.com/drive/folders/1boNsHg1B2cYvBkN4uFp3Wcdfayr5zPE2?usp=drive_link" TargetMode="External"/><Relationship Id="rId313" Type="http://schemas.openxmlformats.org/officeDocument/2006/relationships/hyperlink" Target="https://drive.google.com/file/d/15SJyriCQDzSCfpz0P9uGu00JKkb0-pnM/view?usp=drive_link" TargetMode="External"/><Relationship Id="rId314" Type="http://schemas.openxmlformats.org/officeDocument/2006/relationships/hyperlink" Target="https://drive.google.com/file/d/1jv-5gcl8a3VpP1XgML60ZMxb8vx_fUlX/view?usp=drive_link" TargetMode="External"/><Relationship Id="rId315" Type="http://schemas.openxmlformats.org/officeDocument/2006/relationships/hyperlink" Target="https://hocmai.vn/mod/scorm/view_file.php?id=181963" TargetMode="External"/><Relationship Id="rId316" Type="http://schemas.openxmlformats.org/officeDocument/2006/relationships/hyperlink" Target="https://hocmai.vn/mod/scorm/view_file.php?id=181991" TargetMode="External"/><Relationship Id="rId317" Type="http://schemas.openxmlformats.org/officeDocument/2006/relationships/hyperlink" Target="https://drive.google.com/drive/folders/141m9xbSOywL8L6oqtApya_5xLNUHZuYX" TargetMode="External"/><Relationship Id="rId318" Type="http://schemas.openxmlformats.org/officeDocument/2006/relationships/hyperlink" Target="https://drive.google.com/drive/folders/1dMU8o1TU5YUbS0zWIH_81wASx_XiZJcQ?usp=drive_link" TargetMode="External"/><Relationship Id="rId319" Type="http://schemas.openxmlformats.org/officeDocument/2006/relationships/hyperlink" Target="https://drive.google.com/drive/folders/1yFlODWMA6w-RQY7g6vEZoNBTgFZD_Da-" TargetMode="External"/><Relationship Id="rId320" Type="http://schemas.openxmlformats.org/officeDocument/2006/relationships/hyperlink" Target="https://drive.google.com/drive/folders/1BJ8eto49X334xZG-HaT7LwY4cR0Zk5D9" TargetMode="External"/><Relationship Id="rId321" Type="http://schemas.openxmlformats.org/officeDocument/2006/relationships/hyperlink" Target="https://drive.google.com/drive/folders/1W7N3HfS2mH4UMDGdRUXVpKeaWH92gaYZ?usp=drive_link" TargetMode="External"/><Relationship Id="rId322" Type="http://schemas.openxmlformats.org/officeDocument/2006/relationships/hyperlink" Target="https://hocmai.vn/bai-giang-truc-tuyen/174809/.html" TargetMode="External"/><Relationship Id="rId323" Type="http://schemas.openxmlformats.org/officeDocument/2006/relationships/hyperlink" Target="https://drive.google.com/drive/folders/1FuddXzE98FIkbAbXFhGCZYpVCkeWUZm7" TargetMode="External"/><Relationship Id="rId324" Type="http://schemas.openxmlformats.org/officeDocument/2006/relationships/hyperlink" Target="https://hocmai.vn/bai-giang-truc-tuyen/174807/.html" TargetMode="External"/><Relationship Id="rId325" Type="http://schemas.openxmlformats.org/officeDocument/2006/relationships/hyperlink" Target="https://drive.google.com/drive/folders/16i-y0uBTkjr_ZhzKSG6bJvEq37D-vn8y?usp=drive_link" TargetMode="External"/><Relationship Id="rId326" Type="http://schemas.openxmlformats.org/officeDocument/2006/relationships/hyperlink" Target="https://hocmai.vn/bai-giang-truc-tuyen/174810/.html" TargetMode="External"/><Relationship Id="rId327" Type="http://schemas.openxmlformats.org/officeDocument/2006/relationships/hyperlink" Target="https://hocmai.vn/file.php/3110/Nam_hoc_2026_-_2027/VAT_LI/TAI_LIEU_HOC_SINH/TLHS_TOV_TSA_L04._Luc_va_cac_dinh_luat_Newton_trong_mo_hinh_hoa_hien_tuong.pdf" TargetMode="External"/><Relationship Id="rId328" Type="http://schemas.openxmlformats.org/officeDocument/2006/relationships/hyperlink" Target="https://hocmai.vn/file.php/3110/Nam_hoc_2026_-_2027/VAT_LI/BTTL/BTTL_TOV_TSA_L04._Luc_va_cac_dinh_luat_Newton_trong_mo_hinh_hoa_hien_tuong.pdf" TargetMode="External"/><Relationship Id="rId329" Type="http://schemas.openxmlformats.org/officeDocument/2006/relationships/hyperlink" Target="https://drive.google.com/drive/folders/1Qmw5yyGI0cXG_h-OdoRy8r4WKrd7oTjj" TargetMode="External"/><Relationship Id="rId330" Type="http://schemas.openxmlformats.org/officeDocument/2006/relationships/hyperlink" Target="https://drive.google.com/drive/folders/1PpoyVK_pjONykBCt40S93-1ljfkxUneJ?usp=drive_link" TargetMode="External"/><Relationship Id="rId331" Type="http://schemas.openxmlformats.org/officeDocument/2006/relationships/hyperlink" Target="https://hocmai.vn/file.php/3119/NAM_HOC_2026_-_2027/Tai_lieu_live/TLHS_TOV_HSA_VL04._Cong_-_Nang_luong_-_Cong_suat_va_dinh_luat_bao_toan.pdf" TargetMode="External"/><Relationship Id="rId332" Type="http://schemas.openxmlformats.org/officeDocument/2006/relationships/hyperlink" Target="https://hocmai.vn/file.php/3119/NAM_HOC_2026_-_2027/BTTL/BTTL_TOV_HSA_VL04._Cong_-_Nang_luong_-_Cong_suat_va_dinh_luat_bao_toan.pdf" TargetMode="External"/><Relationship Id="rId333" Type="http://schemas.openxmlformats.org/officeDocument/2006/relationships/hyperlink" Target="https://drive.google.com/drive/folders/16TwB2756MgRqHrD-hHIQ6EGCAdXUTR5z" TargetMode="External"/><Relationship Id="rId334" Type="http://schemas.openxmlformats.org/officeDocument/2006/relationships/hyperlink" Target="https://hocmai.vn/course/view.php?id=3119&amp;edit=on&amp;sesskey=4KPJGukykI" TargetMode="External"/><Relationship Id="rId335" Type="http://schemas.openxmlformats.org/officeDocument/2006/relationships/hyperlink" Target="https://drive.google.com/drive/folders/1MnpHSYyltDdHVXY7HB8z16suNRxFITsR?usp=sharing" TargetMode="External"/><Relationship Id="rId336" Type="http://schemas.openxmlformats.org/officeDocument/2006/relationships/hyperlink" Target="https://drive.google.com/drive/folders/1SORfzSmrfNfY8lP3BBXg5JlQNE-zDnuv" TargetMode="External"/><Relationship Id="rId337" Type="http://schemas.openxmlformats.org/officeDocument/2006/relationships/hyperlink" Target="https://hocmai.vn/bai-giang-truc-tuyen/174808/.html" TargetMode="External"/><Relationship Id="rId338" Type="http://schemas.openxmlformats.org/officeDocument/2006/relationships/hyperlink" Target="https://drive.google.com/drive/folders/1MknLtXk__OtcX7hbVCTSeDmaNRczW2Ct?usp=drive_link" TargetMode="External"/><Relationship Id="rId339" Type="http://schemas.openxmlformats.org/officeDocument/2006/relationships/hyperlink" Target="https://drive.google.com/drive/folders/1YdNuDxp0UR3kjnztfD_aUpfrLFvafGid?usp=sharing" TargetMode="External"/><Relationship Id="rId340" Type="http://schemas.openxmlformats.org/officeDocument/2006/relationships/hyperlink" Target="https://drive.google.com/drive/folders/1lqqaSvi_4vLNt4sDtQ1Bmd7fHK26kuIn" TargetMode="External"/><Relationship Id="rId341" Type="http://schemas.openxmlformats.org/officeDocument/2006/relationships/hyperlink" Target="https://drive.google.com/drive/folders/1AD4BbUBhc8HpiTiPpGcb-FJabwWD_L1g?usp=drive_link" TargetMode="External"/><Relationship Id="rId342" Type="http://schemas.openxmlformats.org/officeDocument/2006/relationships/hyperlink" Target="https://hocmai.vn/bai-giang-truc-tuyen/174811/.html" TargetMode="External"/><Relationship Id="rId343" Type="http://schemas.openxmlformats.org/officeDocument/2006/relationships/hyperlink" Target="https://drive.google.com/drive/folders/15GLuPaczSmlIPWkJfiPmgyNbOqwcSnhy?usp=drive_link" TargetMode="External"/><Relationship Id="rId344" Type="http://schemas.openxmlformats.org/officeDocument/2006/relationships/hyperlink" Target="https://hocmai.vn/file.php/3126/Tai_lieu_bai_giang/SLKH_2627/TLHS_TOS_V-ACT_KH04.pdf" TargetMode="External"/><Relationship Id="rId345" Type="http://schemas.openxmlformats.org/officeDocument/2006/relationships/hyperlink" Target="https://hocmai.vn/file.php/3340/Bai_tap_tu_luyen/26-27/NVHT_TOV_V-ACT_KH04_Thuc_hanh_ky_nang_scan_skim_-_Chon_tu_khoa_trong_van_ban_khoa_hoc_P2_.pdf" TargetMode="External"/><Relationship Id="rId346" Type="http://schemas.openxmlformats.org/officeDocument/2006/relationships/hyperlink" Target="https://drive.google.com/drive/folders/1pQp6d56CzIvfBC7bXfHLWE5vwweYt1Wi?usp=drive_link" TargetMode="External"/><Relationship Id="rId347" Type="http://schemas.openxmlformats.org/officeDocument/2006/relationships/hyperlink" Target="https://drive.google.com/drive/folders/1sKav0sR9IiX8s89WAhwpOzYWEfidmF1z" TargetMode="External"/><Relationship Id="rId348" Type="http://schemas.openxmlformats.org/officeDocument/2006/relationships/hyperlink" Target="https://hocmai.vn/bai-giang-truc-tuyen/174812/.html" TargetMode="External"/><Relationship Id="rId349" Type="http://schemas.openxmlformats.org/officeDocument/2006/relationships/hyperlink" Target="https://hocmai.vn/mod/scorm/view_file.php?inpopup=true&amp;id=182302" TargetMode="External"/><Relationship Id="rId350" Type="http://schemas.openxmlformats.org/officeDocument/2006/relationships/hyperlink" Target="https://hocmai.vn/mod/scorm/view_file.php?inpopup=true&amp;id=182330" TargetMode="External"/><Relationship Id="rId351" Type="http://schemas.openxmlformats.org/officeDocument/2006/relationships/hyperlink" Target="https://drive.google.com/drive/folders/1c_DmyuDAl6J14fYMB6I3AqIAJHLo8saj?usp=sharing" TargetMode="External"/><Relationship Id="rId352" Type="http://schemas.openxmlformats.org/officeDocument/2006/relationships/hyperlink" Target="https://hocmai.sharepoint.com/Education_Development/Lists/San_xuat_video/DispForm.aspx?ID=12200" TargetMode="External"/><Relationship Id="rId353" Type="http://schemas.openxmlformats.org/officeDocument/2006/relationships/hyperlink" Target="https://hocmai.vn/course/view.php?id=3313" TargetMode="External"/><Relationship Id="rId354" Type="http://schemas.openxmlformats.org/officeDocument/2006/relationships/hyperlink" Target="https://drive.google.com/drive/folders/10KhC06VqgRoZG77TEKfFm6gIkSIsKrwY?usp=drive_link" TargetMode="External"/><Relationship Id="rId355" Type="http://schemas.openxmlformats.org/officeDocument/2006/relationships/hyperlink" Target="https://hocmai.sharepoint.com/Education_Development/Lists/San_xuat_video/DispForm.aspx?ID=12168" TargetMode="External"/><Relationship Id="rId356" Type="http://schemas.openxmlformats.org/officeDocument/2006/relationships/hyperlink" Target="https://drive.google.com/drive/folders/1XBKVwSlwZ9MTDmlFcWSavBBIPIXantMQ" TargetMode="External"/><Relationship Id="rId357" Type="http://schemas.openxmlformats.org/officeDocument/2006/relationships/hyperlink" Target="https://hocmai.vn/bai-giang-truc-tuyen/174813/.html" TargetMode="External"/><Relationship Id="rId358" Type="http://schemas.openxmlformats.org/officeDocument/2006/relationships/hyperlink" Target="https://drive.google.com/file/d/1-zYJl-bhmahoggqStwOK_pyZlaMyJ91Z/view?usp=drive_link" TargetMode="External"/><Relationship Id="rId359" Type="http://schemas.openxmlformats.org/officeDocument/2006/relationships/hyperlink" Target="https://drive.google.com/file/d/1k0TNqoVrHfILUmlcMl__AplVLtSfxhRM/view?usp=drive_link" TargetMode="External"/><Relationship Id="rId360" Type="http://schemas.openxmlformats.org/officeDocument/2006/relationships/hyperlink" Target="https://hocmai.vn/mod/scorm/view_file.php?id=182289" TargetMode="External"/><Relationship Id="rId361" Type="http://schemas.openxmlformats.org/officeDocument/2006/relationships/hyperlink" Target="https://hocmai.vn/mod/scorm/view_file.php?id=182366" TargetMode="External"/><Relationship Id="rId362" Type="http://schemas.openxmlformats.org/officeDocument/2006/relationships/hyperlink" Target="https://drive.google.com/drive/folders/1V0LjPE6cOwMejrPo_qJadRcF6Qy6TE9P?usp=drive_link" TargetMode="External"/><Relationship Id="rId363" Type="http://schemas.openxmlformats.org/officeDocument/2006/relationships/hyperlink" Target="https://drive.google.com/drive/folders/1z-V4IKMTnoil-9QZm4XdPI9cnpDu12PS?usp=drive_link" TargetMode="External"/><Relationship Id="rId364" Type="http://schemas.openxmlformats.org/officeDocument/2006/relationships/hyperlink" Target="https://hocmai.vn/bai-giang-truc-tuyen/175116/.html" TargetMode="External"/><Relationship Id="rId365" Type="http://schemas.openxmlformats.org/officeDocument/2006/relationships/hyperlink" Target="https://drive.google.com/drive/folders/1WcebBbpEUZVrhb_-tOT3rW-aNpm_109K?usp=sharing" TargetMode="External"/><Relationship Id="rId366" Type="http://schemas.openxmlformats.org/officeDocument/2006/relationships/hyperlink" Target="https://hocmai.vn/bai-giang-truc-tuyen/175194/.html" TargetMode="External"/><Relationship Id="rId367" Type="http://schemas.openxmlformats.org/officeDocument/2006/relationships/hyperlink" Target="https://drive.google.com/drive/folders/1XXK4bc0HmGit4Trs1OikvZKc5PRXH-Mi" TargetMode="External"/><Relationship Id="rId368" Type="http://schemas.openxmlformats.org/officeDocument/2006/relationships/hyperlink" Target="https://hocmai.vn/bai-giang-truc-tuyen/175170/.html" TargetMode="External"/><Relationship Id="rId369" Type="http://schemas.openxmlformats.org/officeDocument/2006/relationships/hyperlink" Target="https://drive.google.com/drive/folders/1hG2IPc-z3HP3TeyGRPoAaYknWGCHRBX_?usp=sharing" TargetMode="External"/><Relationship Id="rId370" Type="http://schemas.openxmlformats.org/officeDocument/2006/relationships/hyperlink" Target="https://hocmai.vn/bai-giang-truc-tuyen/175176/.html" TargetMode="External"/><Relationship Id="rId371" Type="http://schemas.openxmlformats.org/officeDocument/2006/relationships/hyperlink" Target="https://drive.google.com/drive/folders/1iMRCdi3uXEM8OyIc8kF-47Uiupzee1ak?usp=drive_link" TargetMode="External"/><Relationship Id="rId372" Type="http://schemas.openxmlformats.org/officeDocument/2006/relationships/hyperlink" Target="https://drive.google.com/drive/folders/16BNqJlArbRhXp2FFgg2I2ky-r-pIn9Rp?usp=sharing" TargetMode="External"/><Relationship Id="rId373" Type="http://schemas.openxmlformats.org/officeDocument/2006/relationships/hyperlink" Target="https://drive.google.com/drive/folders/1dWIi1sPROnRGMbbrrHunLvAysN_shFf1" TargetMode="External"/><Relationship Id="rId374" Type="http://schemas.openxmlformats.org/officeDocument/2006/relationships/hyperlink" Target="https://drive.google.com/drive/folders/1K5uNZkiKFu8CuRWDvDhqu2j62-0aPlsb?usp=drive_link" TargetMode="External"/><Relationship Id="rId375" Type="http://schemas.openxmlformats.org/officeDocument/2006/relationships/hyperlink" Target="https://hocmai.vn/bai-giang-truc-tuyen/175127/.html" TargetMode="External"/><Relationship Id="rId376" Type="http://schemas.openxmlformats.org/officeDocument/2006/relationships/hyperlink" Target="https://drive.google.com/drive/folders/1HspX8mZ4_KxqyQbG6D5M51QzdtsZ6KgN?usp=sharing" TargetMode="External"/><Relationship Id="rId377" Type="http://schemas.openxmlformats.org/officeDocument/2006/relationships/hyperlink" Target="https://hocmai.vn/bai-giang-truc-tuyen/175197/.html" TargetMode="External"/><Relationship Id="rId378" Type="http://schemas.openxmlformats.org/officeDocument/2006/relationships/hyperlink" Target="https://drive.google.com/file/d/1A8Spe44L08Y3MIRAzfK657-pvfX8-fvs/view?usp=drive_link" TargetMode="External"/><Relationship Id="rId379" Type="http://schemas.openxmlformats.org/officeDocument/2006/relationships/hyperlink" Target="https://drive.google.com/drive/folders/1MFQN4gHFf_3adenp45YtK_905fsSCVeh?usp=drive_link" TargetMode="External"/><Relationship Id="rId380" Type="http://schemas.openxmlformats.org/officeDocument/2006/relationships/hyperlink" Target="https://hocmai.vn/bai-giang-truc-tuyen/175117/.html" TargetMode="External"/><Relationship Id="rId381" Type="http://schemas.openxmlformats.org/officeDocument/2006/relationships/hyperlink" Target="https://drive.google.com/open?id=1TB6HSDucAmViE-FNmI3_3v2NDHuCaDNS&amp;usp=drive_fs" TargetMode="External"/><Relationship Id="rId382" Type="http://schemas.openxmlformats.org/officeDocument/2006/relationships/hyperlink" Target="https://hocmai.vn/bai-giang-truc-tuyen/175185/.html" TargetMode="External"/><Relationship Id="rId383" Type="http://schemas.openxmlformats.org/officeDocument/2006/relationships/hyperlink" Target="https://drive.google.com/drive/folders/1kmanWKyt6kZUOr_BQRl5m4EvYOJPQfOe?usp=drive_link" TargetMode="External"/><Relationship Id="rId384" Type="http://schemas.openxmlformats.org/officeDocument/2006/relationships/hyperlink" Target="https://hocmai.vn/bai-giang-truc-tuyen/175191/.html" TargetMode="External"/><Relationship Id="rId385" Type="http://schemas.openxmlformats.org/officeDocument/2006/relationships/hyperlink" Target="https://hocmai.vn/file.php/3110/Nam_hoc_2026_-_2027/VAT_LI/TAI_LIEU_HOC_SINH/TLHS_TOV_TSA_05_Moment_luc_can_bang_va_ung_dung_ki_thuat.pdf" TargetMode="External"/><Relationship Id="rId386" Type="http://schemas.openxmlformats.org/officeDocument/2006/relationships/hyperlink" Target="https://hocmai.vn/file.php/3110/Nam_hoc_2026_-_2027/VAT_LI/BTTL/BTTL_TOV_TSA_L05._Moment_luc_can_bang_va_ung_dung_ki_thuat.pdf" TargetMode="External"/><Relationship Id="rId387" Type="http://schemas.openxmlformats.org/officeDocument/2006/relationships/hyperlink" Target="https://drive.google.com/drive/folders/1Sb_eLt9M8BBYzE-bCSW58XrJAMTZUX0R" TargetMode="External"/><Relationship Id="rId388" Type="http://schemas.openxmlformats.org/officeDocument/2006/relationships/hyperlink" Target="https://drive.google.com/drive/folders/1Re6mpwgNFciwRMex-dT0z4Bhw2SFS_VB?usp=drive_link" TargetMode="External"/><Relationship Id="rId389" Type="http://schemas.openxmlformats.org/officeDocument/2006/relationships/hyperlink" Target="https://hocmai.vn/file.php/3119/NAM_HOC_2026_-_2027/Tai_lieu_live/TLHS_TOV_HSA_VL05._Dong_luong_-_Va_cham_va_bao_toan_dong_luong.pdf" TargetMode="External"/><Relationship Id="rId390" Type="http://schemas.openxmlformats.org/officeDocument/2006/relationships/hyperlink" Target="https://hocmai.vn/file.php/3119/NAM_HOC_2026_-_2027/BTTL/BTTL_TOV_HSA_VL05._Dong_luong_-_Va_cham_va_bao_toan_dong_luong.pdf" TargetMode="External"/><Relationship Id="rId391" Type="http://schemas.openxmlformats.org/officeDocument/2006/relationships/hyperlink" Target="https://drive.google.com/drive/folders/1rlTyYhT-FwlfE9okU0Gcey3xWVP1FXNP" TargetMode="External"/><Relationship Id="rId392" Type="http://schemas.openxmlformats.org/officeDocument/2006/relationships/hyperlink" Target="https://hocmai.vn/course/view.php?id=3119&amp;edit=on&amp;sesskey=4KPJGukykI" TargetMode="External"/><Relationship Id="rId393" Type="http://schemas.openxmlformats.org/officeDocument/2006/relationships/hyperlink" Target="https://drive.google.com/drive/folders/1HMD18CKH7MoJo30Hcwt8w_2qoCplrOy7?usp=sharing" TargetMode="External"/><Relationship Id="rId394" Type="http://schemas.openxmlformats.org/officeDocument/2006/relationships/hyperlink" Target="https://drive.google.com/drive/folders/1_7xuY6Lowa0JEIG5PK0Zlu6xm-cZIvjD?usp=drive_link" TargetMode="External"/><Relationship Id="rId395" Type="http://schemas.openxmlformats.org/officeDocument/2006/relationships/hyperlink" Target="https://hocmai.vn/bai-giang-truc-tuyen/175128/.html" TargetMode="External"/><Relationship Id="rId396" Type="http://schemas.openxmlformats.org/officeDocument/2006/relationships/hyperlink" Target="https://drive.google.com/drive/folders/1hHk-q_KWefu3WjynJmV_BUNT3-iT6BKI?usp=drive_link" TargetMode="External"/><Relationship Id="rId397" Type="http://schemas.openxmlformats.org/officeDocument/2006/relationships/hyperlink" Target="https://drive.google.com/drive/folders/1Fg7Eq65FjOVpdj4U0syIxiASkA1EFOvB?usp=drive_link" TargetMode="External"/><Relationship Id="rId398" Type="http://schemas.openxmlformats.org/officeDocument/2006/relationships/hyperlink" Target="https://drive.google.com/drive/folders/19niuA-DJurzpPINlPz162cx-LDtxK5Wc?usp=sharing" TargetMode="External"/><Relationship Id="rId399" Type="http://schemas.openxmlformats.org/officeDocument/2006/relationships/hyperlink" Target="https://hocmai.vn/bai-giang-truc-tuyen/175177/.html" TargetMode="External"/><Relationship Id="rId400" Type="http://schemas.openxmlformats.org/officeDocument/2006/relationships/hyperlink" Target="https://drive.google.com/drive/folders/1NmK-RUV47OxWxZq1Nh2LV78KxIGT8vc_?usp=sharing" TargetMode="External"/><Relationship Id="rId401" Type="http://schemas.openxmlformats.org/officeDocument/2006/relationships/hyperlink" Target="https://hocmai.vn/bai-giang-truc-tuyen/175198/.html" TargetMode="External"/><Relationship Id="rId402" Type="http://schemas.openxmlformats.org/officeDocument/2006/relationships/hyperlink" Target="https://hocmai.vn/mod/scorm/view_file.php?id=182779" TargetMode="External"/><Relationship Id="rId403" Type="http://schemas.openxmlformats.org/officeDocument/2006/relationships/hyperlink" Target="https://hocmai.vn/mod/scorm/view_file.php?id=182780" TargetMode="External"/><Relationship Id="rId404" Type="http://schemas.openxmlformats.org/officeDocument/2006/relationships/hyperlink" Target="https://drive.google.com/drive/folders/12AJi0WyIXLSEOINnCbrtX72W6mCDwBxU?usp=drive_link" TargetMode="External"/><Relationship Id="rId405" Type="http://schemas.openxmlformats.org/officeDocument/2006/relationships/hyperlink" Target="https://hocmai.vn/file.php/3126/Tai_lieu_bai_giang/SLKH_2627/TLHS_TOS_V-ACT_KH05.pdf" TargetMode="External"/><Relationship Id="rId406" Type="http://schemas.openxmlformats.org/officeDocument/2006/relationships/hyperlink" Target="https://hocmai.vn/file.php/3126/Bai_tap_tu_luyen/26-27/NVHT_TOV_V-ACT_KH05.pdf" TargetMode="External"/><Relationship Id="rId407" Type="http://schemas.openxmlformats.org/officeDocument/2006/relationships/hyperlink" Target="https://drive.google.com/drive/folders/1KCUHTPKHtLcuOE6L2puXEk0hjNeVwAhE?usp=drive_link" TargetMode="External"/><Relationship Id="rId408" Type="http://schemas.openxmlformats.org/officeDocument/2006/relationships/hyperlink" Target="https://drive.google.com/drive/folders/13rtXuYLAS6Y1uQ997G3DA_vlFPorFS-A?usp=drive_link" TargetMode="External"/><Relationship Id="rId409" Type="http://schemas.openxmlformats.org/officeDocument/2006/relationships/hyperlink" Target="https://hocmai.vn/bai-giang-truc-tuyen/175129/.html" TargetMode="External"/><Relationship Id="rId410" Type="http://schemas.openxmlformats.org/officeDocument/2006/relationships/hyperlink" Target="https://drive.google.com/drive/folders/1mHjjAwJk_LrOO6MWKGs4GAR73mDbd_S2?usp=drive_link" TargetMode="External"/><Relationship Id="rId411" Type="http://schemas.openxmlformats.org/officeDocument/2006/relationships/hyperlink" Target="https://hocmai.vn/bai-giang-truc-tuyen/175949/.html" TargetMode="External"/><Relationship Id="rId412" Type="http://schemas.openxmlformats.org/officeDocument/2006/relationships/hyperlink" Target="https://drive.google.com/drive/folders/15XaWmidxxe6l-mEbsaBsym-HkoG1WWsZ?usp=drive_link" TargetMode="External"/><Relationship Id="rId413" Type="http://schemas.openxmlformats.org/officeDocument/2006/relationships/hyperlink" Target="https://hocmai.vn/bai-giang-truc-tuyen/175186/.html" TargetMode="External"/><Relationship Id="rId414" Type="http://schemas.openxmlformats.org/officeDocument/2006/relationships/hyperlink" Target="https://hocmai.vn/mod/scorm/view_file.php?inpopup=true&amp;id=182824" TargetMode="External"/><Relationship Id="rId415" Type="http://schemas.openxmlformats.org/officeDocument/2006/relationships/hyperlink" Target="https://hocmai.vn/mod/scorm/view_file.php?inpopup=true&amp;id=182883" TargetMode="External"/><Relationship Id="rId416" Type="http://schemas.openxmlformats.org/officeDocument/2006/relationships/hyperlink" Target="https://drive.google.com/drive/folders/105uSZGOswgWMenkzNaKU-zjyJeQQ3YXg?usp=sharing" TargetMode="External"/><Relationship Id="rId417" Type="http://schemas.openxmlformats.org/officeDocument/2006/relationships/hyperlink" Target="https://hocmai.sharepoint.com/Education_Development/Lists/San_xuat_video/DispForm.aspx?ID=12201" TargetMode="External"/><Relationship Id="rId418" Type="http://schemas.openxmlformats.org/officeDocument/2006/relationships/hyperlink" Target="https://hocmai.vn/course/view.php?id=3313" TargetMode="External"/><Relationship Id="rId419" Type="http://schemas.openxmlformats.org/officeDocument/2006/relationships/hyperlink" Target="https://drive.google.com/drive/folders/1BKudSbYFm_1SirF9eJBTqmJ_SX6X2NnJ?usp=drive_link" TargetMode="External"/><Relationship Id="rId420" Type="http://schemas.openxmlformats.org/officeDocument/2006/relationships/hyperlink" Target="https://hocmai.sharepoint.com/Education_Development/Lists/San_xuat_video/DispForm.aspx?ID=12169" TargetMode="External"/><Relationship Id="rId421" Type="http://schemas.openxmlformats.org/officeDocument/2006/relationships/hyperlink" Target="https://drive.google.com/drive/folders/1_lL8meEF8qHSo4Im_X_j_tLVUwkaFyiQ?usp=drive_link" TargetMode="External"/><Relationship Id="rId422" Type="http://schemas.openxmlformats.org/officeDocument/2006/relationships/hyperlink" Target="https://hocmai.vn/bai-giang-truc-tuyen/175118/.html" TargetMode="External"/><Relationship Id="rId423" Type="http://schemas.openxmlformats.org/officeDocument/2006/relationships/hyperlink" Target="https://drive.google.com/drive/folders/1LoLsZzvjUw9DTpgGb5IWxcdxnvsyz-1h?usp=drive_link" TargetMode="External"/><Relationship Id="rId424" Type="http://schemas.openxmlformats.org/officeDocument/2006/relationships/hyperlink" Target="https://hocmai.vn/bai-giang-truc-tuyen/175124/.html" TargetMode="External"/><Relationship Id="rId425" Type="http://schemas.openxmlformats.org/officeDocument/2006/relationships/hyperlink" Target="https://drive.google.com/drive/folders/1ibyIxi_r7rIkmOgYpvJ_J63og8DE7KUE" TargetMode="External"/><Relationship Id="rId426" Type="http://schemas.openxmlformats.org/officeDocument/2006/relationships/hyperlink" Target="https://hocmai.vn/bai-giang-truc-tuyen/175160/.html" TargetMode="External"/><Relationship Id="rId427" Type="http://schemas.openxmlformats.org/officeDocument/2006/relationships/hyperlink" Target="https://drive.google.com/drive/folders/1M-Xs0pWTHTgVm5L5o3vdoa8W_JXtgsZF?usp=drive_link" TargetMode="External"/><Relationship Id="rId428" Type="http://schemas.openxmlformats.org/officeDocument/2006/relationships/hyperlink" Target="https://hocmai.vn/bai-giang-truc-tuyen/175950/.html" TargetMode="External"/><Relationship Id="rId429" Type="http://schemas.openxmlformats.org/officeDocument/2006/relationships/hyperlink" Target="https://drive.google.com/drive/folders/16Xactm_BDcfth5A0JVcju0y-LTZQetax?usp=sharing" TargetMode="External"/><Relationship Id="rId430" Type="http://schemas.openxmlformats.org/officeDocument/2006/relationships/hyperlink" Target="https://hocmai.vn/bai-giang-truc-tuyen/175178/.html" TargetMode="External"/><Relationship Id="rId431" Type="http://schemas.openxmlformats.org/officeDocument/2006/relationships/hyperlink" Target="https://drive.google.com/file/d/1EB1anhJAiKLDl4HZZgKwuY42w9GXFIVT/view?usp=drive_link" TargetMode="External"/><Relationship Id="rId432" Type="http://schemas.openxmlformats.org/officeDocument/2006/relationships/hyperlink" Target="https://drive.google.com/file/d/1-Av2WegymQkKnOX5wGON-9RtelMqb65_/view?usp=drive_link" TargetMode="External"/><Relationship Id="rId433" Type="http://schemas.openxmlformats.org/officeDocument/2006/relationships/hyperlink" Target="https://hocmai.vn/mod/scorm/view_file.php?id=182712" TargetMode="External"/><Relationship Id="rId434" Type="http://schemas.openxmlformats.org/officeDocument/2006/relationships/hyperlink" Target="https://hocmai.vn/mod/scorm/view_file.php?id=182713" TargetMode="External"/><Relationship Id="rId435" Type="http://schemas.openxmlformats.org/officeDocument/2006/relationships/hyperlink" Target="https://drive.google.com/drive/folders/1zhBRTUojCvw3nuQmQ_gAyze5lYSiRSub?usp=drive_link" TargetMode="External"/><Relationship Id="rId436" Type="http://schemas.openxmlformats.org/officeDocument/2006/relationships/hyperlink" Target="https://drive.google.com/drive/folders/1jlhLZtHLCb6UUqpY6L-uSDjN87MWHH3t?usp=drive_link" TargetMode="External"/><Relationship Id="rId437" Type="http://schemas.openxmlformats.org/officeDocument/2006/relationships/hyperlink" Target="https://hocmai.vn/bai-giang-truc-tuyen/175119/.html" TargetMode="External"/><Relationship Id="rId438" Type="http://schemas.openxmlformats.org/officeDocument/2006/relationships/hyperlink" Target="https://drive.google.com/drive/folders/1NMLUpM4hs1gt6P5CU9Zi9p32gr9CzMil?usp=sharing" TargetMode="External"/><Relationship Id="rId439" Type="http://schemas.openxmlformats.org/officeDocument/2006/relationships/hyperlink" Target="https://hocmai.vn/bai-giang-truc-tuyen/175195/.html" TargetMode="External"/><Relationship Id="rId440" Type="http://schemas.openxmlformats.org/officeDocument/2006/relationships/hyperlink" Target="https://drive.google.com/drive/folders/1oxG68QJibKayHvB6D-hp2oUX3GzA51xv?usp=drive_link" TargetMode="External"/><Relationship Id="rId441" Type="http://schemas.openxmlformats.org/officeDocument/2006/relationships/hyperlink" Target="https://hocmai.vn/bai-giang-truc-tuyen/175171/.html" TargetMode="External"/><Relationship Id="rId442" Type="http://schemas.openxmlformats.org/officeDocument/2006/relationships/hyperlink" Target="https://drive.google.com/drive/folders/1sp8dw_Yacs4NOkOgYmqigSHf84EzneNs?usp=sharing" TargetMode="External"/><Relationship Id="rId443" Type="http://schemas.openxmlformats.org/officeDocument/2006/relationships/hyperlink" Target="https://hocmai.vn/bai-giang-truc-tuyen/175179/.html" TargetMode="External"/><Relationship Id="rId444" Type="http://schemas.openxmlformats.org/officeDocument/2006/relationships/hyperlink" Target="https://drive.google.com/drive/folders/13WLp_yqlKAYkgB62-wySQniSDQesIvmD?usp=drive_link" TargetMode="External"/><Relationship Id="rId445" Type="http://schemas.openxmlformats.org/officeDocument/2006/relationships/hyperlink" Target="https://drive.google.com/drive/folders/1yTOZtKH5nVKLzPAn7Zp3Gm2-yzuSUlrr?usp=sharing" TargetMode="External"/><Relationship Id="rId446" Type="http://schemas.openxmlformats.org/officeDocument/2006/relationships/hyperlink" Target="https://drive.google.com/drive/folders/1NId82c-2yshQLvlXk-HVGVH_Cpd3uOTO?usp=drive_link" TargetMode="External"/><Relationship Id="rId447" Type="http://schemas.openxmlformats.org/officeDocument/2006/relationships/hyperlink" Target="https://drive.google.com/drive/folders/1smpSrHhTEt7qNKjr52gljgy8jUIdOM-W?usp=drive_link" TargetMode="External"/><Relationship Id="rId448" Type="http://schemas.openxmlformats.org/officeDocument/2006/relationships/hyperlink" Target="https://hocmai.vn/bai-giang-truc-tuyen/175130/.html" TargetMode="External"/><Relationship Id="rId449" Type="http://schemas.openxmlformats.org/officeDocument/2006/relationships/hyperlink" Target="https://drive.google.com/drive/folders/1TUSUlPlEb8y_1fi9tsy_tX9SQU0EB0U9?usp=sharing" TargetMode="External"/><Relationship Id="rId450" Type="http://schemas.openxmlformats.org/officeDocument/2006/relationships/hyperlink" Target="https://hocmai.vn/bai-giang-truc-tuyen/175199/.html" TargetMode="External"/><Relationship Id="rId451" Type="http://schemas.openxmlformats.org/officeDocument/2006/relationships/hyperlink" Target="https://drive.google.com/file/d/1mI-zIvqCPp5Y0C8wWMwjvzm8iH-OU3a-/view?usp=drive_link" TargetMode="External"/><Relationship Id="rId452" Type="http://schemas.openxmlformats.org/officeDocument/2006/relationships/hyperlink" Target="https://drive.google.com/drive/folders/1So-0z2O5jKc9__KepNxMabVuja9DkBHS?usp=drive_link" TargetMode="External"/><Relationship Id="rId453" Type="http://schemas.openxmlformats.org/officeDocument/2006/relationships/hyperlink" Target="https://hocmai.vn/bai-giang-truc-tuyen/175120/.html" TargetMode="External"/><Relationship Id="rId454" Type="http://schemas.openxmlformats.org/officeDocument/2006/relationships/hyperlink" Target="https://drive.google.com/drive/folders/1N_-1CDF7GSU_m3Gsal_CIZcElxjQYgvg?usp=drive_link" TargetMode="External"/><Relationship Id="rId455" Type="http://schemas.openxmlformats.org/officeDocument/2006/relationships/hyperlink" Target="https://hocmai.vn/bai-giang-truc-tuyen/175951/.html" TargetMode="External"/><Relationship Id="rId456" Type="http://schemas.openxmlformats.org/officeDocument/2006/relationships/hyperlink" Target="https://drive.google.com/open?id=16XkmzvlJaSNx4gFAlXKB-jUWtmKztYi3&amp;usp=drive_fs" TargetMode="External"/><Relationship Id="rId457" Type="http://schemas.openxmlformats.org/officeDocument/2006/relationships/hyperlink" Target="https://hocmai.vn/bai-giang-truc-tuyen/175187/.html" TargetMode="External"/><Relationship Id="rId458" Type="http://schemas.openxmlformats.org/officeDocument/2006/relationships/hyperlink" Target="https://drive.google.com/drive/folders/1TnxBdBN3Ndo-fjV3p8zTyGpFLbX93IHr?usp=drive_link" TargetMode="External"/><Relationship Id="rId459" Type="http://schemas.openxmlformats.org/officeDocument/2006/relationships/hyperlink" Target="https://hocmai.vn/bai-giang-truc-tuyen/175192/.html" TargetMode="External"/><Relationship Id="rId460" Type="http://schemas.openxmlformats.org/officeDocument/2006/relationships/hyperlink" Target="https://hocmai.vn/file.php/3110/Nam_hoc_2026_-_2027/VAT_LI/TAI_LIEU_HOC_SINH/TLHS_TOV_TSA_06_Bao_toan_trong_co_hoc_nang_luong_va_dong_luong.pdf" TargetMode="External"/><Relationship Id="rId461" Type="http://schemas.openxmlformats.org/officeDocument/2006/relationships/hyperlink" Target="https://hocmai.vn/file.php/3110/Nam_hoc_2026_-_2027/VAT_LI/BTTL/BTTL_TOV_TSA_L06._Bao_toan_trong_co_hoc_nang_luong_va_dong_luong.pdf" TargetMode="External"/><Relationship Id="rId462" Type="http://schemas.openxmlformats.org/officeDocument/2006/relationships/hyperlink" Target="https://drive.google.com/drive/folders/1ZI2GJEq_B4yaN2LlDLVEOysV1e_VfEPl" TargetMode="External"/><Relationship Id="rId463" Type="http://schemas.openxmlformats.org/officeDocument/2006/relationships/hyperlink" Target="https://drive.google.com/drive/folders/10-M7DLGcXtXQRWAuQWhTZ5uMnGKRri5_?usp=drive_link" TargetMode="External"/><Relationship Id="rId464" Type="http://schemas.openxmlformats.org/officeDocument/2006/relationships/hyperlink" Target="https://hocmai.vn/file.php/3119/NAM_HOC_2026_-_2027/Tai_lieu_live/TLHS_TOV_HSA_VL06._Dao_dong.pdf" TargetMode="External"/><Relationship Id="rId465" Type="http://schemas.openxmlformats.org/officeDocument/2006/relationships/hyperlink" Target="https://hocmai.vn/file.php/3119/NAM_HOC_2026_-_2027/BTTL/BTTL_TOV_HSA_VL06._Dao_dong.pdf" TargetMode="External"/><Relationship Id="rId466" Type="http://schemas.openxmlformats.org/officeDocument/2006/relationships/hyperlink" Target="https://drive.google.com/drive/folders/1hS24Jw7KCWDjcw5ronX1VHrdhuuQyepy?usp=drive_link" TargetMode="External"/><Relationship Id="rId467" Type="http://schemas.openxmlformats.org/officeDocument/2006/relationships/hyperlink" Target="https://hocmai.vn/course/view.php?id=3119&amp;edit=on&amp;sesskey=4KPJGukykI" TargetMode="External"/><Relationship Id="rId468" Type="http://schemas.openxmlformats.org/officeDocument/2006/relationships/hyperlink" Target="https://drive.google.com/drive/folders/1GQ2nvLTQAWzD1OD9rASX4lgDqePmYF06?usp=sharing" TargetMode="External"/><Relationship Id="rId469" Type="http://schemas.openxmlformats.org/officeDocument/2006/relationships/hyperlink" Target="https://drive.google.com/drive/folders/1jNe-bZ9AHDlmOFPi7L2JTTc695hmWisE?usp=drive_link" TargetMode="External"/><Relationship Id="rId470" Type="http://schemas.openxmlformats.org/officeDocument/2006/relationships/hyperlink" Target="https://hocmai.vn/bai-giang-truc-tuyen/175131/.html" TargetMode="External"/><Relationship Id="rId471" Type="http://schemas.openxmlformats.org/officeDocument/2006/relationships/hyperlink" Target="https://drive.google.com/drive/folders/1X6LhPvWEFQZBn9nbfCTd2_bDj-xyj4l5?usp=drive_link" TargetMode="External"/><Relationship Id="rId472" Type="http://schemas.openxmlformats.org/officeDocument/2006/relationships/hyperlink" Target="https://drive.google.com/drive/folders/1BFlo7sQNQArxvwhodfKGwwwch8UuW15j?usp=sharing" TargetMode="External"/><Relationship Id="rId473" Type="http://schemas.openxmlformats.org/officeDocument/2006/relationships/hyperlink" Target="https://drive.google.com/drive/folders/1SOTe9qjdqel_gxOP-yKM4CHcCobMoWBW" TargetMode="External"/><Relationship Id="rId474" Type="http://schemas.openxmlformats.org/officeDocument/2006/relationships/hyperlink" Target="https://drive.google.com/drive/folders/1oS-t62F8Nv64R0CH_2HVaBy2VurYUr8k?usp=sharing" TargetMode="External"/><Relationship Id="rId475" Type="http://schemas.openxmlformats.org/officeDocument/2006/relationships/hyperlink" Target="https://hocmai.vn/bai-giang-truc-tuyen/175180/.html" TargetMode="External"/><Relationship Id="rId476" Type="http://schemas.openxmlformats.org/officeDocument/2006/relationships/hyperlink" Target="https://drive.google.com/drive/folders/1VJ0MuhB_ogDs6--EJzUtVD7pFFuG7huw?usp=sharing" TargetMode="External"/><Relationship Id="rId477" Type="http://schemas.openxmlformats.org/officeDocument/2006/relationships/hyperlink" Target="https://hocmai.vn/bai-giang-truc-tuyen/175200/.html" TargetMode="External"/><Relationship Id="rId478" Type="http://schemas.openxmlformats.org/officeDocument/2006/relationships/hyperlink" Target="https://drive.google.com/drive/folders/1I5p7bWQnU_WRmO9GbUFNLgQufkh8gc-8?usp=drive_link" TargetMode="External"/><Relationship Id="rId479" Type="http://schemas.openxmlformats.org/officeDocument/2006/relationships/hyperlink" Target="https://hocmai.vn/file.php/3340/Tai_lieu_bai_giang/26-27/TLHS_TOS_V-ACT_KH06.pdf" TargetMode="External"/><Relationship Id="rId480" Type="http://schemas.openxmlformats.org/officeDocument/2006/relationships/hyperlink" Target="https://hocmai.vn/file.php/3340/Tai_lieu_bai_giang/26-27/TLHS_TOS_V-ACT_KH06.pdf" TargetMode="External"/><Relationship Id="rId481" Type="http://schemas.openxmlformats.org/officeDocument/2006/relationships/hyperlink" Target="https://drive.google.com/drive/folders/1E3wQHgheAum59wmmDPBzImP52DAT0pzV?usp=drive_link" TargetMode="External"/><Relationship Id="rId482" Type="http://schemas.openxmlformats.org/officeDocument/2006/relationships/hyperlink" Target="https://drive.google.com/drive/folders/16-Qu1VNJJzdowh52CSlKDKPapNAOJ9RL?usp=drive_link" TargetMode="External"/><Relationship Id="rId483" Type="http://schemas.openxmlformats.org/officeDocument/2006/relationships/hyperlink" Target="https://drive.google.com/drive/folders/1qMPEaJNOG8mNUtPZcxrbn5MwkeO8nRcF?usp=drive_link" TargetMode="External"/><Relationship Id="rId484" Type="http://schemas.openxmlformats.org/officeDocument/2006/relationships/hyperlink" Target="https://hocmai.vn/bai-giang-truc-tuyen/175132/.html" TargetMode="External"/><Relationship Id="rId485" Type="http://schemas.openxmlformats.org/officeDocument/2006/relationships/hyperlink" Target="https://drive.google.com/open?id=19my3qKiIbBzGhGFwOBotM4f1DgRDrzfD&amp;usp=drive_fs" TargetMode="External"/><Relationship Id="rId486" Type="http://schemas.openxmlformats.org/officeDocument/2006/relationships/hyperlink" Target="https://hocmai.vn/bai-giang-truc-tuyen/175188/.html" TargetMode="External"/><Relationship Id="rId487" Type="http://schemas.openxmlformats.org/officeDocument/2006/relationships/hyperlink" Target="https://drive.google.com/drive/folders/1W_khhRV_B8Ej2rWgWIhy5JHRgvDJqJwc?usp=drive_link" TargetMode="External"/><Relationship Id="rId488" Type="http://schemas.openxmlformats.org/officeDocument/2006/relationships/hyperlink" Target="https://hocmai.sharepoint.com/Education_Development/Lists/San_xuat_video/DispForm.aspx?ID=12170" TargetMode="External"/><Relationship Id="rId489" Type="http://schemas.openxmlformats.org/officeDocument/2006/relationships/hyperlink" Target="https://drive.google.com/drive/folders/1ytk2QdDLtj16bZBgnppAXPGGU4R6grzm?usp=drive_link" TargetMode="External"/><Relationship Id="rId490" Type="http://schemas.openxmlformats.org/officeDocument/2006/relationships/hyperlink" Target="https://hocmai.vn/bai-giang-truc-tuyen/175121/.html" TargetMode="External"/><Relationship Id="rId491" Type="http://schemas.openxmlformats.org/officeDocument/2006/relationships/hyperlink" Target="https://drive.google.com/drive/folders/1pd9bjJYibgDmbHxguapUk25cMrKVUUMQ?usp=sharing" TargetMode="External"/><Relationship Id="rId492" Type="http://schemas.openxmlformats.org/officeDocument/2006/relationships/hyperlink" Target="https://hocmai.vn/bai-giang-truc-tuyen/175125/.html" TargetMode="External"/><Relationship Id="rId493" Type="http://schemas.openxmlformats.org/officeDocument/2006/relationships/hyperlink" Target="https://drive.google.com/drive/folders/1N5U1fOCWGSS4xd4f5zqBjojeVWogOqtv?usp=drive_link" TargetMode="External"/><Relationship Id="rId494" Type="http://schemas.openxmlformats.org/officeDocument/2006/relationships/hyperlink" Target="https://hocmai.vn/bai-giang-truc-tuyen/175952/.html" TargetMode="External"/><Relationship Id="rId495" Type="http://schemas.openxmlformats.org/officeDocument/2006/relationships/hyperlink" Target="https://drive.google.com/open?id=1NlpFpKDYOm4bBwGPgeeHD7zH92LiYoFS&amp;usp=drive_fs" TargetMode="External"/><Relationship Id="rId496" Type="http://schemas.openxmlformats.org/officeDocument/2006/relationships/hyperlink" Target="https://hocmai.vn/bai-giang-truc-tuyen/175161/.html" TargetMode="External"/><Relationship Id="rId497" Type="http://schemas.openxmlformats.org/officeDocument/2006/relationships/hyperlink" Target="https://drive.google.com/drive/folders/1Usy3Pw0JiJGVMeI6lyFj1JCjSmE-nxi7?usp=drive_link" TargetMode="External"/><Relationship Id="rId498" Type="http://schemas.openxmlformats.org/officeDocument/2006/relationships/hyperlink" Target="https://hocmai.vn/bai-giang-truc-tuyen/175953/.html" TargetMode="External"/><Relationship Id="rId499" Type="http://schemas.openxmlformats.org/officeDocument/2006/relationships/hyperlink" Target="https://drive.google.com/drive/folders/1ISiyTnqX1F0n3ybTokbKtD7zjkCjcUrl?usp=drive_link" TargetMode="External"/><Relationship Id="rId500" Type="http://schemas.openxmlformats.org/officeDocument/2006/relationships/hyperlink" Target="https://hocmai.vn/bai-giang-truc-tuyen/175954/.html" TargetMode="External"/><Relationship Id="rId501" Type="http://schemas.openxmlformats.org/officeDocument/2006/relationships/hyperlink" Target="https://drive.google.com/drive/folders/1VsPvbmntiS76F8Qr3l5GnM-W8WxviuR_?usp=sharing" TargetMode="External"/><Relationship Id="rId502" Type="http://schemas.openxmlformats.org/officeDocument/2006/relationships/hyperlink" Target="https://hocmai.vn/bai-giang-truc-tuyen/175201/.html" TargetMode="External"/><Relationship Id="rId503" Type="http://schemas.openxmlformats.org/officeDocument/2006/relationships/hyperlink" Target="https://drive.google.com/drive/folders/1VbCBRy_rbZgynFx3_rGRZCGRtMLe637F" TargetMode="External"/><Relationship Id="rId504" Type="http://schemas.openxmlformats.org/officeDocument/2006/relationships/hyperlink" Target="https://drive.google.com/file/d/1n2B9zqVAEZdUaov9_TyscNgI3UXEyrCG/view?usp=drive_link" TargetMode="External"/><Relationship Id="rId505" Type="http://schemas.openxmlformats.org/officeDocument/2006/relationships/hyperlink" Target="https://hocmai.vn/mod/scorm/view_file.php?id=182799" TargetMode="External"/><Relationship Id="rId506" Type="http://schemas.openxmlformats.org/officeDocument/2006/relationships/hyperlink" Target="https://hocmai.vn/mod/scorm/view_file.php?id=182848" TargetMode="External"/><Relationship Id="rId507" Type="http://schemas.openxmlformats.org/officeDocument/2006/relationships/hyperlink" Target="https://drive.google.com/drive/folders/1FNOTYQn6fn7jr_a2gzu7j8MuYSwQ-F1d?usp=drive_link" TargetMode="External"/><Relationship Id="rId508" Type="http://schemas.openxmlformats.org/officeDocument/2006/relationships/hyperlink" Target="https://drive.google.com/drive/folders/1hrLxoRSFc_assiqtgK0n7UmRTUv4Ct05?usp=drive_link" TargetMode="External"/><Relationship Id="rId509" Type="http://schemas.openxmlformats.org/officeDocument/2006/relationships/hyperlink" Target="https://hocmai.vn/bai-giang-truc-tuyen/175122/.html" TargetMode="External"/><Relationship Id="rId510" Type="http://schemas.openxmlformats.org/officeDocument/2006/relationships/hyperlink" Target="https://drive.google.com/drive/folders/1RrnRtBbJIW41m5osaG5pDRYod8SgKmhU" TargetMode="External"/><Relationship Id="rId511" Type="http://schemas.openxmlformats.org/officeDocument/2006/relationships/hyperlink" Target="https://hocmai.vn/bai-giang-truc-tuyen/175196/.html" TargetMode="External"/><Relationship Id="rId512" Type="http://schemas.openxmlformats.org/officeDocument/2006/relationships/hyperlink" Target="https://drive.google.com/drive/folders/1SNXw8FMnSVWjl_AGgjHxIPQ4hAGPsSzM?usp=drive_link" TargetMode="External"/><Relationship Id="rId513" Type="http://schemas.openxmlformats.org/officeDocument/2006/relationships/hyperlink" Target="https://hocmai.vn/bai-giang-truc-tuyen/175230/.html" TargetMode="External"/><Relationship Id="rId514" Type="http://schemas.openxmlformats.org/officeDocument/2006/relationships/hyperlink" Target="https://drive.google.com/drive/folders/1YD6epN4Jn-X9Hetb5mye6HzmJeuRcllw?usp=sharing" TargetMode="External"/><Relationship Id="rId515" Type="http://schemas.openxmlformats.org/officeDocument/2006/relationships/hyperlink" Target="https://hocmai.vn/bai-giang-truc-tuyen/175181/.html" TargetMode="External"/><Relationship Id="rId516" Type="http://schemas.openxmlformats.org/officeDocument/2006/relationships/hyperlink" Target="https://drive.google.com/drive/folders/1thSEJRjX981HLdAGAEVJI06eEqnwEJQa?usp=drive_link" TargetMode="External"/><Relationship Id="rId517" Type="http://schemas.openxmlformats.org/officeDocument/2006/relationships/hyperlink" Target="https://drive.google.com/drive/folders/144-x_5rehN3RczTmYQztX8x7AsUWMAkn?usp=sharing" TargetMode="External"/><Relationship Id="rId518" Type="http://schemas.openxmlformats.org/officeDocument/2006/relationships/hyperlink" Target="https://drive.google.com/drive/folders/12PmMzRFKNdKQPYAxLBGqJFPeYrAzRepJ" TargetMode="External"/><Relationship Id="rId519" Type="http://schemas.openxmlformats.org/officeDocument/2006/relationships/hyperlink" Target="https://drive.google.com/drive/folders/1fcKa9Vb-Qj_QUNeJIo58ZE-GmJQYFCM0?usp=drive_link" TargetMode="External"/><Relationship Id="rId520" Type="http://schemas.openxmlformats.org/officeDocument/2006/relationships/hyperlink" Target="https://hocmai.vn/bai-giang-truc-tuyen/175133/.html" TargetMode="External"/><Relationship Id="rId521" Type="http://schemas.openxmlformats.org/officeDocument/2006/relationships/hyperlink" Target="https://drive.google.com/drive/folders/1ZuS1b2FzGlBADGFKLfJf22H8nkRQLLqI" TargetMode="External"/><Relationship Id="rId522" Type="http://schemas.openxmlformats.org/officeDocument/2006/relationships/hyperlink" Target="https://hocmai.vn/bai-giang-truc-tuyen/175202/.html" TargetMode="External"/><Relationship Id="rId523" Type="http://schemas.openxmlformats.org/officeDocument/2006/relationships/hyperlink" Target="https://hocmai.vn/mod/scorm/view_file.php?inpopup=true&amp;id=183299" TargetMode="External"/><Relationship Id="rId524" Type="http://schemas.openxmlformats.org/officeDocument/2006/relationships/hyperlink" Target="https://hocmai.vn/mod/scorm/view_file.php?inpopup=true&amp;id=183339" TargetMode="External"/><Relationship Id="rId525" Type="http://schemas.openxmlformats.org/officeDocument/2006/relationships/hyperlink" Target="https://drive.google.com/drive/folders/1X_q7q9ynwBsqCiYPcdmTPDxhOhzbOd73?usp=sharing" TargetMode="External"/><Relationship Id="rId526" Type="http://schemas.openxmlformats.org/officeDocument/2006/relationships/hyperlink" Target="https://hocmai.sharepoint.com/Education_Development/Lists/San_xuat_video/DispForm.aspx?ID=12202" TargetMode="External"/><Relationship Id="rId527" Type="http://schemas.openxmlformats.org/officeDocument/2006/relationships/hyperlink" Target="https://hocmai.vn/course/view.php?id=3313" TargetMode="External"/><Relationship Id="rId528" Type="http://schemas.openxmlformats.org/officeDocument/2006/relationships/hyperlink" Target="https://drive.google.com/file/d/1xYFRBjw9HVisdxWnmwYm5skZGis8dYfn/view?usp=drive_link" TargetMode="External"/><Relationship Id="rId529" Type="http://schemas.openxmlformats.org/officeDocument/2006/relationships/hyperlink" Target="https://drive.google.com/drive/folders/17JvudBHLEBpqJmZlcuKoOIUiV1xNAn4n?usp=drive_link" TargetMode="External"/><Relationship Id="rId530" Type="http://schemas.openxmlformats.org/officeDocument/2006/relationships/hyperlink" Target="https://hocmai.vn/bai-giang-truc-tuyen/175123/.html" TargetMode="External"/><Relationship Id="rId531" Type="http://schemas.openxmlformats.org/officeDocument/2006/relationships/hyperlink" Target="https://drive.google.com/open?id=1NXDvbsYDGKb6RKxOyCFE2f1NKbwC1JY6&amp;usp=drive_fs" TargetMode="External"/><Relationship Id="rId532" Type="http://schemas.openxmlformats.org/officeDocument/2006/relationships/hyperlink" Target="https://hocmai.vn/bai-giang-truc-tuyen/175189/.html" TargetMode="External"/><Relationship Id="rId533" Type="http://schemas.openxmlformats.org/officeDocument/2006/relationships/hyperlink" Target="https://drive.google.com/drive/folders/1-gzV_TWjQeqKI1QhubhNphkt1F0lcG34?usp=drive_link" TargetMode="External"/><Relationship Id="rId534" Type="http://schemas.openxmlformats.org/officeDocument/2006/relationships/hyperlink" Target="https://hocmai.vn/bai-giang-truc-tuyen/175193/.html" TargetMode="External"/><Relationship Id="rId535" Type="http://schemas.openxmlformats.org/officeDocument/2006/relationships/hyperlink" Target="https://hocmai.vn/file.php/3110/Nam_hoc_2026_-_2027/VAT_LI/TAI_LIEU_HOC_SINH/TLHS_TOV_TSA_07._Dao_dong_co_va_cac_quy_luat_bien_doi_theo_thoi_gian.pdf" TargetMode="External"/><Relationship Id="rId536" Type="http://schemas.openxmlformats.org/officeDocument/2006/relationships/hyperlink" Target="https://hocmai.vn/file.php/3110/Nam_hoc_2026_-_2027/VAT_LI/BTTL/BTTL_TOV_TSA_L07._Dao_dong_co_va_cac_quy_luat_bien_doi_theo_thoi_gian.pdf" TargetMode="External"/><Relationship Id="rId537" Type="http://schemas.openxmlformats.org/officeDocument/2006/relationships/hyperlink" Target="https://drive.google.com/drive/folders/172XelCoBR5y1Z_vRLFFoUc02PAd51fN3" TargetMode="External"/><Relationship Id="rId538" Type="http://schemas.openxmlformats.org/officeDocument/2006/relationships/hyperlink" Target="https://drive.google.com/drive/folders/16h7Rk6txMVtNLDIjH424s4jVK8jmTRY9?usp=drive_link" TargetMode="External"/><Relationship Id="rId539" Type="http://schemas.openxmlformats.org/officeDocument/2006/relationships/hyperlink" Target="https://hocmai.vn/file.php/3119/NAM_HOC_2026_-_2027/Tai_lieu_live/TLHS_TOV_HSA_VL07._Song.pdf" TargetMode="External"/><Relationship Id="rId540" Type="http://schemas.openxmlformats.org/officeDocument/2006/relationships/hyperlink" Target="https://hocmai.vn/file.php/3119/NAM_HOC_2026_-_2027/BTTL/BTTL_TOV_HSA_VL07._Song.pdf" TargetMode="External"/><Relationship Id="rId541" Type="http://schemas.openxmlformats.org/officeDocument/2006/relationships/hyperlink" Target="https://drive.google.com/drive/folders/1iFI5mfngI0qR66ElDDdt08hl_IvKkIN-?usp=drive_link" TargetMode="External"/><Relationship Id="rId542" Type="http://schemas.openxmlformats.org/officeDocument/2006/relationships/hyperlink" Target="https://hocmai.vn/course/view.php?id=3119&amp;edit=on&amp;sesskey=4KPJGukykI" TargetMode="External"/><Relationship Id="rId543" Type="http://schemas.openxmlformats.org/officeDocument/2006/relationships/hyperlink" Target="https://drive.google.com/drive/folders/1ys1_ZbIKI67YwNVI1T8qAFQsinUOeRvR?usp=sharing" TargetMode="External"/><Relationship Id="rId544" Type="http://schemas.openxmlformats.org/officeDocument/2006/relationships/hyperlink" Target="https://drive.google.com/drive/folders/1nntpAx65r6hh_8hUyeJuHb-cJ2LThouy?usp=drive_link" TargetMode="External"/><Relationship Id="rId545" Type="http://schemas.openxmlformats.org/officeDocument/2006/relationships/hyperlink" Target="https://hocmai.vn/bai-giang-truc-tuyen/175134/.html" TargetMode="External"/><Relationship Id="rId546" Type="http://schemas.openxmlformats.org/officeDocument/2006/relationships/hyperlink" Target="https://drive.google.com/drive/folders/1Qb7nXYmxRs-45KBAnbxq0BeNyw10kM6c?usp=sharing" TargetMode="External"/><Relationship Id="rId547" Type="http://schemas.openxmlformats.org/officeDocument/2006/relationships/hyperlink" Target="https://drive.google.com/drive/folders/1QLraGWjJKNQW_wY7jTKmHXByx1Y8uij9" TargetMode="External"/><Relationship Id="rId548" Type="http://schemas.openxmlformats.org/officeDocument/2006/relationships/hyperlink" Target="https://drive.google.com/drive/folders/1O8N4ZM0SGnHsQoldEf6VosXutJN3bfPn?usp=sharing" TargetMode="External"/><Relationship Id="rId549" Type="http://schemas.openxmlformats.org/officeDocument/2006/relationships/hyperlink" Target="https://hocmai.vn/bai-giang-truc-tuyen/175182/.html" TargetMode="External"/><Relationship Id="rId550" Type="http://schemas.openxmlformats.org/officeDocument/2006/relationships/hyperlink" Target="https://drive.google.com/drive/folders/1AVAJOzfjUI9r1dLky7Hp5WfkcC1LwwG_" TargetMode="External"/><Relationship Id="rId551" Type="http://schemas.openxmlformats.org/officeDocument/2006/relationships/hyperlink" Target="https://hocmai.vn/bai-giang-truc-tuyen/175568/.html" TargetMode="External"/><Relationship Id="rId552" Type="http://schemas.openxmlformats.org/officeDocument/2006/relationships/hyperlink" Target="https://hocmai.vn/mod/scorm/view_file.php?id=183801" TargetMode="External"/><Relationship Id="rId553" Type="http://schemas.openxmlformats.org/officeDocument/2006/relationships/hyperlink" Target="https://hocmai.vn/file.php/3340/Tai_lieu_bai_giang/26-27/TLHS_TOS_V-ACT_KH07.pdf" TargetMode="External"/><Relationship Id="rId554" Type="http://schemas.openxmlformats.org/officeDocument/2006/relationships/hyperlink" Target="https://hocmai.vn/file.php/3340/Bai_tap_tu_luyen/26-27/NVHT_TOV_V-ACT_KH07.pdf" TargetMode="External"/><Relationship Id="rId555" Type="http://schemas.openxmlformats.org/officeDocument/2006/relationships/hyperlink" Target="https://drive.google.com/drive/folders/10ss9Gh1D3hScOzijI-rEvylKev-PS3OI?usp=drive_link" TargetMode="External"/><Relationship Id="rId556" Type="http://schemas.openxmlformats.org/officeDocument/2006/relationships/hyperlink" Target="https://drive.google.com/drive/folders/1Q9j4Do44uo0CrfwW25rIHE4XOzmNgGxM?usp=drive_link" TargetMode="External"/><Relationship Id="rId557" Type="http://schemas.openxmlformats.org/officeDocument/2006/relationships/hyperlink" Target="https://hocmai.vn/bai-giang-truc-tuyen/176065/.html" TargetMode="External"/><Relationship Id="rId558" Type="http://schemas.openxmlformats.org/officeDocument/2006/relationships/hyperlink" Target="https://hocmai.vn/mod/scorm/view_file.php?inpopup=true&amp;id=183896" TargetMode="External"/><Relationship Id="rId559" Type="http://schemas.openxmlformats.org/officeDocument/2006/relationships/hyperlink" Target="https://hocmai.vn/mod/scorm/view_file.php?inpopup=true&amp;id=183911" TargetMode="External"/><Relationship Id="rId560" Type="http://schemas.openxmlformats.org/officeDocument/2006/relationships/hyperlink" Target="https://drive.google.com/drive/folders/1whYY1PDPUEKpfEY1sKURbJXNUEi1tuBK?usp=drive_link" TargetMode="External"/><Relationship Id="rId561" Type="http://schemas.openxmlformats.org/officeDocument/2006/relationships/hyperlink" Target="https://hocmai.sharepoint.com/Education_Development/Lists/San_xuat_video/DispForm.aspx?ID=12203" TargetMode="External"/><Relationship Id="rId562" Type="http://schemas.openxmlformats.org/officeDocument/2006/relationships/hyperlink" Target="https://hocmai.vn/course/view.php?id=3313" TargetMode="External"/><Relationship Id="rId563" Type="http://schemas.openxmlformats.org/officeDocument/2006/relationships/hyperlink" Target="https://hocmai.vn/file.php/3312/Tai_lieu_live/Topuni_26_27_Nen_tang_Buoi_32_CAC_BAI_TOAN_THUC_TE_TINH_DIEN_TICH_HINH_PHANG_TLBG.pdf" TargetMode="External"/><Relationship Id="rId564" Type="http://schemas.openxmlformats.org/officeDocument/2006/relationships/hyperlink" Target="https://hocmai.vn/file.php/3312/De_luyen/Topuni_26_27_Nen_tang_Buoi_32_CAC_BAI_TOAN_THUC_TE_TINH_DIEN_TICH_HINH_PHANG_De_luyen.pdf" TargetMode="External"/><Relationship Id="rId565" Type="http://schemas.openxmlformats.org/officeDocument/2006/relationships/hyperlink" Target="https://drive.google.com/file/d/1hM_-FtG445oDQ-ofgpespOimIzajnZNO/view?usp=drive_link" TargetMode="External"/><Relationship Id="rId566" Type="http://schemas.openxmlformats.org/officeDocument/2006/relationships/hyperlink" Target="https://hocmai.sharepoint.com/Education_Development/Lists/San_xuat_video/DispForm.aspx?ID=12171" TargetMode="External"/><Relationship Id="rId567" Type="http://schemas.openxmlformats.org/officeDocument/2006/relationships/hyperlink" Target="https://hocmai.vn/bai-giang-truc-tuyen/175166/.html" TargetMode="External"/><Relationship Id="rId568" Type="http://schemas.openxmlformats.org/officeDocument/2006/relationships/hyperlink" Target="https://drive.google.com/drive/folders/1ie5go0DCXyXRS7FGtzOSLjAb-3QZxLjk?usp=drive_link" TargetMode="External"/><Relationship Id="rId569" Type="http://schemas.openxmlformats.org/officeDocument/2006/relationships/hyperlink" Target="https://hocmai.vn/bai-giang-truc-tuyen/176059/.html" TargetMode="External"/><Relationship Id="rId570" Type="http://schemas.openxmlformats.org/officeDocument/2006/relationships/hyperlink" Target="https://drive.google.com/open?id=1BfohvqmUbFS5pePVszdntO_WJHOqgu0x&amp;usp=drive_fs" TargetMode="External"/><Relationship Id="rId571" Type="http://schemas.openxmlformats.org/officeDocument/2006/relationships/hyperlink" Target="https://hocmai.vn/bai-giang-truc-tuyen/175162/.html" TargetMode="External"/><Relationship Id="rId572" Type="http://schemas.openxmlformats.org/officeDocument/2006/relationships/hyperlink" Target="https://hocmai.vn/bai-giang-truc-tuyen/175956/.html" TargetMode="External"/><Relationship Id="rId573" Type="http://schemas.openxmlformats.org/officeDocument/2006/relationships/hyperlink" Target="https://drive.google.com/drive/folders/1WIwnkcGPowEwN8k9ZHCVGDhlI_WpTA0a?usp=sharing" TargetMode="External"/><Relationship Id="rId574" Type="http://schemas.openxmlformats.org/officeDocument/2006/relationships/hyperlink" Target="https://hocmai.vn/bai-giang-truc-tuyen/175183/.html" TargetMode="External"/><Relationship Id="rId575" Type="http://schemas.openxmlformats.org/officeDocument/2006/relationships/hyperlink" Target="https://drive.google.com/file/d/11IAviAK_laTfj0AsdC15DQltLEDeC72b/view?usp=drive_link" TargetMode="External"/><Relationship Id="rId576" Type="http://schemas.openxmlformats.org/officeDocument/2006/relationships/hyperlink" Target="https://drive.google.com/file/d/1dqfPeUX2W8lpOfiVSDUajIhYDsP-DpGl/view?usp=drive_link" TargetMode="External"/><Relationship Id="rId577" Type="http://schemas.openxmlformats.org/officeDocument/2006/relationships/hyperlink" Target="https://hocmai.vn/mod/scorm/view_file.php?id=183729" TargetMode="External"/><Relationship Id="rId578" Type="http://schemas.openxmlformats.org/officeDocument/2006/relationships/hyperlink" Target="https://hocmai.vn/mod/scorm/view_file.php?id=183736" TargetMode="External"/><Relationship Id="rId579" Type="http://schemas.openxmlformats.org/officeDocument/2006/relationships/hyperlink" Target="https://drive.google.com/drive/folders/1b_ne0MP6uzSYauggeuID6-Ml7N-DRBWg?usp=drive_link" TargetMode="External"/><Relationship Id="rId580" Type="http://schemas.openxmlformats.org/officeDocument/2006/relationships/hyperlink" Target="https://drive.google.com/drive/folders/1Zy0iMHeJPpll-PyZEzvXN-1Old4CVjbE?usp=drive_link" TargetMode="External"/><Relationship Id="rId581" Type="http://schemas.openxmlformats.org/officeDocument/2006/relationships/hyperlink" Target="https://hocmai.vn/bai-giang-truc-tuyen/176142/.html" TargetMode="External"/><Relationship Id="rId582" Type="http://schemas.openxmlformats.org/officeDocument/2006/relationships/hyperlink" Target="https://drive.google.com/drive/folders/1LhwXcUmvGcdFCndI9WfOwfT-siVGjjsB?usp=drive_link" TargetMode="External"/><Relationship Id="rId583" Type="http://schemas.openxmlformats.org/officeDocument/2006/relationships/hyperlink" Target="https://hocmai.vn/bai-giang-truc-tuyen/176147/.html" TargetMode="External"/><Relationship Id="rId584" Type="http://schemas.openxmlformats.org/officeDocument/2006/relationships/hyperlink" Target="https://drive.google.com/drive/folders/14BkLsfNOlI2nD4aFErOTeVt2ArFN4Rao?usp=sharing" TargetMode="External"/><Relationship Id="rId585" Type="http://schemas.openxmlformats.org/officeDocument/2006/relationships/hyperlink" Target="https://hocmai.vn/bai-giang-truc-tuyen/176086/.html" TargetMode="External"/><Relationship Id="rId586" Type="http://schemas.openxmlformats.org/officeDocument/2006/relationships/hyperlink" Target="https://drive.google.com/drive/folders/19eqRAAdOT6hkrK6IOluVNjG3-HcaTLXv?usp=sharing" TargetMode="External"/><Relationship Id="rId587" Type="http://schemas.openxmlformats.org/officeDocument/2006/relationships/hyperlink" Target="https://drive.google.com/drive/folders/1sMUnzDGEn0lO1rKZpMsBsV8ZjbMTt6ok" TargetMode="External"/><Relationship Id="rId588" Type="http://schemas.openxmlformats.org/officeDocument/2006/relationships/hyperlink" Target="https://hocmai.vn/bai-giang-truc-tuyen/176066/.html" TargetMode="External"/><Relationship Id="rId589" Type="http://schemas.openxmlformats.org/officeDocument/2006/relationships/hyperlink" Target="https://drive.google.com/drive/folders/1_zXRvNx21BG3sADWMr3YZOQsX9rB-8fP?usp=drive_link" TargetMode="External"/><Relationship Id="rId590" Type="http://schemas.openxmlformats.org/officeDocument/2006/relationships/hyperlink" Target="https://hocmai.vn/bai-giang-truc-tuyen/176101/.html" TargetMode="External"/><Relationship Id="rId591" Type="http://schemas.openxmlformats.org/officeDocument/2006/relationships/hyperlink" Target="https://drive.google.com/drive/folders/1B8qhxHklQcrXpH21jLtH0La1DGt69F8g" TargetMode="External"/><Relationship Id="rId592" Type="http://schemas.openxmlformats.org/officeDocument/2006/relationships/hyperlink" Target="https://hocmai.vn/bai-giang-truc-tuyen/176045/.html" TargetMode="External"/><Relationship Id="rId593" Type="http://schemas.openxmlformats.org/officeDocument/2006/relationships/hyperlink" Target="https://hocmai.vn/bai-giang-truc-tuyen/176122/.html" TargetMode="External"/><Relationship Id="rId594" Type="http://schemas.openxmlformats.org/officeDocument/2006/relationships/hyperlink" Target="https://hocmai.vn/bai-giang-truc-tuyen/176112/.html" TargetMode="External"/><Relationship Id="rId595" Type="http://schemas.openxmlformats.org/officeDocument/2006/relationships/hyperlink" Target="https://drive.google.com/drive/folders/1yd8hHOJwwEqRpcUktCXtTpiDQUdDeLIc?usp=drive_link" TargetMode="External"/><Relationship Id="rId596" Type="http://schemas.openxmlformats.org/officeDocument/2006/relationships/hyperlink" Target="https://hocmai.vn/bai-giang-truc-tuyen/176081/.html" TargetMode="External"/><Relationship Id="rId597" Type="http://schemas.openxmlformats.org/officeDocument/2006/relationships/hyperlink" Target="https://drive.google.com/drive/folders/1jxvj2Ak2QjDZPzgLcijxgtZO4ctc52HC?usp=drive_link" TargetMode="External"/><Relationship Id="rId598" Type="http://schemas.openxmlformats.org/officeDocument/2006/relationships/hyperlink" Target="https://hocmai.vn/course/view.php?id=3119&amp;edit=on&amp;sesskey=4KPJGukykI" TargetMode="External"/><Relationship Id="rId599" Type="http://schemas.openxmlformats.org/officeDocument/2006/relationships/hyperlink" Target="https://hocmai.vn/bai-giang-truc-tuyen/176067/.html" TargetMode="External"/><Relationship Id="rId600" Type="http://schemas.openxmlformats.org/officeDocument/2006/relationships/hyperlink" Target="https://hocmai.vn/bai-giang-truc-tuyen/176087/.html" TargetMode="External"/><Relationship Id="rId601" Type="http://schemas.openxmlformats.org/officeDocument/2006/relationships/hyperlink" Target="https://drive.google.com/drive/folders/1Nbb5V-PjYF_E8RAMoBkUNclxNHisOQgL?usp=drive_link" TargetMode="External"/><Relationship Id="rId602" Type="http://schemas.openxmlformats.org/officeDocument/2006/relationships/hyperlink" Target="https://hocmai.vn/bai-giang-truc-tuyen/176102/.html" TargetMode="External"/><Relationship Id="rId603" Type="http://schemas.openxmlformats.org/officeDocument/2006/relationships/hyperlink" Target="https://hocmai.vn/bai-giang-truc-tuyen/176068/.html" TargetMode="External"/><Relationship Id="rId604" Type="http://schemas.openxmlformats.org/officeDocument/2006/relationships/hyperlink" Target="https://hocmai.vn/bai-giang-truc-tuyen/176123/.html" TargetMode="External"/><Relationship Id="rId605" Type="http://schemas.openxmlformats.org/officeDocument/2006/relationships/hyperlink" Target="https://hocmai.vn/bai-giang-truc-tuyen/176113/.html" TargetMode="External"/><Relationship Id="rId606" Type="http://schemas.openxmlformats.org/officeDocument/2006/relationships/hyperlink" Target="https://hocmai.sharepoint.com/Education_Development/Lists/San_xuat_video/DispForm.aspx?ID=12204" TargetMode="External"/><Relationship Id="rId607" Type="http://schemas.openxmlformats.org/officeDocument/2006/relationships/hyperlink" Target="https://hocmai.vn/course/view.php?id=3313" TargetMode="External"/><Relationship Id="rId608" Type="http://schemas.openxmlformats.org/officeDocument/2006/relationships/hyperlink" Target="https://hocmai.sharepoint.com/Education_Development/Lists/San_xuat_video/DispForm.aspx?ID=12172" TargetMode="External"/><Relationship Id="rId609" Type="http://schemas.openxmlformats.org/officeDocument/2006/relationships/hyperlink" Target="https://hocmai.vn/bai-giang-truc-tuyen/176046/.html" TargetMode="External"/><Relationship Id="rId610" Type="http://schemas.openxmlformats.org/officeDocument/2006/relationships/hyperlink" Target="https://drive.google.com/drive/folders/1o0lXzjEIU_ZsFcWSdUcMQZOsy_g9xGRo?usp=sharing" TargetMode="External"/><Relationship Id="rId611" Type="http://schemas.openxmlformats.org/officeDocument/2006/relationships/hyperlink" Target="https://hocmai.vn/bai-giang-truc-tuyen/176060/.html" TargetMode="External"/><Relationship Id="rId612" Type="http://schemas.openxmlformats.org/officeDocument/2006/relationships/hyperlink" Target="https://hocmai.vn/bai-giang-truc-tuyen/176137/.html" TargetMode="External"/><Relationship Id="rId613" Type="http://schemas.openxmlformats.org/officeDocument/2006/relationships/hyperlink" Target="https://hocmai.vn/bai-giang-truc-tuyen/176124/.html" TargetMode="External"/><Relationship Id="rId614" Type="http://schemas.openxmlformats.org/officeDocument/2006/relationships/hyperlink" Target="https://hocmai.vn/bai-giang-truc-tuyen/176088/.html" TargetMode="External"/><Relationship Id="rId615" Type="http://schemas.openxmlformats.org/officeDocument/2006/relationships/hyperlink" Target="https://drive.google.com/drive/folders/1VbCBRy_rbZgynFx3_rGRZCGRtMLe637F" TargetMode="External"/><Relationship Id="rId616" Type="http://schemas.openxmlformats.org/officeDocument/2006/relationships/hyperlink" Target="https://hocmai.vn/mod/scorm/view_file.php?id=183730" TargetMode="External"/><Relationship Id="rId617" Type="http://schemas.openxmlformats.org/officeDocument/2006/relationships/hyperlink" Target="https://drive.google.com/drive/folders/1qB8mWgVtKsMl5i1fJdT34pZazSe3bYGy?usp=drive_link" TargetMode="External"/><Relationship Id="rId618" Type="http://schemas.openxmlformats.org/officeDocument/2006/relationships/hyperlink" Target="https://hocmai.vn/bai-giang-truc-tuyen/176047/.html" TargetMode="External"/><Relationship Id="rId619" Type="http://schemas.openxmlformats.org/officeDocument/2006/relationships/hyperlink" Target="https://drive.google.com/drive/folders/1-pzTmcHRbayUEFMWWg3uHyotrXfMMkC3?usp=drive_link" TargetMode="External"/><Relationship Id="rId620" Type="http://schemas.openxmlformats.org/officeDocument/2006/relationships/hyperlink" Target="https://hocmai.vn/bai-giang-truc-tuyen/176143/.html" TargetMode="External"/><Relationship Id="rId621" Type="http://schemas.openxmlformats.org/officeDocument/2006/relationships/hyperlink" Target="https://drive.google.com/drive/folders/1xPK9hQGpbUfGhJK76Q1dkBSPH_CVaEJ6" TargetMode="External"/><Relationship Id="rId622" Type="http://schemas.openxmlformats.org/officeDocument/2006/relationships/hyperlink" Target="https://hocmai.vn/bai-giang-truc-tuyen/176148/.html" TargetMode="External"/><Relationship Id="rId623" Type="http://schemas.openxmlformats.org/officeDocument/2006/relationships/hyperlink" Target="https://hocmai.vn/bai-giang-truc-tuyen/176089/.html" TargetMode="External"/><Relationship Id="rId624" Type="http://schemas.openxmlformats.org/officeDocument/2006/relationships/hyperlink" Target="https://hocmai.vn/bai-giang-truc-tuyen/176069/.html" TargetMode="External"/><Relationship Id="rId625" Type="http://schemas.openxmlformats.org/officeDocument/2006/relationships/hyperlink" Target="https://drive.google.com/drive/folders/1w_-tCLlDXoYGrWtIknRXe9pthJb_a9cc?usp=drive_link" TargetMode="External"/><Relationship Id="rId626" Type="http://schemas.openxmlformats.org/officeDocument/2006/relationships/hyperlink" Target="https://hocmai.vn/bai-giang-truc-tuyen/176103/.html" TargetMode="External"/><Relationship Id="rId627" Type="http://schemas.openxmlformats.org/officeDocument/2006/relationships/hyperlink" Target="https://drive.google.com/drive/folders/1B8qhxHklQcrXpH21jLtH0La1DGt69F8g" TargetMode="External"/><Relationship Id="rId628" Type="http://schemas.openxmlformats.org/officeDocument/2006/relationships/hyperlink" Target="https://hocmai.vn/bai-giang-truc-tuyen/176048/.html" TargetMode="External"/><Relationship Id="rId629" Type="http://schemas.openxmlformats.org/officeDocument/2006/relationships/hyperlink" Target="https://hocmai.vn/bai-giang-truc-tuyen/176125/.html" TargetMode="External"/><Relationship Id="rId630" Type="http://schemas.openxmlformats.org/officeDocument/2006/relationships/hyperlink" Target="https://hocmai.vn/bai-giang-truc-tuyen/176114/.html" TargetMode="External"/><Relationship Id="rId631" Type="http://schemas.openxmlformats.org/officeDocument/2006/relationships/hyperlink" Target="https://drive.google.com/drive/folders/1ePLC-d4VsdTiYckoNAUYo3bCNEDQ-l7E?usp=drive_link" TargetMode="External"/><Relationship Id="rId632" Type="http://schemas.openxmlformats.org/officeDocument/2006/relationships/hyperlink" Target="https://hocmai.vn/bai-giang-truc-tuyen/176082/.html" TargetMode="External"/><Relationship Id="rId633" Type="http://schemas.openxmlformats.org/officeDocument/2006/relationships/hyperlink" Target="https://drive.google.com/drive/folders/15cRTJF9Z7omzMy4YKyUGsYtfKG9dg0x7?usp=drive_link" TargetMode="External"/><Relationship Id="rId634" Type="http://schemas.openxmlformats.org/officeDocument/2006/relationships/hyperlink" Target="https://hocmai.vn/course/view.php?id=3119&amp;edit=on&amp;sesskey=4KPJGukykI" TargetMode="External"/><Relationship Id="rId635" Type="http://schemas.openxmlformats.org/officeDocument/2006/relationships/hyperlink" Target="https://hocmai.vn/bai-giang-truc-tuyen/176070/.html" TargetMode="External"/><Relationship Id="rId636" Type="http://schemas.openxmlformats.org/officeDocument/2006/relationships/hyperlink" Target="https://hocmai.vn/bai-giang-truc-tuyen/176090/.html" TargetMode="External"/><Relationship Id="rId637" Type="http://schemas.openxmlformats.org/officeDocument/2006/relationships/hyperlink" Target="https://drive.google.com/drive/folders/1lQuyE61UCt2S1qvxmLgA5haJw9H9spFr?usp=drive_link" TargetMode="External"/><Relationship Id="rId638" Type="http://schemas.openxmlformats.org/officeDocument/2006/relationships/hyperlink" Target="https://hocmai.vn/bai-giang-truc-tuyen/176104/.html" TargetMode="External"/><Relationship Id="rId639" Type="http://schemas.openxmlformats.org/officeDocument/2006/relationships/hyperlink" Target="https://hocmai.vn/bai-giang-truc-tuyen/176071/.html" TargetMode="External"/><Relationship Id="rId640" Type="http://schemas.openxmlformats.org/officeDocument/2006/relationships/hyperlink" Target="https://hocmai.vn/bai-giang-truc-tuyen/176126/.html" TargetMode="External"/><Relationship Id="rId641" Type="http://schemas.openxmlformats.org/officeDocument/2006/relationships/hyperlink" Target="https://hocmai.vn/bai-giang-truc-tuyen/176115/.html" TargetMode="External"/><Relationship Id="rId642" Type="http://schemas.openxmlformats.org/officeDocument/2006/relationships/hyperlink" Target="https://hocmai.sharepoint.com/Education_Development/Lists/San_xuat_video/DispForm.aspx?ID=12205" TargetMode="External"/><Relationship Id="rId643" Type="http://schemas.openxmlformats.org/officeDocument/2006/relationships/hyperlink" Target="https://hocmai.vn/course/view.php?id=3313" TargetMode="External"/><Relationship Id="rId644" Type="http://schemas.openxmlformats.org/officeDocument/2006/relationships/hyperlink" Target="https://hocmai.sharepoint.com/Education_Development/Lists/San_xuat_video/DispForm.aspx?ID=12173" TargetMode="External"/><Relationship Id="rId645" Type="http://schemas.openxmlformats.org/officeDocument/2006/relationships/hyperlink" Target="https://hocmai.vn/bai-giang-truc-tuyen/176049/.html" TargetMode="External"/><Relationship Id="rId646" Type="http://schemas.openxmlformats.org/officeDocument/2006/relationships/hyperlink" Target="https://drive.google.com/drive/folders/1C6dBlPwtLf16q3L5flmBZptmBW1aqZUM?usp=sharing" TargetMode="External"/><Relationship Id="rId647" Type="http://schemas.openxmlformats.org/officeDocument/2006/relationships/hyperlink" Target="https://hocmai.vn/bai-giang-truc-tuyen/176061/.html" TargetMode="External"/><Relationship Id="rId648" Type="http://schemas.openxmlformats.org/officeDocument/2006/relationships/hyperlink" Target="https://hocmai.vn/bai-giang-truc-tuyen/176138/.html" TargetMode="External"/><Relationship Id="rId649" Type="http://schemas.openxmlformats.org/officeDocument/2006/relationships/hyperlink" Target="https://hocmai.vn/bai-giang-truc-tuyen/176127/.html" TargetMode="External"/><Relationship Id="rId650" Type="http://schemas.openxmlformats.org/officeDocument/2006/relationships/hyperlink" Target="https://hocmai.vn/bai-giang-truc-tuyen/176091/.html" TargetMode="External"/><Relationship Id="rId651" Type="http://schemas.openxmlformats.org/officeDocument/2006/relationships/hyperlink" Target="https://hocmai.vn/bai-giang-truc-tuyen/176050/.html" TargetMode="External"/><Relationship Id="rId652" Type="http://schemas.openxmlformats.org/officeDocument/2006/relationships/hyperlink" Target="https://hocmai.vn/bai-giang-truc-tuyen/176144/.html" TargetMode="External"/><Relationship Id="rId653" Type="http://schemas.openxmlformats.org/officeDocument/2006/relationships/hyperlink" Target="https://drive.google.com/drive/folders/1QbSCTeQOxBnvE7rXrFsxEEMk-E-Qlc9o" TargetMode="External"/><Relationship Id="rId654" Type="http://schemas.openxmlformats.org/officeDocument/2006/relationships/hyperlink" Target="https://hocmai.vn/bai-giang-truc-tuyen/176149/.html" TargetMode="External"/><Relationship Id="rId655" Type="http://schemas.openxmlformats.org/officeDocument/2006/relationships/hyperlink" Target="https://hocmai.vn/bai-giang-truc-tuyen/176092/.html" TargetMode="External"/><Relationship Id="rId656" Type="http://schemas.openxmlformats.org/officeDocument/2006/relationships/hyperlink" Target="https://hocmai.vn/bai-giang-truc-tuyen/176072/.html" TargetMode="External"/><Relationship Id="rId657" Type="http://schemas.openxmlformats.org/officeDocument/2006/relationships/hyperlink" Target="https://hocmai.vn/bai-giang-truc-tuyen/176105/.html" TargetMode="External"/><Relationship Id="rId658" Type="http://schemas.openxmlformats.org/officeDocument/2006/relationships/hyperlink" Target="https://hocmai.vn/bai-giang-truc-tuyen/176051/.html" TargetMode="External"/><Relationship Id="rId659" Type="http://schemas.openxmlformats.org/officeDocument/2006/relationships/hyperlink" Target="https://hocmai.vn/bai-giang-truc-tuyen/176128/.html" TargetMode="External"/><Relationship Id="rId660" Type="http://schemas.openxmlformats.org/officeDocument/2006/relationships/hyperlink" Target="https://hocmai.vn/bai-giang-truc-tuyen/176116/.html" TargetMode="External"/><Relationship Id="rId661" Type="http://schemas.openxmlformats.org/officeDocument/2006/relationships/hyperlink" Target="https://drive.google.com/drive/folders/12PshYjHJjjEXRBouSdLjrpnmldFc5Zse?usp=drive_link" TargetMode="External"/><Relationship Id="rId662" Type="http://schemas.openxmlformats.org/officeDocument/2006/relationships/hyperlink" Target="https://hocmai.vn/bai-giang-truc-tuyen/176083/.html" TargetMode="External"/><Relationship Id="rId663" Type="http://schemas.openxmlformats.org/officeDocument/2006/relationships/hyperlink" Target="https://hocmai.vn/course/view.php?id=3130" TargetMode="External"/><Relationship Id="rId664" Type="http://schemas.openxmlformats.org/officeDocument/2006/relationships/hyperlink" Target="https://hocmai.vn/bai-giang-truc-tuyen/176073/.html" TargetMode="External"/><Relationship Id="rId665" Type="http://schemas.openxmlformats.org/officeDocument/2006/relationships/hyperlink" Target="https://hocmai.vn/bai-giang-truc-tuyen/176093/.html" TargetMode="External"/><Relationship Id="rId666" Type="http://schemas.openxmlformats.org/officeDocument/2006/relationships/hyperlink" Target="https://hocmai.vn/bai-giang-truc-tuyen/176106/.html" TargetMode="External"/><Relationship Id="rId667" Type="http://schemas.openxmlformats.org/officeDocument/2006/relationships/hyperlink" Target="https://hocmai.vn/bai-giang-truc-tuyen/176074/.html" TargetMode="External"/><Relationship Id="rId668" Type="http://schemas.openxmlformats.org/officeDocument/2006/relationships/hyperlink" Target="https://hocmai.vn/bai-giang-truc-tuyen/176129/.html" TargetMode="External"/><Relationship Id="rId669" Type="http://schemas.openxmlformats.org/officeDocument/2006/relationships/hyperlink" Target="https://hocmai.vn/bai-giang-truc-tuyen/176117/.html" TargetMode="External"/><Relationship Id="rId670" Type="http://schemas.openxmlformats.org/officeDocument/2006/relationships/hyperlink" Target="https://hocmai.sharepoint.com/Education_Development/Lists/San_xuat_video/DispForm.aspx?ID=12206" TargetMode="External"/><Relationship Id="rId671" Type="http://schemas.openxmlformats.org/officeDocument/2006/relationships/hyperlink" Target="https://hocmai.vn/course/view.php?id=3313" TargetMode="External"/><Relationship Id="rId672" Type="http://schemas.openxmlformats.org/officeDocument/2006/relationships/hyperlink" Target="https://hocmai.sharepoint.com/Education_Development/Lists/San_xuat_video/DispForm.aspx?ID=12174" TargetMode="External"/><Relationship Id="rId673" Type="http://schemas.openxmlformats.org/officeDocument/2006/relationships/hyperlink" Target="https://hocmai.vn/bai-giang-truc-tuyen/176052/.html" TargetMode="External"/><Relationship Id="rId674" Type="http://schemas.openxmlformats.org/officeDocument/2006/relationships/hyperlink" Target="https://drive.google.com/drive/folders/1jwma7JKsqpCDOS5-rRSvBBVX14nvIZzH?usp=drive_link" TargetMode="External"/><Relationship Id="rId675" Type="http://schemas.openxmlformats.org/officeDocument/2006/relationships/hyperlink" Target="https://hocmai.vn/bai-giang-truc-tuyen/176062/.html" TargetMode="External"/><Relationship Id="rId676" Type="http://schemas.openxmlformats.org/officeDocument/2006/relationships/hyperlink" Target="https://hocmai.vn/bai-giang-truc-tuyen/176139/.html" TargetMode="External"/><Relationship Id="rId677" Type="http://schemas.openxmlformats.org/officeDocument/2006/relationships/hyperlink" Target="https://hocmai.vn/bai-giang-truc-tuyen/176130/.html" TargetMode="External"/><Relationship Id="rId678" Type="http://schemas.openxmlformats.org/officeDocument/2006/relationships/hyperlink" Target="https://hocmai.vn/bai-giang-truc-tuyen/176094/.html" TargetMode="External"/><Relationship Id="rId679" Type="http://schemas.openxmlformats.org/officeDocument/2006/relationships/hyperlink" Target="https://hocmai.vn/bai-giang-truc-tuyen/176053/.html" TargetMode="External"/><Relationship Id="rId680" Type="http://schemas.openxmlformats.org/officeDocument/2006/relationships/hyperlink" Target="https://hocmai.vn/bai-giang-truc-tuyen/176145/.html" TargetMode="External"/><Relationship Id="rId681" Type="http://schemas.openxmlformats.org/officeDocument/2006/relationships/hyperlink" Target="https://drive.google.com/drive/folders/1zNoSe8XYgQIWtSCMkpULYF60CjY2mlXN" TargetMode="External"/><Relationship Id="rId682" Type="http://schemas.openxmlformats.org/officeDocument/2006/relationships/hyperlink" Target="https://hocmai.vn/bai-giang-truc-tuyen/176150/.html" TargetMode="External"/><Relationship Id="rId683" Type="http://schemas.openxmlformats.org/officeDocument/2006/relationships/hyperlink" Target="https://hocmai.vn/bai-giang-truc-tuyen/176095/.html" TargetMode="External"/><Relationship Id="rId684" Type="http://schemas.openxmlformats.org/officeDocument/2006/relationships/hyperlink" Target="https://hocmai.vn/bai-giang-truc-tuyen/176075/.html" TargetMode="External"/><Relationship Id="rId685" Type="http://schemas.openxmlformats.org/officeDocument/2006/relationships/hyperlink" Target="https://hocmai.vn/bai-giang-truc-tuyen/176107/.html" TargetMode="External"/><Relationship Id="rId686" Type="http://schemas.openxmlformats.org/officeDocument/2006/relationships/hyperlink" Target="https://hocmai.vn/bai-giang-truc-tuyen/176054/.html" TargetMode="External"/><Relationship Id="rId687" Type="http://schemas.openxmlformats.org/officeDocument/2006/relationships/hyperlink" Target="https://hocmai.vn/bai-giang-truc-tuyen/176131/.html" TargetMode="External"/><Relationship Id="rId688" Type="http://schemas.openxmlformats.org/officeDocument/2006/relationships/hyperlink" Target="https://hocmai.vn/bai-giang-truc-tuyen/176118/.html" TargetMode="External"/><Relationship Id="rId689" Type="http://schemas.openxmlformats.org/officeDocument/2006/relationships/hyperlink" Target="https://drive.google.com/drive/folders/1lhd4HzYm4U0nOQKm3S3ZMOXeVxrC8lsf?usp=drive_link" TargetMode="External"/><Relationship Id="rId690" Type="http://schemas.openxmlformats.org/officeDocument/2006/relationships/hyperlink" Target="https://hocmai.vn/bai-giang-truc-tuyen/176084/.html" TargetMode="External"/><Relationship Id="rId691" Type="http://schemas.openxmlformats.org/officeDocument/2006/relationships/hyperlink" Target="https://hocmai.vn/course/view.php?id=3130" TargetMode="External"/><Relationship Id="rId692" Type="http://schemas.openxmlformats.org/officeDocument/2006/relationships/hyperlink" Target="https://hocmai.vn/bai-giang-truc-tuyen/176076/.html" TargetMode="External"/><Relationship Id="rId693" Type="http://schemas.openxmlformats.org/officeDocument/2006/relationships/hyperlink" Target="https://hocmai.vn/bai-giang-truc-tuyen/176096/.html" TargetMode="External"/><Relationship Id="rId694" Type="http://schemas.openxmlformats.org/officeDocument/2006/relationships/hyperlink" Target="https://hocmai.vn/bai-giang-truc-tuyen/176108/.html" TargetMode="External"/><Relationship Id="rId695" Type="http://schemas.openxmlformats.org/officeDocument/2006/relationships/hyperlink" Target="https://hocmai.vn/bai-giang-truc-tuyen/176077/.html" TargetMode="External"/><Relationship Id="rId696" Type="http://schemas.openxmlformats.org/officeDocument/2006/relationships/hyperlink" Target="https://hocmai.vn/bai-giang-truc-tuyen/176132/.html" TargetMode="External"/><Relationship Id="rId697" Type="http://schemas.openxmlformats.org/officeDocument/2006/relationships/hyperlink" Target="https://hocmai.vn/bai-giang-truc-tuyen/176119/.html" TargetMode="External"/><Relationship Id="rId698" Type="http://schemas.openxmlformats.org/officeDocument/2006/relationships/hyperlink" Target="https://hocmai.sharepoint.com/Education_Development/Lists/San_xuat_video/DispForm.aspx?ID=12207" TargetMode="External"/><Relationship Id="rId699" Type="http://schemas.openxmlformats.org/officeDocument/2006/relationships/hyperlink" Target="https://hocmai.vn/course/view.php?id=3313" TargetMode="External"/><Relationship Id="rId700" Type="http://schemas.openxmlformats.org/officeDocument/2006/relationships/hyperlink" Target="https://hocmai.sharepoint.com/Education_Development/Lists/San_xuat_video/DispForm.aspx?ID=12175" TargetMode="External"/><Relationship Id="rId701" Type="http://schemas.openxmlformats.org/officeDocument/2006/relationships/hyperlink" Target="https://hocmai.vn/bai-giang-truc-tuyen/176055/.html" TargetMode="External"/><Relationship Id="rId702" Type="http://schemas.openxmlformats.org/officeDocument/2006/relationships/hyperlink" Target="https://drive.google.com/drive/folders/12G3tdIiYSp91oSyYiGy2rpk_v1KX2KQi?usp=drive_link" TargetMode="External"/><Relationship Id="rId703" Type="http://schemas.openxmlformats.org/officeDocument/2006/relationships/hyperlink" Target="https://hocmai.vn/bai-giang-truc-tuyen/176063/.html" TargetMode="External"/><Relationship Id="rId704" Type="http://schemas.openxmlformats.org/officeDocument/2006/relationships/hyperlink" Target="https://hocmai.vn/bai-giang-truc-tuyen/176140/.html" TargetMode="External"/><Relationship Id="rId705" Type="http://schemas.openxmlformats.org/officeDocument/2006/relationships/hyperlink" Target="https://hocmai.vn/bai-giang-truc-tuyen/176133/.html" TargetMode="External"/><Relationship Id="rId706" Type="http://schemas.openxmlformats.org/officeDocument/2006/relationships/hyperlink" Target="https://hocmai.vn/bai-giang-truc-tuyen/176097/.html" TargetMode="External"/><Relationship Id="rId707" Type="http://schemas.openxmlformats.org/officeDocument/2006/relationships/hyperlink" Target="https://hocmai.vn/bai-giang-truc-tuyen/176056/.html" TargetMode="External"/><Relationship Id="rId708" Type="http://schemas.openxmlformats.org/officeDocument/2006/relationships/hyperlink" Target="https://hocmai.vn/bai-giang-truc-tuyen/176146/.html" TargetMode="External"/><Relationship Id="rId709" Type="http://schemas.openxmlformats.org/officeDocument/2006/relationships/hyperlink" Target="https://drive.google.com/drive/folders/13YTgTB1CYHRYgrGZ-oIkj0JwDPMwMqjF?usp=drive_link" TargetMode="External"/><Relationship Id="rId710" Type="http://schemas.openxmlformats.org/officeDocument/2006/relationships/hyperlink" Target="https://hocmai.vn/bai-giang-truc-tuyen/176151/.html" TargetMode="External"/><Relationship Id="rId711" Type="http://schemas.openxmlformats.org/officeDocument/2006/relationships/hyperlink" Target="https://hocmai.vn/bai-giang-truc-tuyen/176098/.html" TargetMode="External"/><Relationship Id="rId712" Type="http://schemas.openxmlformats.org/officeDocument/2006/relationships/hyperlink" Target="https://hocmai.vn/course/view.php?id=3130" TargetMode="External"/><Relationship Id="rId713" Type="http://schemas.openxmlformats.org/officeDocument/2006/relationships/hyperlink" Target="https://hocmai.vn/bai-giang-truc-tuyen/176078/.html" TargetMode="External"/><Relationship Id="rId714" Type="http://schemas.openxmlformats.org/officeDocument/2006/relationships/hyperlink" Target="https://hocmai.vn/bai-giang-truc-tuyen/176099/.html" TargetMode="External"/><Relationship Id="rId715" Type="http://schemas.openxmlformats.org/officeDocument/2006/relationships/hyperlink" Target="https://hocmai.vn/bai-giang-truc-tuyen/176109/.html" TargetMode="External"/><Relationship Id="rId716" Type="http://schemas.openxmlformats.org/officeDocument/2006/relationships/hyperlink" Target="https://hocmai.vn/bai-giang-truc-tuyen/176079/.html" TargetMode="External"/><Relationship Id="rId717" Type="http://schemas.openxmlformats.org/officeDocument/2006/relationships/hyperlink" Target="https://hocmai.vn/bai-giang-truc-tuyen/176134/.html" TargetMode="External"/><Relationship Id="rId718" Type="http://schemas.openxmlformats.org/officeDocument/2006/relationships/hyperlink" Target="https://hocmai.vn/bai-giang-truc-tuyen/176120/.html" TargetMode="External"/><Relationship Id="rId719" Type="http://schemas.openxmlformats.org/officeDocument/2006/relationships/hyperlink" Target="https://hocmai.sharepoint.com/Education_Development/Lists/San_xuat_video/DispForm.aspx?ID=12208" TargetMode="External"/><Relationship Id="rId720" Type="http://schemas.openxmlformats.org/officeDocument/2006/relationships/hyperlink" Target="https://hocmai.vn/course/view.php?id=3313" TargetMode="External"/><Relationship Id="rId721" Type="http://schemas.openxmlformats.org/officeDocument/2006/relationships/hyperlink" Target="https://hocmai.sharepoint.com/Education_Development/Lists/San_xuat_video/DispForm.aspx?ID=12176" TargetMode="External"/><Relationship Id="rId722" Type="http://schemas.openxmlformats.org/officeDocument/2006/relationships/hyperlink" Target="https://hocmai.vn/bai-giang-truc-tuyen/176057/.html" TargetMode="External"/><Relationship Id="rId723" Type="http://schemas.openxmlformats.org/officeDocument/2006/relationships/hyperlink" Target="https://drive.google.com/drive/folders/1Lr7ZNHdML4P3sBNpoPa6pc1r97B6jqVs?usp=drive_link" TargetMode="External"/><Relationship Id="rId724" Type="http://schemas.openxmlformats.org/officeDocument/2006/relationships/hyperlink" Target="https://hocmai.vn/bai-giang-truc-tuyen/176064/.html" TargetMode="External"/><Relationship Id="rId725" Type="http://schemas.openxmlformats.org/officeDocument/2006/relationships/hyperlink" Target="https://hocmai.vn/bai-giang-truc-tuyen/176141/.html" TargetMode="External"/><Relationship Id="rId726" Type="http://schemas.openxmlformats.org/officeDocument/2006/relationships/hyperlink" Target="https://hocmai.vn/bai-giang-truc-tuyen/176135/.html" TargetMode="External"/><Relationship Id="rId727" Type="http://schemas.openxmlformats.org/officeDocument/2006/relationships/hyperlink" Target="https://hocmai.vn/bai-giang-truc-tuyen/176100/.html" TargetMode="External"/><Relationship Id="rId728" Type="http://schemas.openxmlformats.org/officeDocument/2006/relationships/hyperlink" Target="https://hocmai.vn/bai-giang-truc-tuyen/176058/.html" TargetMode="External"/><Relationship Id="rId729" Type="http://schemas.openxmlformats.org/officeDocument/2006/relationships/hyperlink" Target="https://hocmai.vn/bai-giang-truc-tuyen/176080/.html" TargetMode="External"/><Relationship Id="rId730" Type="http://schemas.openxmlformats.org/officeDocument/2006/relationships/hyperlink" Target="https://hocmai.vn/bai-giang-truc-tuyen/176110/.html" TargetMode="External"/><Relationship Id="rId731" Type="http://schemas.openxmlformats.org/officeDocument/2006/relationships/hyperlink" Target="https://hocmai.vn/bai-giang-truc-tuyen/176136/.html" TargetMode="External"/><Relationship Id="rId732" Type="http://schemas.openxmlformats.org/officeDocument/2006/relationships/hyperlink" Target="https://drive.google.com/drive/folders/19EhrumcXZmdldCh_ccYYXkHDQYGndmQR?usp=drive_link" TargetMode="External"/><Relationship Id="rId733" Type="http://schemas.openxmlformats.org/officeDocument/2006/relationships/hyperlink" Target="https://hocmai.vn/bai-giang-truc-tuyen/176085/.html" TargetMode="External"/><Relationship Id="rId734" Type="http://schemas.openxmlformats.org/officeDocument/2006/relationships/hyperlink" Target="https://hocmai.vn/bai-giang-truc-tuyen/176121/.html" TargetMode="External"/><Relationship Id="rId735" Type="http://schemas.openxmlformats.org/officeDocument/2006/relationships/hyperlink" Target="https://hocmai.vn/course/view.php?id=3130" TargetMode="External"/><Relationship Id="rId736" Type="http://schemas.openxmlformats.org/officeDocument/2006/relationships/hyperlink" Target="https://hocmai.sharepoint.com/Education_Development/Lists/San_xuat_video/DispForm.aspx?ID=12209" TargetMode="External"/><Relationship Id="rId737" Type="http://schemas.openxmlformats.org/officeDocument/2006/relationships/hyperlink" Target="https://hocmai.vn/course/view.php?id=3313" TargetMode="External"/><Relationship Id="rId738" Type="http://schemas.openxmlformats.org/officeDocument/2006/relationships/hyperlink" Target="https://hocmai.sharepoint.com/Education_Development/Lists/San_xuat_video/DispForm.aspx?ID=12177" TargetMode="External"/><Relationship Id="rId739" Type="http://schemas.openxmlformats.org/officeDocument/2006/relationships/hyperlink" Target="https://hocmai.vn/course/view.php?id=3130" TargetMode="External"/><Relationship Id="rId740" Type="http://schemas.openxmlformats.org/officeDocument/2006/relationships/hyperlink" Target="https://hocmai.sharepoint.com/Education_Development/Lists/San_xuat_video/DispForm.aspx?ID=12210" TargetMode="External"/><Relationship Id="rId741" Type="http://schemas.openxmlformats.org/officeDocument/2006/relationships/hyperlink" Target="https://hocmai.vn/course/view.php?id=3313" TargetMode="External"/><Relationship Id="rId742" Type="http://schemas.openxmlformats.org/officeDocument/2006/relationships/hyperlink" Target="https://hocmai.sharepoint.com/Education_Development/Lists/San_xuat_video/DispForm.aspx?ID=12178" TargetMode="External"/><Relationship Id="rId743" Type="http://schemas.openxmlformats.org/officeDocument/2006/relationships/hyperlink" Target="https://hocmai.vn/course/view.php?id=3130" TargetMode="External"/><Relationship Id="rId744" Type="http://schemas.openxmlformats.org/officeDocument/2006/relationships/hyperlink" Target="https://hocmai.sharepoint.com/Education_Development/Lists/San_xuat_video/DispForm.aspx?ID=12211" TargetMode="External"/><Relationship Id="rId745" Type="http://schemas.openxmlformats.org/officeDocument/2006/relationships/hyperlink" Target="https://hocmai.vn/course/view.php?id=3313" TargetMode="External"/><Relationship Id="rId746" Type="http://schemas.openxmlformats.org/officeDocument/2006/relationships/hyperlink" Target="https://hocmai.sharepoint.com/Education_Development/Lists/San_xuat_video/DispForm.aspx?ID=12179" TargetMode="External"/><Relationship Id="rId747" Type="http://schemas.openxmlformats.org/officeDocument/2006/relationships/hyperlink" Target="https://hocmai.vn/course/view.php?id=3130" TargetMode="External"/><Relationship Id="rId748" Type="http://schemas.openxmlformats.org/officeDocument/2006/relationships/hyperlink" Target="https://hocmai.sharepoint.com/Education_Development/Lists/San_xuat_video/DispForm.aspx?ID=12212" TargetMode="External"/><Relationship Id="rId749" Type="http://schemas.openxmlformats.org/officeDocument/2006/relationships/hyperlink" Target="https://hocmai.vn/course/view.php?id=3313" TargetMode="External"/><Relationship Id="rId750" Type="http://schemas.openxmlformats.org/officeDocument/2006/relationships/hyperlink" Target="https://hocmai.sharepoint.com/Education_Development/Lists/San_xuat_video/DispForm.aspx?ID=12180" TargetMode="External"/><Relationship Id="rId751" Type="http://schemas.openxmlformats.org/officeDocument/2006/relationships/hyperlink" Target="https://hocmai.vn/course/view.php?id=3130" TargetMode="External"/><Relationship Id="rId752" Type="http://schemas.openxmlformats.org/officeDocument/2006/relationships/hyperlink" Target="https://hocmai.sharepoint.com/Education_Development/Lists/San_xuat_video/DispForm.aspx?ID=12213" TargetMode="External"/><Relationship Id="rId753" Type="http://schemas.openxmlformats.org/officeDocument/2006/relationships/hyperlink" Target="https://hocmai.vn/course/view.php?id=3313" TargetMode="External"/><Relationship Id="rId754" Type="http://schemas.openxmlformats.org/officeDocument/2006/relationships/hyperlink" Target="https://hocmai.sharepoint.com/Education_Development/Lists/San_xuat_video/DispForm.aspx?ID=12181" TargetMode="External"/><Relationship Id="rId755" Type="http://schemas.openxmlformats.org/officeDocument/2006/relationships/hyperlink" Target="https://hocmai.vn/course/view.php?id=3130" TargetMode="External"/><Relationship Id="rId756" Type="http://schemas.openxmlformats.org/officeDocument/2006/relationships/hyperlink" Target="https://hocmai.sharepoint.com/Education_Development/Lists/San_xuat_video/DispForm.aspx?ID=12214" TargetMode="External"/><Relationship Id="rId757" Type="http://schemas.openxmlformats.org/officeDocument/2006/relationships/hyperlink" Target="https://hocmai.vn/course/view.php?id=3313" TargetMode="External"/><Relationship Id="rId758" Type="http://schemas.openxmlformats.org/officeDocument/2006/relationships/hyperlink" Target="https://hocmai.sharepoint.com/Education_Development/Lists/San_xuat_video/DispForm.aspx?ID=12182" TargetMode="External"/><Relationship Id="rId759" Type="http://schemas.openxmlformats.org/officeDocument/2006/relationships/hyperlink" Target="https://hocmai.vn/course/view.php?id=3130" TargetMode="External"/><Relationship Id="rId760" Type="http://schemas.openxmlformats.org/officeDocument/2006/relationships/hyperlink" Target="https://hocmai.sharepoint.com/Education_Development/Lists/San_xuat_video/DispForm.aspx?ID=12215" TargetMode="External"/><Relationship Id="rId761" Type="http://schemas.openxmlformats.org/officeDocument/2006/relationships/hyperlink" Target="https://hocmai.vn/course/view.php?id=3313" TargetMode="External"/><Relationship Id="rId762" Type="http://schemas.openxmlformats.org/officeDocument/2006/relationships/hyperlink" Target="https://hocmai.sharepoint.com/Education_Development/Lists/San_xuat_video/DispForm.aspx?ID=12183" TargetMode="External"/><Relationship Id="rId763" Type="http://schemas.openxmlformats.org/officeDocument/2006/relationships/hyperlink" Target="https://hocmai.vn/course/view.php?id=3130" TargetMode="External"/><Relationship Id="rId764" Type="http://schemas.openxmlformats.org/officeDocument/2006/relationships/hyperlink" Target="https://hocmai.sharepoint.com/Education_Development/Lists/San_xuat_video/DispForm.aspx?ID=12216" TargetMode="External"/><Relationship Id="rId765" Type="http://schemas.openxmlformats.org/officeDocument/2006/relationships/hyperlink" Target="https://hocmai.vn/course/view.php?id=3313" TargetMode="External"/><Relationship Id="rId766" Type="http://schemas.openxmlformats.org/officeDocument/2006/relationships/hyperlink" Target="https://hocmai.sharepoint.com/Education_Development/Lists/San_xuat_video/DispForm.aspx?ID=12184" TargetMode="External"/><Relationship Id="rId767" Type="http://schemas.openxmlformats.org/officeDocument/2006/relationships/hyperlink" Target="https://hocmai.vn/course/view.php?id=3130" TargetMode="External"/><Relationship Id="rId768" Type="http://schemas.openxmlformats.org/officeDocument/2006/relationships/hyperlink" Target="https://hocmai.sharepoint.com/Education_Development/Lists/San_xuat_video/DispForm.aspx?ID=12217" TargetMode="External"/><Relationship Id="rId769" Type="http://schemas.openxmlformats.org/officeDocument/2006/relationships/hyperlink" Target="https://hocmai.vn/course/view.php?id=3313" TargetMode="External"/><Relationship Id="rId770" Type="http://schemas.openxmlformats.org/officeDocument/2006/relationships/hyperlink" Target="https://hocmai.sharepoint.com/Education_Development/Lists/San_xuat_video/DispForm.aspx?ID=12185" TargetMode="External"/><Relationship Id="rId771" Type="http://schemas.openxmlformats.org/officeDocument/2006/relationships/hyperlink" Target="https://hocmai.sharepoint.com/Education_Development/Lists/San_xuat_video/DispForm.aspx?ID=12218" TargetMode="External"/><Relationship Id="rId772" Type="http://schemas.openxmlformats.org/officeDocument/2006/relationships/hyperlink" Target="https://hocmai.vn/course/view.php?id=3313" TargetMode="External"/><Relationship Id="rId773" Type="http://schemas.openxmlformats.org/officeDocument/2006/relationships/hyperlink" Target="https://hocmai.sharepoint.com/Education_Development/Lists/San_xuat_video/DispForm.aspx?ID=12219" TargetMode="External"/><Relationship Id="rId774" Type="http://schemas.openxmlformats.org/officeDocument/2006/relationships/hyperlink" Target="https://hocmai.vn/course/view.php?id=3313" TargetMode="External"/><Relationship Id="rId775" Type="http://schemas.openxmlformats.org/officeDocument/2006/relationships/hyperlink" Target="https://hocmai.sharepoint.com/Education_Development/Lists/San_xuat_video/DispForm.aspx?ID=12187" TargetMode="External"/><Relationship Id="rId776" Type="http://schemas.openxmlformats.org/officeDocument/2006/relationships/hyperlink" Target="https://hocmai.sharepoint.com/Education_Development/Lists/San_xuat_video/DispForm.aspx?ID=12220" TargetMode="External"/><Relationship Id="rId777" Type="http://schemas.openxmlformats.org/officeDocument/2006/relationships/hyperlink" Target="https://hocmai.vn/course/view.php?id=3313" TargetMode="External"/><Relationship Id="rId778" Type="http://schemas.openxmlformats.org/officeDocument/2006/relationships/hyperlink" Target="https://docs.google.com/spreadsheets/d/1Td7OcU1SqtvqgnAq1-eGju52AentqGw9cdXjUflMUSg/edit?gid=1826424214" TargetMode="External"/><Relationship Id="rId779" Type="http://schemas.openxmlformats.org/officeDocument/2006/relationships/hyperlink" Target="https://drive.google.com/drive/folders/1CQPgQVK2fy9V1LbV-GJ630IJMd2GGkUc" TargetMode="External"/><Relationship Id="rId780" Type="http://schemas.openxmlformats.org/officeDocument/2006/relationships/hyperlink" Target="https://hocmai.vn/mod/scorm/view_file.php?id=179705" TargetMode="External"/><Relationship Id="rId781" Type="http://schemas.openxmlformats.org/officeDocument/2006/relationships/hyperlink" Target="https://hocmai.vn/mod/scorm/view_file.php?id=179746" TargetMode="External"/><Relationship Id="rId782" Type="http://schemas.openxmlformats.org/officeDocument/2006/relationships/hyperlink" Target="https://drive.google.com/drive/folders/1pooVkDuKbZux71nx9JQOPCtMkkO-NiVH?usp=drive_link" TargetMode="External"/><Relationship Id="rId783" Type="http://schemas.openxmlformats.org/officeDocument/2006/relationships/hyperlink" Target="https://hocmai.sharepoint.com/Education_Development/Lists/San_xuat_video/DispForm.aspx?ID=12140" TargetMode="External"/><Relationship Id="rId784" Type="http://schemas.openxmlformats.org/officeDocument/2006/relationships/hyperlink" Target="https://s3.evgcloud.net/livestream/video/mp4/2026/04/04/336_3367b21041d85e947b681e0b1d2ab785e71_RELAY-20260404195951-cv.mp4" TargetMode="External"/><Relationship Id="rId785" Type="http://schemas.openxmlformats.org/officeDocument/2006/relationships/hyperlink" Target="https://hocmai.vn/mod/scorm/view_file.php?id=179750" TargetMode="External"/><Relationship Id="rId786" Type="http://schemas.openxmlformats.org/officeDocument/2006/relationships/hyperlink" Target="https://hocmai.vn/mod/scorm/view_file.php?id=179806" TargetMode="External"/><Relationship Id="rId787" Type="http://schemas.openxmlformats.org/officeDocument/2006/relationships/hyperlink" Target="https://drive.google.com/drive/folders/17Ns1XGnRDURERaThSuyC4O983qcqrHni?usp=drive_link" TargetMode="External"/><Relationship Id="rId788" Type="http://schemas.openxmlformats.org/officeDocument/2006/relationships/hyperlink" Target="https://hocmai.sharepoint.com/Education_Development/Lists/San_xuat_video/DispForm.aspx?ID=12141" TargetMode="External"/><Relationship Id="rId789" Type="http://schemas.openxmlformats.org/officeDocument/2006/relationships/hyperlink" Target="https://s3.evgcloud.net/livestream/video/mp4/2026/04/08/336_3367b21041d85e947b681e0b1d2ab785e71_RELAY-20260408201630-cv.mp4" TargetMode="External"/><Relationship Id="rId790" Type="http://schemas.openxmlformats.org/officeDocument/2006/relationships/hyperlink" Target="https://hocmai.vn/mod/scorm/view_file.php?id=179810" TargetMode="External"/><Relationship Id="rId791" Type="http://schemas.openxmlformats.org/officeDocument/2006/relationships/hyperlink" Target="https://hocmai.vn/mod/scorm/view_file.php?id=179848" TargetMode="External"/><Relationship Id="rId792" Type="http://schemas.openxmlformats.org/officeDocument/2006/relationships/hyperlink" Target="https://drive.google.com/drive/folders/1xgHxIawL2ZhDklUCtuAFi7FxgJkjde7U?usp=drive_link" TargetMode="External"/><Relationship Id="rId793" Type="http://schemas.openxmlformats.org/officeDocument/2006/relationships/hyperlink" Target="https://hocmai.sharepoint.com/Education_Development/Lists/San_xuat_video/DispForm.aspx?ID=12142" TargetMode="External"/><Relationship Id="rId794" Type="http://schemas.openxmlformats.org/officeDocument/2006/relationships/hyperlink" Target="https://s3.evgcloud.net/livestream/video/mp4/2026/04/11/336_3367b21041d85e947b681e0b1d2ab785e71_RELAY-20260411195610-cv.mp4" TargetMode="External"/><Relationship Id="rId795" Type="http://schemas.openxmlformats.org/officeDocument/2006/relationships/hyperlink" Target="https://hocmai.vn/mod/scorm/view_file.php?id=179871" TargetMode="External"/><Relationship Id="rId796" Type="http://schemas.openxmlformats.org/officeDocument/2006/relationships/hyperlink" Target="https://hocmai.vn/mod/scorm/view_file.php?id=179887" TargetMode="External"/><Relationship Id="rId797" Type="http://schemas.openxmlformats.org/officeDocument/2006/relationships/hyperlink" Target="https://drive.google.com/drive/folders/1d3LM0qCEksmEq7FP7DMglByLFRM_pOyE?usp=drive_link" TargetMode="External"/><Relationship Id="rId798" Type="http://schemas.openxmlformats.org/officeDocument/2006/relationships/hyperlink" Target="https://hocmai.sharepoint.com/Education_Development/Lists/San_xuat_video/DispForm.aspx?ID=12143" TargetMode="External"/><Relationship Id="rId799" Type="http://schemas.openxmlformats.org/officeDocument/2006/relationships/hyperlink" Target="https://s3.evgcloud.net/livestream/video/mp4/2026/04/15/336_336735e1943dfd144858558d92cc3a5e700_RELAY-20260415195526-cv.mp4" TargetMode="External"/><Relationship Id="rId800" Type="http://schemas.openxmlformats.org/officeDocument/2006/relationships/hyperlink" Target="https://hocmai.vn/mod/scorm/view_file.php?id=179894" TargetMode="External"/><Relationship Id="rId801" Type="http://schemas.openxmlformats.org/officeDocument/2006/relationships/hyperlink" Target="https://hocmai.vn/mod/scorm/view_file.php?id=179931" TargetMode="External"/><Relationship Id="rId802" Type="http://schemas.openxmlformats.org/officeDocument/2006/relationships/hyperlink" Target="https://drive.google.com/drive/folders/1GS701cWItnDxX4jwqGOpGUWAv3aPv2xC?usp=drive_link" TargetMode="External"/><Relationship Id="rId803" Type="http://schemas.openxmlformats.org/officeDocument/2006/relationships/hyperlink" Target="https://hocmai.sharepoint.com/Education_Development/Lists/San_xuat_video/DispForm.aspx?ID=12144" TargetMode="External"/><Relationship Id="rId804" Type="http://schemas.openxmlformats.org/officeDocument/2006/relationships/hyperlink" Target="https://s3.evgcloud.net/livestream/video/mp4/2026/04/18/336_33675f560e9966149c5bb6da16e6905fa9f_RELAY-20260418195744-cv.mp4" TargetMode="External"/><Relationship Id="rId805" Type="http://schemas.openxmlformats.org/officeDocument/2006/relationships/hyperlink" Target="https://hocmai.vn/mod/scorm/view_file.php?inpopup=true&amp;id=179950" TargetMode="External"/><Relationship Id="rId806" Type="http://schemas.openxmlformats.org/officeDocument/2006/relationships/hyperlink" Target="https://hocmai.vn/mod/scorm/view_file.php?inpopup=true&amp;id=179951" TargetMode="External"/><Relationship Id="rId807" Type="http://schemas.openxmlformats.org/officeDocument/2006/relationships/hyperlink" Target="https://drive.google.com/file/d/1mqz0vNOCcxBMRRvZ1gBnEo11x1iuIBUR/view?usp=drive_link" TargetMode="External"/><Relationship Id="rId808" Type="http://schemas.openxmlformats.org/officeDocument/2006/relationships/hyperlink" Target="https://hocmai.sharepoint.com/Education_Development/Lists/San_xuat_video/DispForm.aspx?ID=12188" TargetMode="External"/><Relationship Id="rId809" Type="http://schemas.openxmlformats.org/officeDocument/2006/relationships/hyperlink" Target="https://hocmai.vn/course/view.php?id=3313" TargetMode="External"/><Relationship Id="rId810" Type="http://schemas.openxmlformats.org/officeDocument/2006/relationships/hyperlink" Target="https://s3.evgcloud.net/livestream/video/mp4/2026/04/22/336_336c10bed572efe47edb6c03e1f78d13d85_RELAY-20260421213059-cv.mp4" TargetMode="External"/><Relationship Id="rId811" Type="http://schemas.openxmlformats.org/officeDocument/2006/relationships/hyperlink" Target="https://hocmai.vn/mod/scorm/view_file.php?id=179920" TargetMode="External"/><Relationship Id="rId812" Type="http://schemas.openxmlformats.org/officeDocument/2006/relationships/hyperlink" Target="https://hocmai.vn/mod/scorm/view_file.php?id=179955" TargetMode="External"/><Relationship Id="rId813" Type="http://schemas.openxmlformats.org/officeDocument/2006/relationships/hyperlink" Target="https://drive.google.com/drive/folders/1DbLJ9b34GfUr-wesgEFZKBUqvYDCFa_M?usp=drive_link" TargetMode="External"/><Relationship Id="rId814" Type="http://schemas.openxmlformats.org/officeDocument/2006/relationships/hyperlink" Target="https://hocmai.sharepoint.com/Education_Development/Lists/San_xuat_video/DispForm.aspx?ID=12145" TargetMode="External"/><Relationship Id="rId815" Type="http://schemas.openxmlformats.org/officeDocument/2006/relationships/hyperlink" Target="https://s3.evgcloud.net/livestream/video/mp4/2026/04/22/336_33675f560e9966149c5bb6da16e6905fa9f_RELAY-20260422195858-cv.mp4" TargetMode="External"/><Relationship Id="rId816" Type="http://schemas.openxmlformats.org/officeDocument/2006/relationships/hyperlink" Target="https://hocmai.vn/mod/scorm/view_file.php?id=180003" TargetMode="External"/><Relationship Id="rId817" Type="http://schemas.openxmlformats.org/officeDocument/2006/relationships/hyperlink" Target="https://hocmai.vn/mod/scorm/view_file.php?id=180011" TargetMode="External"/><Relationship Id="rId818" Type="http://schemas.openxmlformats.org/officeDocument/2006/relationships/hyperlink" Target="https://drive.google.com/drive/folders/13bqChLqEsjd6J_9-2kM5bpISg1_-BJHL?usp=drive_link" TargetMode="External"/><Relationship Id="rId819" Type="http://schemas.openxmlformats.org/officeDocument/2006/relationships/hyperlink" Target="https://hocmai.sharepoint.com/Education_Development/Lists/San_xuat_video/DispForm.aspx?ID=12146" TargetMode="External"/><Relationship Id="rId820" Type="http://schemas.openxmlformats.org/officeDocument/2006/relationships/hyperlink" Target="https://s3.evgcloud.net/livestream/video/mp4/2026/04/25/336_33675f560e9966149c5bb6da16e6905fa9f_RELAY-20260425195542-cv.mp4" TargetMode="External"/><Relationship Id="rId821" Type="http://schemas.openxmlformats.org/officeDocument/2006/relationships/hyperlink" Target="https://hocmai.vn/mod/scorm/view_file.php?inpopup=true&amp;id=180033" TargetMode="External"/><Relationship Id="rId822" Type="http://schemas.openxmlformats.org/officeDocument/2006/relationships/hyperlink" Target="https://hocmai.vn/mod/scorm/view_file.php?inpopup=true&amp;id=180040" TargetMode="External"/><Relationship Id="rId823" Type="http://schemas.openxmlformats.org/officeDocument/2006/relationships/hyperlink" Target="https://hocmai.sharepoint.com/Education_Development/Lists/San_xuat_video/DispForm.aspx?ID=12189" TargetMode="External"/><Relationship Id="rId824" Type="http://schemas.openxmlformats.org/officeDocument/2006/relationships/hyperlink" Target="https://hocmai.vn/course/view.php?id=3313" TargetMode="External"/><Relationship Id="rId825" Type="http://schemas.openxmlformats.org/officeDocument/2006/relationships/hyperlink" Target="https://s3.evgcloud.net/livestream/video/mp4/2026/04/29/336_33675f560e9966149c5bb6da16e6905fa9f_RELAY-20260428212501-cv.mp4" TargetMode="External"/><Relationship Id="rId826" Type="http://schemas.openxmlformats.org/officeDocument/2006/relationships/hyperlink" Target="https://hocmai.vn/mod/scorm/view_file.php?id=180020" TargetMode="External"/><Relationship Id="rId827" Type="http://schemas.openxmlformats.org/officeDocument/2006/relationships/hyperlink" Target="https://hocmai.vn/mod/scorm/view_file.php?id=180027" TargetMode="External"/><Relationship Id="rId828" Type="http://schemas.openxmlformats.org/officeDocument/2006/relationships/hyperlink" Target="https://drive.google.com/drive/folders/1SrhX0P8LFpuSfjj8sL52PlP7AguTZgoW?usp=drive_link" TargetMode="External"/><Relationship Id="rId829" Type="http://schemas.openxmlformats.org/officeDocument/2006/relationships/hyperlink" Target="https://hocmai.sharepoint.com/Education_Development/Lists/San_xuat_video/DispForm.aspx?ID=12147" TargetMode="External"/><Relationship Id="rId830" Type="http://schemas.openxmlformats.org/officeDocument/2006/relationships/hyperlink" Target="https://s3.evgcloud.net/livestream/video/mp4/2026/04/29/336_33675f560e9966149c5bb6da16e6905fa9f_RELAY-20260429195834-cv.mp4" TargetMode="External"/><Relationship Id="rId831" Type="http://schemas.openxmlformats.org/officeDocument/2006/relationships/hyperlink" Target="https://hocmai.vn/mod/scorm/view_file.php?id=180049" TargetMode="External"/><Relationship Id="rId832" Type="http://schemas.openxmlformats.org/officeDocument/2006/relationships/hyperlink" Target="https://hocmai.vn/mod/scorm/view_file.php?id=180029" TargetMode="External"/><Relationship Id="rId833" Type="http://schemas.openxmlformats.org/officeDocument/2006/relationships/hyperlink" Target="https://drive.google.com/drive/folders/1KTWBEmjJ46Mw-BVWSU_L-xmKo5r5FG35?usp=drive_link" TargetMode="External"/><Relationship Id="rId834" Type="http://schemas.openxmlformats.org/officeDocument/2006/relationships/hyperlink" Target="https://hocmai.sharepoint.com/Education_Development/Lists/San_xuat_video/DispForm.aspx?ID=12148" TargetMode="External"/><Relationship Id="rId835" Type="http://schemas.openxmlformats.org/officeDocument/2006/relationships/hyperlink" Target="https://hocmai.vn/mod/scorm/view_file.php?inpopup=true&amp;id=180066" TargetMode="External"/><Relationship Id="rId836" Type="http://schemas.openxmlformats.org/officeDocument/2006/relationships/hyperlink" Target="https://hocmai.vn/mod/scorm/view_file.php?inpopup=true&amp;id=180078" TargetMode="External"/><Relationship Id="rId837" Type="http://schemas.openxmlformats.org/officeDocument/2006/relationships/hyperlink" Target="https://hocmai.sharepoint.com/Education_Development/Lists/San_xuat_video/DispForm.aspx?ID=12190" TargetMode="External"/><Relationship Id="rId838" Type="http://schemas.openxmlformats.org/officeDocument/2006/relationships/hyperlink" Target="https://hocmai.vn/course/view.php?id=3313" TargetMode="External"/><Relationship Id="rId839" Type="http://schemas.openxmlformats.org/officeDocument/2006/relationships/hyperlink" Target="https://s3.evgcloud.net/livestream/video/mp4/2026/05/05/336_33675f560e9966149c5bb6da16e6905fa9f_RELAY-20260505205417-cv.mp4" TargetMode="External"/><Relationship Id="rId840" Type="http://schemas.openxmlformats.org/officeDocument/2006/relationships/hyperlink" Target="https://hocmai.vn/mod/scorm/view_file.php?id=180080" TargetMode="External"/><Relationship Id="rId841" Type="http://schemas.openxmlformats.org/officeDocument/2006/relationships/hyperlink" Target="https://hocmai.vn/mod/scorm/view_file.php?id=180081" TargetMode="External"/><Relationship Id="rId842" Type="http://schemas.openxmlformats.org/officeDocument/2006/relationships/hyperlink" Target="https://drive.google.com/drive/folders/1TQSr2qDRiDocCiTniIcIV9cdzinOy8bF?usp=drive_link" TargetMode="External"/><Relationship Id="rId843" Type="http://schemas.openxmlformats.org/officeDocument/2006/relationships/hyperlink" Target="https://hocmai.sharepoint.com/Education_Development/Lists/San_xuat_video/DispForm.aspx?ID=12149" TargetMode="External"/><Relationship Id="rId844" Type="http://schemas.openxmlformats.org/officeDocument/2006/relationships/hyperlink" Target="https://hocmai.vn/mod/scorm/view_file.php?id=180091" TargetMode="External"/><Relationship Id="rId845" Type="http://schemas.openxmlformats.org/officeDocument/2006/relationships/hyperlink" Target="https://hocmai.vn/mod/scorm/view_file.php?id=180104" TargetMode="External"/><Relationship Id="rId846" Type="http://schemas.openxmlformats.org/officeDocument/2006/relationships/hyperlink" Target="https://drive.google.com/drive/folders/1W1jJMdZQDFulPLSl9-J-_6wx57IlaYWG?usp=drive_link" TargetMode="External"/><Relationship Id="rId847" Type="http://schemas.openxmlformats.org/officeDocument/2006/relationships/hyperlink" Target="https://hocmai.sharepoint.com/Education_Development/Lists/San_xuat_video/DispForm.aspx?ID=12150" TargetMode="External"/><Relationship Id="rId848" Type="http://schemas.openxmlformats.org/officeDocument/2006/relationships/hyperlink" Target="https://hocmai.vn/mod/scorm/view_file.php?inpopup=true&amp;id=180111" TargetMode="External"/><Relationship Id="rId849" Type="http://schemas.openxmlformats.org/officeDocument/2006/relationships/hyperlink" Target="https://hocmai.vn/mod/scorm/view_file.php?inpopup=true&amp;id=180115" TargetMode="External"/><Relationship Id="rId850" Type="http://schemas.openxmlformats.org/officeDocument/2006/relationships/hyperlink" Target="https://hocmai.sharepoint.com/Education_Development/Lists/San_xuat_video/DispForm.aspx?ID=12191" TargetMode="External"/><Relationship Id="rId851" Type="http://schemas.openxmlformats.org/officeDocument/2006/relationships/hyperlink" Target="https://hocmai.vn/course/view.php?id=3313" TargetMode="External"/><Relationship Id="rId852" Type="http://schemas.openxmlformats.org/officeDocument/2006/relationships/hyperlink" Target="https://hocmai.vn/mod/scorm/view_file.php?id=180098" TargetMode="External"/><Relationship Id="rId853" Type="http://schemas.openxmlformats.org/officeDocument/2006/relationships/hyperlink" Target="https://hocmai.vn/mod/scorm/view_file.php?id=180120" TargetMode="External"/><Relationship Id="rId854" Type="http://schemas.openxmlformats.org/officeDocument/2006/relationships/hyperlink" Target="https://drive.google.com/drive/folders/1G5v6zUww2xBeXLEAWV2j3PEkldm5KfcR?usp=drive_link" TargetMode="External"/><Relationship Id="rId855" Type="http://schemas.openxmlformats.org/officeDocument/2006/relationships/hyperlink" Target="https://hocmai.sharepoint.com/Education_Development/Lists/San_xuat_video/DispForm.aspx?ID=12151" TargetMode="External"/><Relationship Id="rId856" Type="http://schemas.openxmlformats.org/officeDocument/2006/relationships/hyperlink" Target="https://hocmai.vn/mod/scorm/view_file.php?id=180122" TargetMode="External"/><Relationship Id="rId857" Type="http://schemas.openxmlformats.org/officeDocument/2006/relationships/hyperlink" Target="https://hocmai.vn/mod/scorm/view_file.php?id=180132" TargetMode="External"/><Relationship Id="rId858" Type="http://schemas.openxmlformats.org/officeDocument/2006/relationships/hyperlink" Target="https://drive.google.com/drive/folders/1V9w_qNbfN-N6v0fQ5ZWj5bS9UxNAmfTD?usp=drive_link" TargetMode="External"/><Relationship Id="rId859" Type="http://schemas.openxmlformats.org/officeDocument/2006/relationships/hyperlink" Target="https://hocmai.sharepoint.com/Education_Development/Lists/San_xuat_video/DispForm.aspx?ID=12152" TargetMode="External"/><Relationship Id="rId860" Type="http://schemas.openxmlformats.org/officeDocument/2006/relationships/hyperlink" Target="https://hocmai.vn/mod/scorm/view_file.php?inpopup=true&amp;id=180143" TargetMode="External"/><Relationship Id="rId861" Type="http://schemas.openxmlformats.org/officeDocument/2006/relationships/hyperlink" Target="https://hocmai.vn/mod/scorm/view_file.php?inpopup=true&amp;id=180134" TargetMode="External"/><Relationship Id="rId862" Type="http://schemas.openxmlformats.org/officeDocument/2006/relationships/hyperlink" Target="https://hocmai.sharepoint.com/Education_Development/Lists/San_xuat_video/DispForm.aspx?ID=12192" TargetMode="External"/><Relationship Id="rId863" Type="http://schemas.openxmlformats.org/officeDocument/2006/relationships/hyperlink" Target="https://hocmai.vn/course/view.php?id=3313" TargetMode="External"/><Relationship Id="rId864" Type="http://schemas.openxmlformats.org/officeDocument/2006/relationships/hyperlink" Target="https://hocmai.vn/mod/scorm/view_file.php?id=180138" TargetMode="External"/><Relationship Id="rId865" Type="http://schemas.openxmlformats.org/officeDocument/2006/relationships/hyperlink" Target="https://hocmai.vn/mod/scorm/view_file.php?id=180166" TargetMode="External"/><Relationship Id="rId866" Type="http://schemas.openxmlformats.org/officeDocument/2006/relationships/hyperlink" Target="https://drive.google.com/drive/folders/1Ycl6619I1qcaUCAjfB4uIc4j-T--DDvS?usp=drive_link" TargetMode="External"/><Relationship Id="rId867" Type="http://schemas.openxmlformats.org/officeDocument/2006/relationships/hyperlink" Target="https://hocmai.sharepoint.com/Education_Development/Lists/San_xuat_video/DispForm.aspx?ID=12153" TargetMode="External"/><Relationship Id="rId868" Type="http://schemas.openxmlformats.org/officeDocument/2006/relationships/hyperlink" Target="https://hocmai.vn/mod/scorm/view_file.php?id=180168" TargetMode="External"/><Relationship Id="rId869" Type="http://schemas.openxmlformats.org/officeDocument/2006/relationships/hyperlink" Target="https://hocmai.vn/mod/scorm/view_file.php?id=180176" TargetMode="External"/><Relationship Id="rId870" Type="http://schemas.openxmlformats.org/officeDocument/2006/relationships/hyperlink" Target="https://drive.google.com/drive/folders/1uoNC8cTvCsk7_S3JvgJznQIbEBC-Iyb8?usp=drive_link" TargetMode="External"/><Relationship Id="rId871" Type="http://schemas.openxmlformats.org/officeDocument/2006/relationships/hyperlink" Target="https://hocmai.sharepoint.com/Education_Development/Lists/San_xuat_video/DispForm.aspx?ID=12154" TargetMode="External"/><Relationship Id="rId872" Type="http://schemas.openxmlformats.org/officeDocument/2006/relationships/hyperlink" Target="https://hocmai.vn/mod/scorm/view_file.php?id=180172" TargetMode="External"/><Relationship Id="rId873" Type="http://schemas.openxmlformats.org/officeDocument/2006/relationships/hyperlink" Target="https://hocmai.vn/mod/scorm/view_file.php?id=180178" TargetMode="External"/><Relationship Id="rId874" Type="http://schemas.openxmlformats.org/officeDocument/2006/relationships/hyperlink" Target="https://drive.google.com/drive/folders/1uoNC8cTvCsk7_S3JvgJznQIbEBC-Iyb8?usp=drive_link" TargetMode="External"/><Relationship Id="rId875" Type="http://schemas.openxmlformats.org/officeDocument/2006/relationships/hyperlink" Target="https://hocmai.sharepoint.com/Education_Development/Lists/San_xuat_video/DispForm.aspx?ID=12154" TargetMode="External"/><Relationship Id="rId876" Type="http://schemas.openxmlformats.org/officeDocument/2006/relationships/hyperlink" Target="https://hocmai.vn/mod/scorm/view_file.php?id=180173" TargetMode="External"/><Relationship Id="rId877" Type="http://schemas.openxmlformats.org/officeDocument/2006/relationships/hyperlink" Target="https://hocmai.vn/mod/scorm/view_file.php?id=180180" TargetMode="External"/><Relationship Id="rId878" Type="http://schemas.openxmlformats.org/officeDocument/2006/relationships/hyperlink" Target="https://drive.google.com/drive/folders/1bmKFOGgfd0V_nVx289MN28FE4oYeOmCT?usp=drive_link" TargetMode="External"/><Relationship Id="rId879" Type="http://schemas.openxmlformats.org/officeDocument/2006/relationships/hyperlink" Target="https://hocmai.sharepoint.com/Education_Development/Lists/San_xuat_video/DispForm.aspx?ID=12155" TargetMode="External"/><Relationship Id="rId880" Type="http://schemas.openxmlformats.org/officeDocument/2006/relationships/hyperlink" Target="https://hocmai.vn/mod/scorm/view_file.php?inpopup=true&amp;id=180185" TargetMode="External"/><Relationship Id="rId881" Type="http://schemas.openxmlformats.org/officeDocument/2006/relationships/hyperlink" Target="https://hocmai.vn/mod/scorm/view_file.php?inpopup=true&amp;id=180186" TargetMode="External"/><Relationship Id="rId882" Type="http://schemas.openxmlformats.org/officeDocument/2006/relationships/hyperlink" Target="https://hocmai.sharepoint.com/Education_Development/Lists/San_xuat_video/DispForm.aspx?ID=12193" TargetMode="External"/><Relationship Id="rId883" Type="http://schemas.openxmlformats.org/officeDocument/2006/relationships/hyperlink" Target="https://hocmai.vn/course/view.php?id=3313" TargetMode="External"/><Relationship Id="rId884" Type="http://schemas.openxmlformats.org/officeDocument/2006/relationships/hyperlink" Target="https://hocmai.vn/mod/scorm/view_file.php?id=180184" TargetMode="External"/><Relationship Id="rId885" Type="http://schemas.openxmlformats.org/officeDocument/2006/relationships/hyperlink" Target="https://hocmai.vn/mod/scorm/view_file.php?id=180192" TargetMode="External"/><Relationship Id="rId886" Type="http://schemas.openxmlformats.org/officeDocument/2006/relationships/hyperlink" Target="https://drive.google.com/drive/folders/1W27G-KXm8U1uZQxc39Owkmg_kfWtXQeY?usp=drive_link" TargetMode="External"/><Relationship Id="rId887" Type="http://schemas.openxmlformats.org/officeDocument/2006/relationships/hyperlink" Target="https://hocmai.sharepoint.com/Education_Development/Lists/San_xuat_video/DispForm.aspx?ID=12156" TargetMode="External"/><Relationship Id="rId888" Type="http://schemas.openxmlformats.org/officeDocument/2006/relationships/hyperlink" Target="https://hocmai.vn/mod/scorm/view_file.php?id=180191" TargetMode="External"/><Relationship Id="rId889" Type="http://schemas.openxmlformats.org/officeDocument/2006/relationships/hyperlink" Target="https://hocmai.vn/mod/scorm/view_file.php?id=180205" TargetMode="External"/><Relationship Id="rId890" Type="http://schemas.openxmlformats.org/officeDocument/2006/relationships/hyperlink" Target="https://drive.google.com/drive/folders/1OeTfOrGwcEPIp1PDLqo5qXJ9zWue2S-S?usp=drive_link" TargetMode="External"/><Relationship Id="rId891" Type="http://schemas.openxmlformats.org/officeDocument/2006/relationships/hyperlink" Target="https://hocmai.sharepoint.com/Education_Development/Lists/San_xuat_video/DispForm.aspx?ID=12157" TargetMode="External"/><Relationship Id="rId892" Type="http://schemas.openxmlformats.org/officeDocument/2006/relationships/hyperlink" Target="https://hocmai.vn/mod/scorm/view_file.php?id=180197" TargetMode="External"/><Relationship Id="rId893" Type="http://schemas.openxmlformats.org/officeDocument/2006/relationships/hyperlink" Target="https://hocmai.vn/mod/scorm/view_file.php?id=180207" TargetMode="External"/><Relationship Id="rId894" Type="http://schemas.openxmlformats.org/officeDocument/2006/relationships/hyperlink" Target="https://drive.google.com/drive/folders/1tgo-5Je0l37tkoF7nqTHi-nqZ63y9wnX?usp=drive_link" TargetMode="External"/><Relationship Id="rId895" Type="http://schemas.openxmlformats.org/officeDocument/2006/relationships/hyperlink" Target="https://hocmai.sharepoint.com/Education_Development/Lists/San_xuat_video/DispForm.aspx?ID=12158" TargetMode="External"/><Relationship Id="rId896" Type="http://schemas.openxmlformats.org/officeDocument/2006/relationships/hyperlink" Target="https://hocmai.vn/mod/scorm/view_file.php?inpopup=true&amp;id=180202" TargetMode="External"/><Relationship Id="rId897" Type="http://schemas.openxmlformats.org/officeDocument/2006/relationships/hyperlink" Target="https://hocmai.vn/mod/scorm/view_file.php?inpopup=true&amp;id=180203" TargetMode="External"/><Relationship Id="rId898" Type="http://schemas.openxmlformats.org/officeDocument/2006/relationships/hyperlink" Target="https://hocmai.sharepoint.com/Education_Development/Lists/San_xuat_video/DispForm.aspx?ID=12194" TargetMode="External"/><Relationship Id="rId899" Type="http://schemas.openxmlformats.org/officeDocument/2006/relationships/hyperlink" Target="https://hocmai.vn/course/view.php?id=3313" TargetMode="External"/><Relationship Id="rId900" Type="http://schemas.openxmlformats.org/officeDocument/2006/relationships/hyperlink" Target="https://hocmai.vn/mod/scorm/view_file.php?id=180213" TargetMode="External"/><Relationship Id="rId901" Type="http://schemas.openxmlformats.org/officeDocument/2006/relationships/hyperlink" Target="https://hocmai.vn/mod/scorm/view_file.php?id=180221" TargetMode="External"/><Relationship Id="rId902" Type="http://schemas.openxmlformats.org/officeDocument/2006/relationships/hyperlink" Target="https://drive.google.com/drive/folders/1fC7WWo7u0zywx8D7ZBiJYdZxL3gN7Mjk?usp=drive_link" TargetMode="External"/><Relationship Id="rId903" Type="http://schemas.openxmlformats.org/officeDocument/2006/relationships/hyperlink" Target="https://hocmai.sharepoint.com/Education_Development/Lists/San_xuat_video/DispForm.aspx?ID=12159" TargetMode="External"/><Relationship Id="rId904" Type="http://schemas.openxmlformats.org/officeDocument/2006/relationships/hyperlink" Target="https://hocmai.vn/mod/scorm/view_file.php?id=180219" TargetMode="External"/><Relationship Id="rId905" Type="http://schemas.openxmlformats.org/officeDocument/2006/relationships/hyperlink" Target="https://hocmai.vn/mod/scorm/view_file.php?id=180561" TargetMode="External"/><Relationship Id="rId906" Type="http://schemas.openxmlformats.org/officeDocument/2006/relationships/hyperlink" Target="https://drive.google.com/drive/folders/1DuybJH7F16nah89d-R8umD-8S1Z8LalM?usp=drive_link" TargetMode="External"/><Relationship Id="rId907" Type="http://schemas.openxmlformats.org/officeDocument/2006/relationships/hyperlink" Target="https://hocmai.sharepoint.com/Education_Development/Lists/San_xuat_video/DispForm.aspx?ID=12160" TargetMode="External"/><Relationship Id="rId908" Type="http://schemas.openxmlformats.org/officeDocument/2006/relationships/hyperlink" Target="https://hocmai.vn/mod/scorm/view_file.php?id=180559" TargetMode="External"/><Relationship Id="rId909" Type="http://schemas.openxmlformats.org/officeDocument/2006/relationships/hyperlink" Target="https://hocmai.vn/mod/scorm/view_file.php?id=180563" TargetMode="External"/><Relationship Id="rId910" Type="http://schemas.openxmlformats.org/officeDocument/2006/relationships/hyperlink" Target="https://drive.google.com/drive/folders/1lP4XtE84d_aRaZDjqqioXTmxOmWZwzra?usp=drive_link" TargetMode="External"/><Relationship Id="rId911" Type="http://schemas.openxmlformats.org/officeDocument/2006/relationships/hyperlink" Target="https://hocmai.sharepoint.com/Education_Development/Lists/San_xuat_video/DispForm.aspx?ID=12161" TargetMode="External"/><Relationship Id="rId912" Type="http://schemas.openxmlformats.org/officeDocument/2006/relationships/hyperlink" Target="https://hocmai.vn/mod/scorm/view_file.php?inpopup=true&amp;id=180565" TargetMode="External"/><Relationship Id="rId913" Type="http://schemas.openxmlformats.org/officeDocument/2006/relationships/hyperlink" Target="https://hocmai.vn/mod/scorm/view_file.php?inpopup=true&amp;id=180568" TargetMode="External"/><Relationship Id="rId914" Type="http://schemas.openxmlformats.org/officeDocument/2006/relationships/hyperlink" Target="https://drive.google.com/drive/folders/1uQJIAcYibQZh_DS3p1MVsVXJY00XCjQ2?usp=drive_link" TargetMode="External"/><Relationship Id="rId915" Type="http://schemas.openxmlformats.org/officeDocument/2006/relationships/hyperlink" Target="https://hocmai.sharepoint.com/Education_Development/Lists/San_xuat_video/DispForm.aspx?ID=12195" TargetMode="External"/><Relationship Id="rId916" Type="http://schemas.openxmlformats.org/officeDocument/2006/relationships/hyperlink" Target="https://hocmai.vn/course/view.php?id=3313" TargetMode="External"/><Relationship Id="rId917" Type="http://schemas.openxmlformats.org/officeDocument/2006/relationships/hyperlink" Target="https://hocmai.vn/mod/scorm/view_file.php?id=180560" TargetMode="External"/><Relationship Id="rId918" Type="http://schemas.openxmlformats.org/officeDocument/2006/relationships/hyperlink" Target="https://hocmai.vn/mod/scorm/view_file.php?id=180942" TargetMode="External"/><Relationship Id="rId919" Type="http://schemas.openxmlformats.org/officeDocument/2006/relationships/hyperlink" Target="https://drive.google.com/drive/folders/11T-F4N5lJjdVw3OviiJyNdn00NroY9bR?usp=drive_link" TargetMode="External"/><Relationship Id="rId920" Type="http://schemas.openxmlformats.org/officeDocument/2006/relationships/hyperlink" Target="https://hocmai.sharepoint.com/Education_Development/Lists/San_xuat_video/DispForm.aspx?ID=12162" TargetMode="External"/><Relationship Id="rId921" Type="http://schemas.openxmlformats.org/officeDocument/2006/relationships/hyperlink" Target="https://hocmai.vn/mod/scorm/view_file.php?id=180921" TargetMode="External"/><Relationship Id="rId922" Type="http://schemas.openxmlformats.org/officeDocument/2006/relationships/hyperlink" Target="https://hocmai.vn/mod/scorm/view_file.php?id=180979" TargetMode="External"/><Relationship Id="rId923" Type="http://schemas.openxmlformats.org/officeDocument/2006/relationships/hyperlink" Target="https://drive.google.com/drive/folders/1-h4iYOvBqYXrsAGl4TjolBwLq6MDhzWY?usp=drive_link" TargetMode="External"/><Relationship Id="rId924" Type="http://schemas.openxmlformats.org/officeDocument/2006/relationships/hyperlink" Target="https://hocmai.sharepoint.com/Education_Development/Lists/San_xuat_video/DispForm.aspx?ID=12163" TargetMode="External"/><Relationship Id="rId925" Type="http://schemas.openxmlformats.org/officeDocument/2006/relationships/hyperlink" Target="https://hocmai.vn/mod/scorm/view_file.php?inpopup=true&amp;id=180926" TargetMode="External"/><Relationship Id="rId926" Type="http://schemas.openxmlformats.org/officeDocument/2006/relationships/hyperlink" Target="https://hocmai.vn/mod/scorm/view_file.php?inpopup=true&amp;id=180927" TargetMode="External"/><Relationship Id="rId927" Type="http://schemas.openxmlformats.org/officeDocument/2006/relationships/hyperlink" Target="https://drive.google.com/drive/folders/1NG8TCHJCwEcbGNufeRUQEeedUv_i2bxl?usp=drive_link" TargetMode="External"/><Relationship Id="rId928" Type="http://schemas.openxmlformats.org/officeDocument/2006/relationships/hyperlink" Target="https://hocmai.sharepoint.com/Education_Development/Lists/San_xuat_video/DispForm.aspx?ID=12196" TargetMode="External"/><Relationship Id="rId929" Type="http://schemas.openxmlformats.org/officeDocument/2006/relationships/hyperlink" Target="https://hocmai.vn/course/view.php?id=3313" TargetMode="External"/><Relationship Id="rId930" Type="http://schemas.openxmlformats.org/officeDocument/2006/relationships/hyperlink" Target="https://hocmai.vn/mod/scorm/view_file.php?id=180922" TargetMode="External"/><Relationship Id="rId931" Type="http://schemas.openxmlformats.org/officeDocument/2006/relationships/hyperlink" Target="https://hocmai.vn/mod/scorm/view_file.php?id=180987" TargetMode="External"/><Relationship Id="rId932" Type="http://schemas.openxmlformats.org/officeDocument/2006/relationships/hyperlink" Target="https://drive.google.com/drive/folders/1c6ls30QeA9CZ9XM67E8QYPIJhUgUVdmU?usp=drive_link" TargetMode="External"/><Relationship Id="rId933" Type="http://schemas.openxmlformats.org/officeDocument/2006/relationships/hyperlink" Target="https://hocmai.sharepoint.com/Education_Development/Lists/San_xuat_video/DispForm.aspx?ID=12164" TargetMode="External"/><Relationship Id="rId934" Type="http://schemas.openxmlformats.org/officeDocument/2006/relationships/hyperlink" Target="https://hocmai.vn/mod/scorm/view_file.php?inpopup=true&amp;id=180946" TargetMode="External"/><Relationship Id="rId935" Type="http://schemas.openxmlformats.org/officeDocument/2006/relationships/hyperlink" Target="https://hocmai.vn/mod/scorm/view_file.php?inpopup=true&amp;id=180998" TargetMode="External"/><Relationship Id="rId936" Type="http://schemas.openxmlformats.org/officeDocument/2006/relationships/hyperlink" Target="https://drive.google.com/file/d/1MfxiPWY3wgiBfuRXDBDY-P5zUnveUufT/view?usp=drive_link" TargetMode="External"/><Relationship Id="rId937" Type="http://schemas.openxmlformats.org/officeDocument/2006/relationships/hyperlink" Target="https://hocmai.vn/mod/scorm/view_file.php?inpopup=true&amp;id=180924" TargetMode="External"/><Relationship Id="rId938" Type="http://schemas.openxmlformats.org/officeDocument/2006/relationships/hyperlink" Target="https://hocmai.vn/mod/scorm/view_file.php?inpopup=true&amp;id=180982" TargetMode="External"/><Relationship Id="rId939" Type="http://schemas.openxmlformats.org/officeDocument/2006/relationships/hyperlink" Target="https://drive.google.com/file/d/1SPCCaOuv0GuSyB5YxIzi-xO3_bA7ub4c/view?usp=drive_link" TargetMode="External"/><Relationship Id="rId940" Type="http://schemas.openxmlformats.org/officeDocument/2006/relationships/hyperlink" Target="https://hocmai.vn/course/view.php?id=3120&amp;edit=on&amp;sesskey=iNeihlzt40" TargetMode="External"/><Relationship Id="rId941" Type="http://schemas.openxmlformats.org/officeDocument/2006/relationships/hyperlink" Target="https://hocmai.vn/mod/scorm/view_file.php?id=180576" TargetMode="External"/><Relationship Id="rId942" Type="http://schemas.openxmlformats.org/officeDocument/2006/relationships/hyperlink" Target="https://hocmai.vn/mod/scorm/view_file.php?id=181009" TargetMode="External"/><Relationship Id="rId943" Type="http://schemas.openxmlformats.org/officeDocument/2006/relationships/hyperlink" Target="https://drive.google.com/drive/folders/1xqzMZVBAOs9v29FwWvg8yfts6dYcG6-t?usp=drive_link" TargetMode="External"/><Relationship Id="rId944" Type="http://schemas.openxmlformats.org/officeDocument/2006/relationships/hyperlink" Target="https://hocmai.vn/kho-tai-lieu/read.php?id=19937" TargetMode="External"/><Relationship Id="rId945" Type="http://schemas.openxmlformats.org/officeDocument/2006/relationships/hyperlink" Target="https://drive.google.com/drive/folders/1soJOy-ndjRXSxFDTUWlYedfvZAObXioF?usp=drive_link" TargetMode="External"/><Relationship Id="rId946" Type="http://schemas.openxmlformats.org/officeDocument/2006/relationships/hyperlink" Target="https://hocmai.vn/mod/scorm/view_file.php?inpopup=true&amp;id=181030" TargetMode="External"/><Relationship Id="rId947" Type="http://schemas.openxmlformats.org/officeDocument/2006/relationships/hyperlink" Target="https://hocmai.vn/mod/scorm/view_file.php?inpopup=true&amp;id=181031" TargetMode="External"/><Relationship Id="rId948" Type="http://schemas.openxmlformats.org/officeDocument/2006/relationships/hyperlink" Target="https://drive.google.com/drive/folders/1Oi_dW-kqYkqVgBIwysHGAnsse2saB5wP" TargetMode="External"/><Relationship Id="rId949" Type="http://schemas.openxmlformats.org/officeDocument/2006/relationships/hyperlink" Target="https://hocmai.vn/mod/scorm/view_file.php?inpopup=true&amp;id=180948" TargetMode="External"/><Relationship Id="rId950" Type="http://schemas.openxmlformats.org/officeDocument/2006/relationships/hyperlink" Target="https://hocmai.vn/mod/scorm/view_file.php?inpopup=true&amp;id=181003" TargetMode="External"/><Relationship Id="rId951" Type="http://schemas.openxmlformats.org/officeDocument/2006/relationships/hyperlink" Target="https://drive.google.com/drive/folders/130hYZYnEvDIeCATxS7Yki8fNKChHnDJp" TargetMode="External"/><Relationship Id="rId952" Type="http://schemas.openxmlformats.org/officeDocument/2006/relationships/hyperlink" Target="https://hocmai.vn/mod/scorm/view_file.php?inpopup=true&amp;id=180950" TargetMode="External"/><Relationship Id="rId953" Type="http://schemas.openxmlformats.org/officeDocument/2006/relationships/hyperlink" Target="https://hocmai.vn/mod/scorm/view_file.php?inpopup=true&amp;id=181061" TargetMode="External"/><Relationship Id="rId954" Type="http://schemas.openxmlformats.org/officeDocument/2006/relationships/hyperlink" Target="https://drive.google.com/file/d/1WmgRNvC1dSQhiNlrs5FN6Ho7y_MIW6-a/view" TargetMode="External"/><Relationship Id="rId955" Type="http://schemas.openxmlformats.org/officeDocument/2006/relationships/hyperlink" Target="https://hocmai.vn/mod/scorm/view_file.php?inpopup=true&amp;id=180949" TargetMode="External"/><Relationship Id="rId956" Type="http://schemas.openxmlformats.org/officeDocument/2006/relationships/hyperlink" Target="https://hocmai.vn/mod/scorm/view_file.php?inpopup=true&amp;id=181005" TargetMode="External"/><Relationship Id="rId957" Type="http://schemas.openxmlformats.org/officeDocument/2006/relationships/hyperlink" Target="https://drive.google.com/drive/folders/1GucRXXUN8GNl7PiTVOd9H_dc7tygMJ3S" TargetMode="External"/><Relationship Id="rId958" Type="http://schemas.openxmlformats.org/officeDocument/2006/relationships/hyperlink" Target="https://hocmai.vn/course/view.php?id=3126&amp;edit=on&amp;sesskey=iCYoqF7jXe" TargetMode="External"/><Relationship Id="rId959" Type="http://schemas.openxmlformats.org/officeDocument/2006/relationships/hyperlink" Target="https://hocmai.vn/file.php/3110/Nam_hoc_2026_-_2027/VAT_LI/TAI_LIEU_HOC_SINH/TLHS_TOV_TSA_T01_Do_luong_va_sai_so_-_Tu_duy_thuc_nghiem_trong_Vat_li.pdf" TargetMode="External"/><Relationship Id="rId960" Type="http://schemas.openxmlformats.org/officeDocument/2006/relationships/hyperlink" Target="https://hocmai.vn/file.php/3110/Nam_hoc_2026_-_2027/VAT_LI/BTTL/BTTL_TOV_TSA_L01._Do_luong_va_sai_so_-_Tu_duy_thuc_nghiem_trong_Vat_li.pdf" TargetMode="External"/><Relationship Id="rId961" Type="http://schemas.openxmlformats.org/officeDocument/2006/relationships/hyperlink" Target="https://drive.google.com/drive/folders/1--fTQBvSLPS1K3YB5cQkeiuA8K4TFbMj" TargetMode="External"/><Relationship Id="rId962" Type="http://schemas.openxmlformats.org/officeDocument/2006/relationships/hyperlink" Target="https://hocmai.vn/course/view.php?id=3110" TargetMode="External"/><Relationship Id="rId963" Type="http://schemas.openxmlformats.org/officeDocument/2006/relationships/hyperlink" Target="https://hocmai.vn/file.php/3117/Tai_lieu_live_2026_-_2027/TLHS_TOV_HSA_DL01_Cac_bai_toan_ve_ham_so_chua_tham_so.pdf" TargetMode="External"/><Relationship Id="rId964" Type="http://schemas.openxmlformats.org/officeDocument/2006/relationships/hyperlink" Target="https://drive.google.com/file/d/1KMzbSnzb7OIa7hCO9Axz0fKqT2KniZaC/view?usp=drive_link" TargetMode="External"/><Relationship Id="rId965" Type="http://schemas.openxmlformats.org/officeDocument/2006/relationships/hyperlink" Target="https://s3.evgcloud.net/livestream/video/mp4/2026/06/18/336_33675f560e9966149c5bb6da16e6905fa9f_RELAY-20260618180305-cv.mp4" TargetMode="External"/><Relationship Id="rId966" Type="http://schemas.openxmlformats.org/officeDocument/2006/relationships/hyperlink" Target="https://hocmai.vn/file.php/3119/NAM_HOC_2026_-_2027/Tai_lieu_live/TLHS_TOV_HSA_VL01_Do_luong_va_xu_li_so_lieu.pdf" TargetMode="External"/><Relationship Id="rId967" Type="http://schemas.openxmlformats.org/officeDocument/2006/relationships/hyperlink" Target="https://hocmai.vn/file.php/3119/NAM_HOC_2026_-_2027/BTTL/BTTL_TOV_HSA_VL01._Do_luong_va_xu_li_so_lieu.pdf" TargetMode="External"/><Relationship Id="rId968" Type="http://schemas.openxmlformats.org/officeDocument/2006/relationships/hyperlink" Target="https://drive.google.com/file/d/1IGveFE1xTQW1KpFtCjH5mwfKbzDGe0z2/view?usp=drive_link" TargetMode="External"/><Relationship Id="rId969" Type="http://schemas.openxmlformats.org/officeDocument/2006/relationships/hyperlink" Target="https://hocmai.vn/course/view.php?id=3119&amp;edit=on&amp;sesskey=4KPJGukykI" TargetMode="External"/><Relationship Id="rId970" Type="http://schemas.openxmlformats.org/officeDocument/2006/relationships/hyperlink" Target="https://hocmai.vn/kho-tai-lieu/read.php?id=19939" TargetMode="External"/><Relationship Id="rId971" Type="http://schemas.openxmlformats.org/officeDocument/2006/relationships/hyperlink" Target="https://hocmai.vn/kho-tai-lieu/read.php?id=19940" TargetMode="External"/><Relationship Id="rId972" Type="http://schemas.openxmlformats.org/officeDocument/2006/relationships/hyperlink" Target="https://drive.google.com/drive/folders/1hRKWRF-9T93qDP_5ebRZSV2Ma0tQrzgJ?usp=sharing" TargetMode="External"/><Relationship Id="rId973" Type="http://schemas.openxmlformats.org/officeDocument/2006/relationships/hyperlink" Target="https://hocmai.vn/mod/scorm/view_file.php?inpopup=true&amp;id=181045" TargetMode="External"/><Relationship Id="rId974" Type="http://schemas.openxmlformats.org/officeDocument/2006/relationships/hyperlink" Target="https://hocmai.vn/mod/scorm/view_file.php?inpopup=true&amp;id=181301" TargetMode="External"/><Relationship Id="rId975" Type="http://schemas.openxmlformats.org/officeDocument/2006/relationships/hyperlink" Target="https://drive.google.com/file/d/1RYc9ROmaPxnooBme7WfY4Fd4PuF2HHSq/view?usp=drive_link" TargetMode="External"/><Relationship Id="rId976" Type="http://schemas.openxmlformats.org/officeDocument/2006/relationships/hyperlink" Target="https://hocmai.vn/mod/scorm/view_file.php?inpopup=true&amp;id=180975" TargetMode="External"/><Relationship Id="rId977" Type="http://schemas.openxmlformats.org/officeDocument/2006/relationships/hyperlink" Target="https://hocmai.vn/mod/scorm/view_file.php?inpopup=true&amp;id=181020" TargetMode="External"/><Relationship Id="rId978" Type="http://schemas.openxmlformats.org/officeDocument/2006/relationships/hyperlink" Target="https://drive.google.com/drive/folders/1wKq8y33XK-dSy9M5IVc5TtsBJqRUr-Uq?usp=drive_link" TargetMode="External"/><Relationship Id="rId979" Type="http://schemas.openxmlformats.org/officeDocument/2006/relationships/hyperlink" Target="https://hocmai.vn/file.php/3110/Nam_hoc_2026_-_2027/HOA_HOC/TL_Live/TLHS_TOV_TSA_H01-The_gioi_nguyen_tu_va_Su_tuan_hoan.pdf" TargetMode="External"/><Relationship Id="rId980" Type="http://schemas.openxmlformats.org/officeDocument/2006/relationships/hyperlink" Target="https://hocmai.vn/mod/scorm/view_file.php?id=181225" TargetMode="External"/><Relationship Id="rId981" Type="http://schemas.openxmlformats.org/officeDocument/2006/relationships/hyperlink" Target="https://drive.google.com/file/d/1R6gEgvAeeTuH6ehjgVV_2ztoLrNZej0t/view?usp=drive_link" TargetMode="External"/><Relationship Id="rId982" Type="http://schemas.openxmlformats.org/officeDocument/2006/relationships/hyperlink" Target="https://hocmai.vn/mod/scorm/view_file.php?inpopup=true&amp;id=181014" TargetMode="External"/><Relationship Id="rId983" Type="http://schemas.openxmlformats.org/officeDocument/2006/relationships/hyperlink" Target="https://hocmai.vn/mod/scorm/view_file.php?inpopup=true&amp;id=181023" TargetMode="External"/><Relationship Id="rId984" Type="http://schemas.openxmlformats.org/officeDocument/2006/relationships/hyperlink" Target="https://drive.google.com/file/d/1r0Ryz4Hybtz3pNf5AVpZimrmcrQoEEFW/view?usp=drive_link" TargetMode="External"/><Relationship Id="rId985" Type="http://schemas.openxmlformats.org/officeDocument/2006/relationships/hyperlink" Target="https://hocmai.vn/mod/scorm/view_file.php?inpopup=true&amp;id=181195" TargetMode="External"/><Relationship Id="rId986" Type="http://schemas.openxmlformats.org/officeDocument/2006/relationships/hyperlink" Target="https://hocmai.vn/mod/scorm/view_file.php?inpopup=true&amp;id=181196" TargetMode="External"/><Relationship Id="rId987" Type="http://schemas.openxmlformats.org/officeDocument/2006/relationships/hyperlink" Target="https://drive.google.com/drive/folders/1XT_t_JyRwQOIJN5-E7xlk-2e3NdgDL-b?usp=drive_link" TargetMode="External"/><Relationship Id="rId988" Type="http://schemas.openxmlformats.org/officeDocument/2006/relationships/hyperlink" Target="https://hocmai.sharepoint.com/Education_Development/Lists/San_xuat_video/DispForm.aspx?ID=12197" TargetMode="External"/><Relationship Id="rId989" Type="http://schemas.openxmlformats.org/officeDocument/2006/relationships/hyperlink" Target="https://hocmai.vn/course/view.php?id=3313" TargetMode="External"/><Relationship Id="rId990" Type="http://schemas.openxmlformats.org/officeDocument/2006/relationships/hyperlink" Target="https://hocmai.vn/mod/scorm/view_file.php?id=181205" TargetMode="External"/><Relationship Id="rId991" Type="http://schemas.openxmlformats.org/officeDocument/2006/relationships/hyperlink" Target="https://hocmai.vn/mod/scorm/view_file.php?id=181227" TargetMode="External"/><Relationship Id="rId992" Type="http://schemas.openxmlformats.org/officeDocument/2006/relationships/hyperlink" Target="https://drive.google.com/drive/folders/1Cg_dCU169HROL3BC0bwpGuesRbQBrDy0?usp=drive_link" TargetMode="External"/><Relationship Id="rId993" Type="http://schemas.openxmlformats.org/officeDocument/2006/relationships/hyperlink" Target="https://hocmai.sharepoint.com/Education_Development/Lists/San_xuat_video/DispForm.aspx?ID=12165" TargetMode="External"/><Relationship Id="rId994" Type="http://schemas.openxmlformats.org/officeDocument/2006/relationships/hyperlink" Target="https://hocmai.vn/mod/scorm/view_file.php?id=181291" TargetMode="External"/><Relationship Id="rId995" Type="http://schemas.openxmlformats.org/officeDocument/2006/relationships/hyperlink" Target="https://hocmai.vn/mod/scorm/view_file.php?inpopup=true&amp;id=181303" TargetMode="External"/><Relationship Id="rId996" Type="http://schemas.openxmlformats.org/officeDocument/2006/relationships/hyperlink" Target="https://drive.google.com/file/d/1I4D--9YMOYbV6laGTSr36CG-8ZuStet5/view?usp=drive_link" TargetMode="External"/><Relationship Id="rId997" Type="http://schemas.openxmlformats.org/officeDocument/2006/relationships/hyperlink" Target="https://hocmai.vn/file.php/3140/TLHS_TOV_HV_TA0_Cau_tao_tu_-_Trat_tu_tu_-_Phep_song_hanh.pdf" TargetMode="External"/><Relationship Id="rId998" Type="http://schemas.openxmlformats.org/officeDocument/2006/relationships/hyperlink" Target="https://hocmai.vn/mod/scorm/view_file.php?inpopup=true&amp;id=181331" TargetMode="External"/><Relationship Id="rId999" Type="http://schemas.openxmlformats.org/officeDocument/2006/relationships/hyperlink" Target="https://drive.google.com/file/d/1zSIPT2y1-wItf9l7W5XZUV2vHGzXLhOd/view?usp=drive_link" TargetMode="External"/><Relationship Id="rId1000" Type="http://schemas.openxmlformats.org/officeDocument/2006/relationships/hyperlink" Target="https://hocmai.vn/mod/scorm/view_file.php?id=181275" TargetMode="External"/><Relationship Id="rId1001" Type="http://schemas.openxmlformats.org/officeDocument/2006/relationships/hyperlink" Target="https://hocmai.vn/mod/scorm/view_file.php?id=181288" TargetMode="External"/><Relationship Id="rId1002" Type="http://schemas.openxmlformats.org/officeDocument/2006/relationships/hyperlink" Target="https://drive.google.com/drive/folders/1HrNccDBA0e4HnEp1Q-MnWsjKE61341K1?usp=drive_link" TargetMode="External"/><Relationship Id="rId1003" Type="http://schemas.openxmlformats.org/officeDocument/2006/relationships/hyperlink" Target="https://hocmai.vn/file.php/3127/Tai_lieu_live_2026_-_2027/TLHS_TOV_TC_T02_CAC_DANG_CAU_HOI_DIEN_HINH_VE_HAM_SO_P2_.pdf" TargetMode="External"/><Relationship Id="rId1004" Type="http://schemas.openxmlformats.org/officeDocument/2006/relationships/hyperlink" Target="https://drive.google.com/drive/folders/1pyNO0Em49CNepL2ayQ_d3u0JUCf7am5n?usp=drive_link" TargetMode="External"/><Relationship Id="rId1005" Type="http://schemas.openxmlformats.org/officeDocument/2006/relationships/hyperlink" Target="https://hocmai.vn/mod/scorm/view_file.php?inpopup=true&amp;id=181449" TargetMode="External"/><Relationship Id="rId1006" Type="http://schemas.openxmlformats.org/officeDocument/2006/relationships/hyperlink" Target="https://hocmai.vn/mod/scorm/view_file.php?inpopup=true&amp;id=181469" TargetMode="External"/><Relationship Id="rId1007" Type="http://schemas.openxmlformats.org/officeDocument/2006/relationships/hyperlink" Target="https://drive.google.com/drive/folders/1JHDqVb3xRrwGnYimgACRrgTW5zPkDchA" TargetMode="External"/><Relationship Id="rId1008" Type="http://schemas.openxmlformats.org/officeDocument/2006/relationships/hyperlink" Target="https://hocmai.vn/mod/scorm/view_file.php?id=181063" TargetMode="External"/><Relationship Id="rId1009" Type="http://schemas.openxmlformats.org/officeDocument/2006/relationships/hyperlink" Target="https://hocmai.vn/mod/scorm/view_file.php?inpopup=true&amp;id=181079" TargetMode="External"/><Relationship Id="rId1010" Type="http://schemas.openxmlformats.org/officeDocument/2006/relationships/hyperlink" Target="https://drive.google.com/drive/folders/12ECceLYypgjNBQZUsOfyhJVoXlEymYHg" TargetMode="External"/><Relationship Id="rId1011" Type="http://schemas.openxmlformats.org/officeDocument/2006/relationships/hyperlink" Target="https://hocmai.vn/mod/scorm/view_file.php?inpopup=true&amp;id=181308" TargetMode="External"/><Relationship Id="rId1012" Type="http://schemas.openxmlformats.org/officeDocument/2006/relationships/hyperlink" Target="https://hocmai.vn/mod/scorm/view_file.php?inpopup=true&amp;id=181517" TargetMode="External"/><Relationship Id="rId1013" Type="http://schemas.openxmlformats.org/officeDocument/2006/relationships/hyperlink" Target="https://drive.google.com/file/d/1i8zcmxcDcNFt_IBXyatObqphrcK8bUMm/view?usp=drivesdk" TargetMode="External"/><Relationship Id="rId1014" Type="http://schemas.openxmlformats.org/officeDocument/2006/relationships/hyperlink" Target="https://hocmai.vn/mod/scorm/view_file.php?inpopup=true&amp;id=181064" TargetMode="External"/><Relationship Id="rId1015" Type="http://schemas.openxmlformats.org/officeDocument/2006/relationships/hyperlink" Target="https://hocmai.vn/mod/scorm/view_file.php?inpopup=true&amp;id=181073" TargetMode="External"/><Relationship Id="rId1016" Type="http://schemas.openxmlformats.org/officeDocument/2006/relationships/hyperlink" Target="https://drive.google.com/drive/folders/12ECceLYypgjNBQZUsOfyhJVoXlEymYHg" TargetMode="External"/><Relationship Id="rId1017" Type="http://schemas.openxmlformats.org/officeDocument/2006/relationships/hyperlink" Target="https://hocmai.vn/file.php/3110/Nam_hoc_2026_-_2027/VAT_LI/TAI_LIEU_HOC_SINH/TLHS_TOV_TSA_T02_Chuyen_dong_thang_-_Phan_tich_do_thi_va_cac_mo_hinh_chuyen_dong.pdf" TargetMode="External"/><Relationship Id="rId1018" Type="http://schemas.openxmlformats.org/officeDocument/2006/relationships/hyperlink" Target="https://hocmai.vn/file.php/3110/Nam_hoc_2026_-_2027/VAT_LI/BTTL/BTTL_TOV_TSA_L02._Chuyen_dong_thang_-_Phan_tich_do_thi_va_mo_hinh_chuyen_dong.pdf" TargetMode="External"/><Relationship Id="rId1019" Type="http://schemas.openxmlformats.org/officeDocument/2006/relationships/hyperlink" Target="https://drive.google.com/drive/folders/1dEynXH-7yADJPBMDK4vUjdcmDFPYz5T7" TargetMode="External"/><Relationship Id="rId1020" Type="http://schemas.openxmlformats.org/officeDocument/2006/relationships/hyperlink" Target="https://hocmai.vn/file.php/3315/Tai_lieu_live_2026_-_2027/TLHS_TOV_HSA_DL02_Cac_bai_toan_ve_ham_hop_P1.pdf" TargetMode="External"/><Relationship Id="rId1021" Type="http://schemas.openxmlformats.org/officeDocument/2006/relationships/hyperlink" Target="https://drive.google.com/file/d/1v7qy1prZ808bxMOqDgzx9ThU8mkyn1Uf/view?usp=drive_link" TargetMode="External"/><Relationship Id="rId1022" Type="http://schemas.openxmlformats.org/officeDocument/2006/relationships/hyperlink" Target="https://drive.google.com/file/d/1UxRO00rvXQCv76dx4dCWBiEd5dJOqHCH/view" TargetMode="External"/><Relationship Id="rId1023" Type="http://schemas.openxmlformats.org/officeDocument/2006/relationships/hyperlink" Target="https://hocmai.vn/file.php/3119/NAM_HOC_2026_-_2027/Tai_lieu_live/TLHS_TOV_HSA_VL02_Dong_hoc_-_Quy_luat_chuyen_dong.pdf" TargetMode="External"/><Relationship Id="rId1024" Type="http://schemas.openxmlformats.org/officeDocument/2006/relationships/hyperlink" Target="https://hocmai.vn/file.php/3119/NAM_HOC_2026_-_2027/BTTL/BTTL_TOV_HSA_VL02_Dong_hoc_-_Quy_luat_chuyen_dong.pdf" TargetMode="External"/><Relationship Id="rId1025" Type="http://schemas.openxmlformats.org/officeDocument/2006/relationships/hyperlink" Target="https://drive.google.com/drive/folders/1R1JvqQ24x0EFH4sBgYvWtkZoG3P2j9Xo" TargetMode="External"/><Relationship Id="rId1026" Type="http://schemas.openxmlformats.org/officeDocument/2006/relationships/hyperlink" Target="https://hocmai.vn/course/view.php?id=3119&amp;edit=on&amp;sesskey=4KPJGukykI" TargetMode="External"/><Relationship Id="rId1027" Type="http://schemas.openxmlformats.org/officeDocument/2006/relationships/hyperlink" Target="https://hocmai.vn/file.php/3124/TLHS_TOA_V-ACT_T02.pdf" TargetMode="External"/><Relationship Id="rId1028" Type="http://schemas.openxmlformats.org/officeDocument/2006/relationships/hyperlink" Target="https://hocmai.vn/file.php/3124/BTTL_TOA_V-ACT_T02.pdf" TargetMode="External"/><Relationship Id="rId1029" Type="http://schemas.openxmlformats.org/officeDocument/2006/relationships/hyperlink" Target="https://drive.google.com/drive/folders/1GbXRgXQ2sOIZvOC-18KUNslqyUgCIqqr?usp=sharing" TargetMode="External"/><Relationship Id="rId1030" Type="http://schemas.openxmlformats.org/officeDocument/2006/relationships/hyperlink" Target="https://hocmai.vn/mod/scorm/view_file.php?inpopup=true&amp;id=181350" TargetMode="External"/><Relationship Id="rId1031" Type="http://schemas.openxmlformats.org/officeDocument/2006/relationships/hyperlink" Target="https://drive.google.com/file/d/1KMzbSnzb7OIa7hCO9Axz0fKqT2KniZaC/view?usp=drive_link" TargetMode="External"/><Relationship Id="rId1032" Type="http://schemas.openxmlformats.org/officeDocument/2006/relationships/hyperlink" Target="https://hocmai.vn/mod/scorm/view_file.php?id=181395" TargetMode="External"/><Relationship Id="rId1033" Type="http://schemas.openxmlformats.org/officeDocument/2006/relationships/hyperlink" Target="https://hocmai.vn/mod/scorm/view_file.php?inpopup=true&amp;id=181016" TargetMode="External"/><Relationship Id="rId1034" Type="http://schemas.openxmlformats.org/officeDocument/2006/relationships/hyperlink" Target="https://drive.google.com/drive/folders/1tNUM6fkL3q6YdXVZytryIawi_Yv1ts6J?usp=drive_link" TargetMode="External"/><Relationship Id="rId1035" Type="http://schemas.openxmlformats.org/officeDocument/2006/relationships/hyperlink" Target="https://hocmai.vn/mod/scorm/view_file.php?inpopup=true&amp;id=181087" TargetMode="External"/><Relationship Id="rId1036" Type="http://schemas.openxmlformats.org/officeDocument/2006/relationships/hyperlink" Target="https://hocmai.vn/mod/scorm/view_file.php?inpopup=true&amp;id=181088" TargetMode="External"/><Relationship Id="rId1037" Type="http://schemas.openxmlformats.org/officeDocument/2006/relationships/hyperlink" Target="https://drive.google.com/drive/folders/1zGeSvI82GLpI3FKLLfzXY3DgEiDOY4ar?usp=drive_link" TargetMode="External"/><Relationship Id="rId1038" Type="http://schemas.openxmlformats.org/officeDocument/2006/relationships/hyperlink" Target="https://hocmai.vn/mod/scorm/view_file.php?inpopup=true&amp;id=181492" TargetMode="External"/><Relationship Id="rId1039" Type="http://schemas.openxmlformats.org/officeDocument/2006/relationships/hyperlink" Target="https://hocmai.vn/mod/scorm/view_file.php?inpopup=true&amp;id=181493" TargetMode="External"/><Relationship Id="rId1040" Type="http://schemas.openxmlformats.org/officeDocument/2006/relationships/hyperlink" Target="https://drive.google.com/file/d/14P5nOSktJSKKdWW0YREcCn-FhA3RjKfi/view?usp=drive_link" TargetMode="External"/><Relationship Id="rId1041" Type="http://schemas.openxmlformats.org/officeDocument/2006/relationships/hyperlink" Target="https://hocmai.vn/mod/scorm/view_file.php?inpopup=true&amp;id=181516" TargetMode="External"/><Relationship Id="rId1042" Type="http://schemas.openxmlformats.org/officeDocument/2006/relationships/hyperlink" Target="https://hocmai.vn/mod/scorm/view_file.php?inpopup=true&amp;id=181520" TargetMode="External"/><Relationship Id="rId1043" Type="http://schemas.openxmlformats.org/officeDocument/2006/relationships/hyperlink" Target="https://drive.google.com/drive/folders/16XszIDTs79FfM3eC9t4ZPF8ACAu8VD01?usp=sharing" TargetMode="External"/><Relationship Id="rId1044" Type="http://schemas.openxmlformats.org/officeDocument/2006/relationships/hyperlink" Target="https://hocmai.sharepoint.com/Education_Development/Lists/San_xuat_video/DispForm.aspx?ID=12198" TargetMode="External"/><Relationship Id="rId1045" Type="http://schemas.openxmlformats.org/officeDocument/2006/relationships/hyperlink" Target="https://hocmai.vn/course/view.php?id=3313" TargetMode="External"/><Relationship Id="rId1046" Type="http://schemas.openxmlformats.org/officeDocument/2006/relationships/hyperlink" Target="https://hocmai.vn/mod/scorm/view_file.php?id=181573" TargetMode="External"/><Relationship Id="rId1047" Type="http://schemas.openxmlformats.org/officeDocument/2006/relationships/hyperlink" Target="https://hocmai.vn/mod/scorm/view_file.php?id=181641" TargetMode="External"/><Relationship Id="rId1048" Type="http://schemas.openxmlformats.org/officeDocument/2006/relationships/hyperlink" Target="https://drive.google.com/drive/folders/1JD_Wqht1ev3CUcyCmKEMEbFyaZ9SUFsI?usp=drive_link" TargetMode="External"/><Relationship Id="rId1049" Type="http://schemas.openxmlformats.org/officeDocument/2006/relationships/hyperlink" Target="https://hocmai.sharepoint.com/Education_Development/Lists/San_xuat_video/DispForm.aspx?ID=12166" TargetMode="External"/><Relationship Id="rId1050" Type="http://schemas.openxmlformats.org/officeDocument/2006/relationships/hyperlink" Target="https://hocmai.vn/mod/scorm/view_file.php?inpopup=true&amp;id=181305" TargetMode="External"/><Relationship Id="rId1051" Type="http://schemas.openxmlformats.org/officeDocument/2006/relationships/hyperlink" Target="https://hocmai.vn/mod/scorm/view_file.php?inpopup=true&amp;id=181306" TargetMode="External"/><Relationship Id="rId1052" Type="http://schemas.openxmlformats.org/officeDocument/2006/relationships/hyperlink" Target="https://drive.google.com/file/d/11f9UwVOxIhuR98wV-Mdg0vTMk_byUXZ5/view?usp=drive_link" TargetMode="External"/><Relationship Id="rId1053" Type="http://schemas.openxmlformats.org/officeDocument/2006/relationships/hyperlink" Target="https://drive.google.com/file/d/1GlIDqfdMRpEVmlDQil3n5aIqLjNgX9dH/view?usp=drive_link" TargetMode="External"/><Relationship Id="rId1054" Type="http://schemas.openxmlformats.org/officeDocument/2006/relationships/hyperlink" Target="https://hocmai.vn/mod/scorm/view_file.php?id=181574" TargetMode="External"/><Relationship Id="rId1055" Type="http://schemas.openxmlformats.org/officeDocument/2006/relationships/hyperlink" Target="https://hocmai.vn/mod/scorm/view_file.php?id=181575" TargetMode="External"/><Relationship Id="rId1056" Type="http://schemas.openxmlformats.org/officeDocument/2006/relationships/hyperlink" Target="https://drive.google.com/drive/folders/1IDk1e0gmGV3gkXCu7c9tnkNHWPD3R4MR" TargetMode="External"/><Relationship Id="rId1057" Type="http://schemas.openxmlformats.org/officeDocument/2006/relationships/hyperlink" Target="https://hocmai.vn/file.php/3315/Tai_lieu_live_2026_-_2027/TLHS_TOV_TC_T03_BAI_TOAN_THUC_TE_CO_YEU_TO_CUC_TRI_TOI_UU.pdf" TargetMode="External"/><Relationship Id="rId1058" Type="http://schemas.openxmlformats.org/officeDocument/2006/relationships/hyperlink" Target="https://drive.google.com/drive/folders/1vRR9fM63F8zLQuvNu4w5wJEifI4wd4aS?usp=drive_link" TargetMode="External"/><Relationship Id="rId1059" Type="http://schemas.openxmlformats.org/officeDocument/2006/relationships/hyperlink" Target="https://drive.google.com/drive/folders/1nztZLDoxOaI0yXB_fmec7KbycJIqPRst" TargetMode="External"/><Relationship Id="rId1060" Type="http://schemas.openxmlformats.org/officeDocument/2006/relationships/hyperlink" Target="https://hocmai.vn/mod/scorm/view_file.php?inpopup=true&amp;id=181519" TargetMode="External"/><Relationship Id="rId1061" Type="http://schemas.openxmlformats.org/officeDocument/2006/relationships/hyperlink" Target="https://drive.google.com/file/d/1SAd0E-YbkOdUwUNQphAjou6JwMZ8nJIM/view?usp=drive_link" TargetMode="External"/><Relationship Id="rId1062" Type="http://schemas.openxmlformats.org/officeDocument/2006/relationships/hyperlink" Target="https://hocmai.vn/file.php/3110/Nam_hoc_2026_-_2027/VAT_LI/TAI_LIEU_HOC_SINH/TLHS_TOV_TSA_L03._Roi_tu_do_chuyen_dong_nem_va_chuyen_dong_tron.pdf" TargetMode="External"/><Relationship Id="rId1063" Type="http://schemas.openxmlformats.org/officeDocument/2006/relationships/hyperlink" Target="https://hocmai.vn/file.php/3110/Nam_hoc_2026_-_2027/VAT_LI/BTTL/BTTL_TOV_TSA_L03._Roi_tu_do_chuyen_dong_nem_va_chuyen_dong_tron.pdf" TargetMode="External"/><Relationship Id="rId1064" Type="http://schemas.openxmlformats.org/officeDocument/2006/relationships/hyperlink" Target="https://drive.google.com/drive/folders/1ZoHAVaoedEunp9pMyTySpikj6095yDTI" TargetMode="External"/><Relationship Id="rId1065" Type="http://schemas.openxmlformats.org/officeDocument/2006/relationships/hyperlink" Target="https://drive.google.com/drive/folders/1VDhTxsO5zToJ523Nbl8Ztmr4PmlKeN69?usp=drive_link" TargetMode="External"/><Relationship Id="rId1066" Type="http://schemas.openxmlformats.org/officeDocument/2006/relationships/hyperlink" Target="https://drive.google.com/file/d/1wURVMbkq5ltQGHc6oAOo8NR5ymGaXjJO/view" TargetMode="External"/><Relationship Id="rId1067" Type="http://schemas.openxmlformats.org/officeDocument/2006/relationships/hyperlink" Target="https://hocmai.vn/file.php/3119/NAM_HOC_2026_-_2027/Tai_lieu_live/TLHS_TOV_HSA_VL03._Dong_luc_hoc.pdf" TargetMode="External"/><Relationship Id="rId1068" Type="http://schemas.openxmlformats.org/officeDocument/2006/relationships/hyperlink" Target="https://hocmai.vn/file.php/3119/NAM_HOC_2026_-_2027/BTTL/BTTL_TOV_HSA_VL03._Dong_luc_hoc.pdf" TargetMode="External"/><Relationship Id="rId1069" Type="http://schemas.openxmlformats.org/officeDocument/2006/relationships/hyperlink" Target="https://drive.google.com/drive/folders/1kE3bb_SlVnngVbzik63riPWnJQI2A6MM" TargetMode="External"/><Relationship Id="rId1070" Type="http://schemas.openxmlformats.org/officeDocument/2006/relationships/hyperlink" Target="https://hocmai.vn/course/view.php?id=3119&amp;edit=on&amp;sesskey=4KPJGukykI" TargetMode="External"/><Relationship Id="rId1071" Type="http://schemas.openxmlformats.org/officeDocument/2006/relationships/hyperlink" Target="https://drive.google.com/drive/folders/1xMmxJvQKhr2FJ8A2HtKaxvN-bfKZzRYx?usp=sharing" TargetMode="External"/><Relationship Id="rId1072" Type="http://schemas.openxmlformats.org/officeDocument/2006/relationships/hyperlink" Target="https://drive.google.com/drive/folders/1O9cOqRVs8gx0Kp47FLmNdVJ9FG3ZelhA?usp=sharing" TargetMode="External"/><Relationship Id="rId1073" Type="http://schemas.openxmlformats.org/officeDocument/2006/relationships/hyperlink" Target="https://drive.google.com/drive/folders/1DRNlxn83BWIcDQxYT7x81ccGFKJv8AJo" TargetMode="External"/><Relationship Id="rId1074" Type="http://schemas.openxmlformats.org/officeDocument/2006/relationships/hyperlink" Target="https://hocmai.vn/mod/scorm/view_file.php?id=181875" TargetMode="External"/><Relationship Id="rId1075" Type="http://schemas.openxmlformats.org/officeDocument/2006/relationships/hyperlink" Target="https://hocmai.vn/mod/scorm/view_file.php?id=181972" TargetMode="External"/><Relationship Id="rId1076" Type="http://schemas.openxmlformats.org/officeDocument/2006/relationships/hyperlink" Target="https://drive.google.com/drive/folders/1gUrva5r60XZM5xYB8o0lMIOf3J5euWNU?usp=drive_link" TargetMode="External"/><Relationship Id="rId1077" Type="http://schemas.openxmlformats.org/officeDocument/2006/relationships/hyperlink" Target="https://hocmai.vn/course/Tai_lieu_bai_giang/SLKH_2627/TLHS_TOS_V-ACT_KH03.pdf" TargetMode="External"/><Relationship Id="rId1078" Type="http://schemas.openxmlformats.org/officeDocument/2006/relationships/hyperlink" Target="https://hocmai.vn/file.php/3126/Bai_tap_tu_luyen/26-27/NVHT_TOV_V-ACT_KH03_Thuc_hanh_ky_nang_scan_skim_-_Chon_tu_khoa_trong_van_ban_khoa_hoc.pdf" TargetMode="External"/><Relationship Id="rId1079" Type="http://schemas.openxmlformats.org/officeDocument/2006/relationships/hyperlink" Target="https://drive.google.com/drive/folders/18iwJXG0_MBWTsGk6h-d-0P1sdSJLCOhG?usp=drive_link" TargetMode="External"/><Relationship Id="rId1080" Type="http://schemas.openxmlformats.org/officeDocument/2006/relationships/hyperlink" Target="https://hocmai.vn/mod/scorm/view_file.php?inpopup=true&amp;id=181852" TargetMode="External"/><Relationship Id="rId1081" Type="http://schemas.openxmlformats.org/officeDocument/2006/relationships/hyperlink" Target="https://hocmai.vn/mod/scorm/view_file.php?inpopup=true&amp;id=181872" TargetMode="External"/><Relationship Id="rId1082" Type="http://schemas.openxmlformats.org/officeDocument/2006/relationships/hyperlink" Target="https://drive.google.com/drive/folders/1MqVPVpPTgcqFHaRXhRkRTMunoJ4ePZ1X?usp=sharing" TargetMode="External"/><Relationship Id="rId1083" Type="http://schemas.openxmlformats.org/officeDocument/2006/relationships/hyperlink" Target="https://hocmai.sharepoint.com/Education_Development/Lists/San_xuat_video/DispForm.aspx?ID=12199" TargetMode="External"/><Relationship Id="rId1084" Type="http://schemas.openxmlformats.org/officeDocument/2006/relationships/hyperlink" Target="https://hocmai.vn/course/view.php?id=3313" TargetMode="External"/><Relationship Id="rId1085" Type="http://schemas.openxmlformats.org/officeDocument/2006/relationships/hyperlink" Target="https://hocmai.vn/mod/scorm/view_file.php?id=181936" TargetMode="External"/><Relationship Id="rId1086" Type="http://schemas.openxmlformats.org/officeDocument/2006/relationships/hyperlink" Target="https://drive.google.com/drive/folders/1H6a_VXK2aw7mQo1-mWgAen_3dDZyslMI?usp=drive_link" TargetMode="External"/><Relationship Id="rId1087" Type="http://schemas.openxmlformats.org/officeDocument/2006/relationships/hyperlink" Target="https://hocmai.sharepoint.com/Education_Development/Lists/San_xuat_video/DispForm.aspx?ID=12167" TargetMode="External"/><Relationship Id="rId1088" Type="http://schemas.openxmlformats.org/officeDocument/2006/relationships/hyperlink" Target="https://drive.google.com/drive/folders/1boNsHg1B2cYvBkN4uFp3Wcdfayr5zPE2?usp=drive_link" TargetMode="External"/><Relationship Id="rId1089" Type="http://schemas.openxmlformats.org/officeDocument/2006/relationships/hyperlink" Target="https://drive.google.com/file/d/15SJyriCQDzSCfpz0P9uGu00JKkb0-pnM/view?usp=drive_link" TargetMode="External"/><Relationship Id="rId1090" Type="http://schemas.openxmlformats.org/officeDocument/2006/relationships/hyperlink" Target="https://drive.google.com/file/d/1jv-5gcl8a3VpP1XgML60ZMxb8vx_fUlX/view?usp=drive_link" TargetMode="External"/><Relationship Id="rId1091" Type="http://schemas.openxmlformats.org/officeDocument/2006/relationships/hyperlink" Target="https://hocmai.vn/mod/scorm/view_file.php?id=181963" TargetMode="External"/><Relationship Id="rId1092" Type="http://schemas.openxmlformats.org/officeDocument/2006/relationships/hyperlink" Target="https://hocmai.vn/mod/scorm/view_file.php?id=181991" TargetMode="External"/><Relationship Id="rId1093" Type="http://schemas.openxmlformats.org/officeDocument/2006/relationships/hyperlink" Target="https://drive.google.com/drive/folders/141m9xbSOywL8L6oqtApya_5xLNUHZuYX" TargetMode="External"/><Relationship Id="rId1094" Type="http://schemas.openxmlformats.org/officeDocument/2006/relationships/hyperlink" Target="https://drive.google.com/drive/folders/1dMU8o1TU5YUbS0zWIH_81wASx_XiZJcQ?usp=drive_link" TargetMode="External"/><Relationship Id="rId1095" Type="http://schemas.openxmlformats.org/officeDocument/2006/relationships/hyperlink" Target="https://drive.google.com/drive/folders/1yFlODWMA6w-RQY7g6vEZoNBTgFZD_Da-" TargetMode="External"/><Relationship Id="rId1096" Type="http://schemas.openxmlformats.org/officeDocument/2006/relationships/hyperlink" Target="https://drive.google.com/drive/folders/1BJ8eto49X334xZG-HaT7LwY4cR0Zk5D9" TargetMode="External"/><Relationship Id="rId1097" Type="http://schemas.openxmlformats.org/officeDocument/2006/relationships/hyperlink" Target="https://drive.google.com/drive/folders/1W7N3HfS2mH4UMDGdRUXVpKeaWH92gaYZ?usp=drive_link" TargetMode="External"/><Relationship Id="rId1098" Type="http://schemas.openxmlformats.org/officeDocument/2006/relationships/hyperlink" Target="https://hocmai.vn/bai-giang-truc-tuyen/174809/.html" TargetMode="External"/><Relationship Id="rId1099" Type="http://schemas.openxmlformats.org/officeDocument/2006/relationships/hyperlink" Target="https://drive.google.com/drive/folders/1FuddXzE98FIkbAbXFhGCZYpVCkeWUZm7" TargetMode="External"/><Relationship Id="rId1100" Type="http://schemas.openxmlformats.org/officeDocument/2006/relationships/hyperlink" Target="https://hocmai.vn/bai-giang-truc-tuyen/174807/.html" TargetMode="External"/><Relationship Id="rId1101" Type="http://schemas.openxmlformats.org/officeDocument/2006/relationships/hyperlink" Target="https://drive.google.com/drive/folders/16i-y0uBTkjr_ZhzKSG6bJvEq37D-vn8y?usp=drive_link" TargetMode="External"/><Relationship Id="rId1102" Type="http://schemas.openxmlformats.org/officeDocument/2006/relationships/hyperlink" Target="https://hocmai.vn/bai-giang-truc-tuyen/174810/.html" TargetMode="External"/><Relationship Id="rId1103" Type="http://schemas.openxmlformats.org/officeDocument/2006/relationships/hyperlink" Target="https://hocmai.vn/file.php/3110/Nam_hoc_2026_-_2027/VAT_LI/TAI_LIEU_HOC_SINH/TLHS_TOV_TSA_L04._Luc_va_cac_dinh_luat_Newton_trong_mo_hinh_hoa_hien_tuong.pdf" TargetMode="External"/><Relationship Id="rId1104" Type="http://schemas.openxmlformats.org/officeDocument/2006/relationships/hyperlink" Target="https://hocmai.vn/file.php/3110/Nam_hoc_2026_-_2027/VAT_LI/BTTL/BTTL_TOV_TSA_L04._Luc_va_cac_dinh_luat_Newton_trong_mo_hinh_hoa_hien_tuong.pdf" TargetMode="External"/><Relationship Id="rId1105" Type="http://schemas.openxmlformats.org/officeDocument/2006/relationships/hyperlink" Target="https://drive.google.com/drive/folders/1Qmw5yyGI0cXG_h-OdoRy8r4WKrd7oTjj" TargetMode="External"/><Relationship Id="rId1106" Type="http://schemas.openxmlformats.org/officeDocument/2006/relationships/hyperlink" Target="https://drive.google.com/drive/folders/1PpoyVK_pjONykBCt40S93-1ljfkxUneJ?usp=drive_link" TargetMode="External"/><Relationship Id="rId1107" Type="http://schemas.openxmlformats.org/officeDocument/2006/relationships/hyperlink" Target="https://hocmai.vn/file.php/3119/NAM_HOC_2026_-_2027/Tai_lieu_live/TLHS_TOV_HSA_VL04._Cong_-_Nang_luong_-_Cong_suat_va_dinh_luat_bao_toan.pdf" TargetMode="External"/><Relationship Id="rId1108" Type="http://schemas.openxmlformats.org/officeDocument/2006/relationships/hyperlink" Target="https://hocmai.vn/file.php/3119/NAM_HOC_2026_-_2027/BTTL/BTTL_TOV_HSA_VL04._Cong_-_Nang_luong_-_Cong_suat_va_dinh_luat_bao_toan.pdf" TargetMode="External"/><Relationship Id="rId1109" Type="http://schemas.openxmlformats.org/officeDocument/2006/relationships/hyperlink" Target="https://drive.google.com/drive/folders/16TwB2756MgRqHrD-hHIQ6EGCAdXUTR5z" TargetMode="External"/><Relationship Id="rId1110" Type="http://schemas.openxmlformats.org/officeDocument/2006/relationships/hyperlink" Target="https://hocmai.vn/course/view.php?id=3119&amp;edit=on&amp;sesskey=4KPJGukykI" TargetMode="External"/><Relationship Id="rId1111" Type="http://schemas.openxmlformats.org/officeDocument/2006/relationships/hyperlink" Target="https://drive.google.com/drive/folders/1MnpHSYyltDdHVXY7HB8z16suNRxFITsR?usp=sharing" TargetMode="External"/><Relationship Id="rId1112" Type="http://schemas.openxmlformats.org/officeDocument/2006/relationships/hyperlink" Target="https://drive.google.com/drive/folders/1SORfzSmrfNfY8lP3BBXg5JlQNE-zDnuv" TargetMode="External"/><Relationship Id="rId1113" Type="http://schemas.openxmlformats.org/officeDocument/2006/relationships/hyperlink" Target="https://hocmai.vn/bai-giang-truc-tuyen/174808/.html" TargetMode="External"/><Relationship Id="rId1114"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048576"/>
    </sheetView>
  </sheetViews>
  <sheetFormatPr defaultColWidth="8.5078125" defaultRowHeight="15" zeroHeight="false" outlineLevelRow="0" outlineLevelCol="0"/>
  <sheetData>
    <row r="1" customFormat="false" ht="15.75" hidden="false" customHeight="true" outlineLevel="0" collapsed="false">
      <c r="A1" s="1" t="s">
        <v>0</v>
      </c>
      <c r="B1" s="1"/>
      <c r="C1" s="2" t="s">
        <v>1</v>
      </c>
      <c r="D1" s="3"/>
      <c r="E1" s="4"/>
      <c r="F1" s="5"/>
      <c r="G1" s="6"/>
      <c r="H1" s="7"/>
      <c r="I1" s="7"/>
      <c r="J1" s="5"/>
      <c r="K1" s="1"/>
      <c r="L1" s="6"/>
      <c r="M1" s="5"/>
      <c r="N1" s="7"/>
      <c r="O1" s="5"/>
      <c r="P1" s="7"/>
      <c r="Q1" s="7"/>
      <c r="R1" s="7"/>
      <c r="S1" s="7"/>
      <c r="T1" s="7"/>
      <c r="U1" s="8"/>
      <c r="V1" s="7"/>
      <c r="W1" s="7"/>
      <c r="X1" s="7"/>
      <c r="Y1" s="9" t="s">
        <v>2</v>
      </c>
      <c r="Z1" s="1"/>
      <c r="AA1" s="1"/>
      <c r="AB1" s="10"/>
      <c r="AC1" s="1"/>
      <c r="AD1" s="7"/>
      <c r="AE1" s="6"/>
      <c r="AF1" s="6"/>
      <c r="AG1" s="7"/>
      <c r="AH1" s="7"/>
      <c r="AI1" s="7"/>
      <c r="AJ1" s="7"/>
      <c r="AK1" s="7"/>
      <c r="AL1" s="7"/>
      <c r="AM1" s="7"/>
      <c r="AN1" s="7"/>
      <c r="AO1" s="7"/>
    </row>
    <row r="2" customFormat="false" ht="15.75" hidden="false" customHeight="true" outlineLevel="0" collapsed="false">
      <c r="A2" s="11" t="s">
        <v>3</v>
      </c>
      <c r="B2" s="11" t="s">
        <v>4</v>
      </c>
      <c r="C2" s="11" t="s">
        <v>5</v>
      </c>
      <c r="D2" s="12" t="s">
        <v>6</v>
      </c>
      <c r="E2" s="13" t="s">
        <v>7</v>
      </c>
      <c r="F2" s="14" t="s">
        <v>8</v>
      </c>
      <c r="G2" s="15" t="s">
        <v>9</v>
      </c>
      <c r="H2" s="16" t="s">
        <v>10</v>
      </c>
      <c r="I2" s="16" t="s">
        <v>11</v>
      </c>
      <c r="J2" s="17" t="s">
        <v>12</v>
      </c>
      <c r="K2" s="14" t="s">
        <v>13</v>
      </c>
      <c r="L2" s="15" t="s">
        <v>14</v>
      </c>
      <c r="M2" s="14" t="s">
        <v>15</v>
      </c>
      <c r="N2" s="17" t="s">
        <v>16</v>
      </c>
      <c r="O2" s="17" t="s">
        <v>17</v>
      </c>
      <c r="P2" s="17" t="s">
        <v>18</v>
      </c>
      <c r="Q2" s="17"/>
      <c r="R2" s="18"/>
      <c r="S2" s="16"/>
      <c r="T2" s="17"/>
      <c r="U2" s="18"/>
      <c r="V2" s="17" t="s">
        <v>19</v>
      </c>
      <c r="W2" s="17" t="s">
        <v>20</v>
      </c>
      <c r="X2" s="17" t="s">
        <v>21</v>
      </c>
      <c r="Y2" s="19" t="s">
        <v>22</v>
      </c>
      <c r="Z2" s="20" t="s">
        <v>23</v>
      </c>
      <c r="AA2" s="20" t="s">
        <v>24</v>
      </c>
      <c r="AB2" s="21" t="s">
        <v>25</v>
      </c>
      <c r="AC2" s="20" t="s">
        <v>26</v>
      </c>
      <c r="AD2" s="20" t="s">
        <v>27</v>
      </c>
      <c r="AE2" s="21" t="s">
        <v>28</v>
      </c>
      <c r="AF2" s="22" t="s">
        <v>29</v>
      </c>
      <c r="AG2" s="21"/>
      <c r="AH2" s="21" t="s">
        <v>30</v>
      </c>
      <c r="AI2" s="21" t="s">
        <v>31</v>
      </c>
      <c r="AJ2" s="21" t="s">
        <v>32</v>
      </c>
      <c r="AK2" s="21" t="s">
        <v>33</v>
      </c>
      <c r="AL2" s="21" t="s">
        <v>34</v>
      </c>
      <c r="AM2" s="21" t="s">
        <v>35</v>
      </c>
      <c r="AN2" s="21" t="s">
        <v>36</v>
      </c>
      <c r="AO2" s="21"/>
    </row>
    <row r="3" customFormat="false" ht="15.75" hidden="false" customHeight="true" outlineLevel="0" collapsed="false">
      <c r="A3" s="23"/>
      <c r="B3" s="23"/>
      <c r="C3" s="24" t="s">
        <v>37</v>
      </c>
      <c r="D3" s="25" t="n">
        <f aca="false">COUNTA(D4:D1521)</f>
        <v>619</v>
      </c>
      <c r="E3" s="26"/>
      <c r="F3" s="25"/>
      <c r="G3" s="27"/>
      <c r="H3" s="28" t="s">
        <v>38</v>
      </c>
      <c r="I3" s="28" t="s">
        <v>38</v>
      </c>
      <c r="J3" s="29" t="s">
        <v>39</v>
      </c>
      <c r="K3" s="23"/>
      <c r="L3" s="23"/>
      <c r="M3" s="30"/>
      <c r="N3" s="31"/>
      <c r="O3" s="32"/>
      <c r="P3" s="33"/>
      <c r="Q3" s="32"/>
      <c r="R3" s="32"/>
      <c r="S3" s="32"/>
      <c r="T3" s="32"/>
      <c r="U3" s="32"/>
      <c r="V3" s="32"/>
      <c r="W3" s="34"/>
      <c r="X3" s="34"/>
      <c r="Y3" s="34"/>
      <c r="Z3" s="23"/>
      <c r="AA3" s="23"/>
      <c r="AB3" s="35"/>
      <c r="AC3" s="23"/>
      <c r="AD3" s="34"/>
      <c r="AE3" s="36" t="b">
        <f aca="false">FALSE()</f>
        <v>0</v>
      </c>
      <c r="AF3" s="23"/>
      <c r="AG3" s="34"/>
      <c r="AH3" s="34"/>
      <c r="AI3" s="34"/>
      <c r="AJ3" s="34"/>
      <c r="AK3" s="34"/>
      <c r="AL3" s="34"/>
      <c r="AM3" s="34"/>
      <c r="AN3" s="34"/>
      <c r="AO3" s="34"/>
    </row>
    <row r="4" customFormat="false" ht="15.75" hidden="false" customHeight="true" outlineLevel="0" collapsed="false">
      <c r="A4" s="37" t="str">
        <f aca="false">IFERROR(__xludf.dummyfunction("SORT({FILTER('NTT_Th Nam'!A4:AN1521,'NTT_Th Nam'!E4:E1521&lt;&gt;"""");
FILTER('NTT_Th Tùng'!A4:AN1521,'NTT_Th Tùng'!E4:E1521&lt;&gt;"""");FILTER('Tổng ôn'!A4:AN1521,'Tổng ôn'!E4:E1521&lt;&gt;"""");FILTER(TC_TSA!A4:AN1521,TC_TSA!E4:E1521&lt;&gt;"""");FILTER(TC_HSA!A4:AN1521,TC_H"&amp;"SA!E4:E1521&lt;&gt;"""");FILTER('TC_V-ACT'!A4:AN1521,'TC_V-ACT'!E4:E1521&lt;&gt;"""")},5,TRUE)"),"Toán")</f>
        <v>Toán</v>
      </c>
      <c r="B4" s="37" t="str">
        <f aca="false">IFERROR(__xludf.dummyfunction("""COMPUTED_VALUE"""),"NT_T_01")</f>
        <v>NT_T_01</v>
      </c>
      <c r="C4" s="38" t="str">
        <f aca="false">IFERROR(__xludf.dummyfunction("""COMPUTED_VALUE"""),"Nhập môn chủ đề ứng dụng đạo hàm")</f>
        <v>Nhập môn chủ đề ứng dụng đạo hàm</v>
      </c>
      <c r="D4" s="39" t="str">
        <f aca="false">IFERROR(__xludf.dummyfunction("""COMPUTED_VALUE"""),"Nguyễn Thanh Tùng")</f>
        <v>Nguyễn Thanh Tùng</v>
      </c>
      <c r="E4" s="40" t="n">
        <f aca="false">IFERROR(__xludf.dummyfunction("""COMPUTED_VALUE"""),46116)</f>
        <v>46116</v>
      </c>
      <c r="F4" s="41" t="n">
        <f aca="false">IFERROR(__xludf.dummyfunction("""COMPUTED_VALUE"""),7)</f>
        <v>7</v>
      </c>
      <c r="G4" s="37" t="str">
        <f aca="false">IFERROR(__xludf.dummyfunction("""COMPUTED_VALUE"""),"20:00-22:00")</f>
        <v>20:00-22:00</v>
      </c>
      <c r="H4" s="42" t="str">
        <f aca="false">IFERROR(__xludf.dummyfunction("""COMPUTED_VALUE"""),"https://hocmai.vn/mod/scorm/view_file.php?id=179705")</f>
        <v>https://hocmai.vn/mod/scorm/view_file.php?id=179705</v>
      </c>
      <c r="I4" s="42" t="str">
        <f aca="false">IFERROR(__xludf.dummyfunction("""COMPUTED_VALUE"""),"https://hocmai.vn/mod/scorm/view_file.php?id=179746")</f>
        <v>https://hocmai.vn/mod/scorm/view_file.php?id=179746</v>
      </c>
      <c r="J4" s="42" t="str">
        <f aca="false">IFERROR(__xludf.dummyfunction("""COMPUTED_VALUE"""),"https://drive.google.com/drive/folders/1pooVkDuKbZux71nx9JQOPCtMkkO-NiVH?usp=drive_link")</f>
        <v>https://drive.google.com/drive/folders/1pooVkDuKbZux71nx9JQOPCtMkkO-NiVH?usp=drive_link</v>
      </c>
      <c r="K4" s="37" t="str">
        <f aca="false">IFERROR(__xludf.dummyfunction("""COMPUTED_VALUE"""),"Chientd2")</f>
        <v>Chientd2</v>
      </c>
      <c r="L4" s="37" t="str">
        <f aca="false">IFERROR(__xludf.dummyfunction("""COMPUTED_VALUE"""),"Tưởng Thị Huyền Trang")</f>
        <v>Tưởng Thị Huyền Trang</v>
      </c>
      <c r="M4" s="43" t="str">
        <f aca="false">IFERROR(__xludf.dummyfunction("""COMPUTED_VALUE"""),"https://hocmai.sharepoint.com/Education_Development/Lists/San_xuat_video/DispForm.aspx?ID=12140")</f>
        <v>https://hocmai.sharepoint.com/Education_Development/Lists/San_xuat_video/DispForm.aspx?ID=12140</v>
      </c>
      <c r="N4" s="41" t="n">
        <f aca="false">IFERROR(__xludf.dummyfunction("""COMPUTED_VALUE"""),3312)</f>
        <v>3312</v>
      </c>
      <c r="O4" s="41" t="n">
        <f aca="false">IFERROR(__xludf.dummyfunction("""COMPUTED_VALUE"""),166582)</f>
        <v>166582</v>
      </c>
      <c r="P4" s="41"/>
      <c r="Q4" s="41" t="n">
        <f aca="false">IFERROR(__xludf.dummyfunction("""COMPUTED_VALUE"""),7881)</f>
        <v>7881</v>
      </c>
      <c r="R4" s="41"/>
      <c r="S4" s="41"/>
      <c r="T4" s="41" t="n">
        <f aca="false">IFERROR(__xludf.dummyfunction("""COMPUTED_VALUE"""),7882)</f>
        <v>7882</v>
      </c>
      <c r="U4" s="41" t="n">
        <f aca="false">IFERROR(__xludf.dummyfunction("""COMPUTED_VALUE"""),22095)</f>
        <v>22095</v>
      </c>
      <c r="V4" s="40" t="n">
        <f aca="false">IFERROR(__xludf.dummyfunction("""COMPUTED_VALUE"""),46119)</f>
        <v>46119</v>
      </c>
      <c r="W4" s="39" t="str">
        <f aca="false">IFERROR(__xludf.dummyfunction("""COMPUTED_VALUE"""),"Hoàn thành XB")</f>
        <v>Hoàn thành XB</v>
      </c>
      <c r="X4" s="41" t="str">
        <f aca="false">IFERROR(__xludf.dummyfunction("""COMPUTED_VALUE"""),"Chientd2")</f>
        <v>Chientd2</v>
      </c>
      <c r="Y4" s="44"/>
      <c r="Z4" s="42" t="str">
        <f aca="false">IFERROR(__xludf.dummyfunction("""COMPUTED_VALUE"""),"https://s3.evgcloud.net/livestream/video/mp4/2026/04/04/336_3367b21041d85e947b681e0b1d2ab785e71_RELAY-20260404195951-cv.mp4")</f>
        <v>https://s3.evgcloud.net/livestream/video/mp4/2026/04/04/336_3367b21041d85e947b681e0b1d2ab785e71_RELAY-20260404195951-cv.mp4</v>
      </c>
      <c r="AA4" s="45" t="str">
        <f aca="false">IFERROR(__xludf.dummyfunction("""COMPUTED_VALUE"""),"Mở đầu &amp; Website
Giới thiệu khóa học, cách tải tài liệu và sử dụng hệ thống học tập
/hau_ky_s5_new/2026-2027_s5/Toan/Lop_12/Nen_tang_Toan/gv.tungnt/1/01
Mục tiêu bài học
Tổng quan kiến thức đạo hàm 11 cần thiết cho chương trình lớp 12
/hau_ky_s5_new/2026"&amp;"-2027_s5/Toan/Lop_12/Nen_tang_Toan/gv.tungnt/1/02
Đạo hàm bằng định nghĩa
Ôn tập công thức Lim và giải chi tiết 3 ví dụ vận dụng bản chất đạo hàm
/hau_ky_s5_new/2026-2027_s5/Toan/Lop_12/Nen_tang_Toan/gv.tungnt/1/03
Các quy tắc cơ bản
Đạo hàm tổng, hiệu,"&amp;" tích (u.v), thương (u/v) và đạo hàm hàm hợp
/hau_ky_s5_new/2026-2027_s5/Toan/Lop_12/Nen_tang_Toan/gv.tungnt/1/04
Luyện tập đạo hàm cơ bản
Giải chi tiết các bài tập từ câu 4 đến câu 13 trong tài liệu học tập
/hau_ky_s5_new/2026-2027_s5/Toan/Lop_12/Nen_ta"&amp;"ng_Toan/gv.tungnt/1/05
Đạo hàm Lượng giác
Các công thức Sin, Cos, Tan, Cot và bài tập vận dụng lượng giác chuyên sâu (P1)
/hau_ky_s5_new/2026-2027_s5/Toan/Lop_12/Nen_tang_Toan/gv.tungnt/1/06
Đạo hàm Lượng giác
Các công thức Sin, Cos, Tan, Cot và bài tập"&amp;" vận dụng lượng giác chuyên sâu (P2)
/hau_ky_s5_new/2026-2027_s5/Toan/Lop_12/Nen_tang_Toan/gv.tungnt/1/07
Hàm số Mũ &amp; Logarit
Đạo hàm e^x, a^x, ln x, log_a x và kỹ thuật logarit hóa hai vế
/hau_ky_s5_new/2026-2027_s5/Toan/Lop_12/Nen_tang_Toan/gv.tungnt/1"&amp;"/08
Luyện tập tổng hợp
Giải bài tập trắc nghiệm tổng hợp và phân tích lỗi sai về điều kiện xác định
/hau_ky_s5_new/2026-2027_s5/Toan/Lop_12/Nen_tang_Toan/gv.tungnt/1/09
Công thức tính nhanh
Kỹ thuật tính nhanh cho hàm bậc nhất/bậc nhất và bậc hai/bậc nh"&amp;"ất
/hau_ky_s5_new/2026-2027_s5/Toan/Lop_12/Nen_tang_Toan/gv.tungnt/1/10
Tổng kết &amp; Dặn dò
Nhấn mạnh tinh thần học tập và kết thúc buổi học đầu tiên
/hau_ky_s5_new/2026-2027_s5/Toan/Lop_12/Nen_tang_Toan/gv.tungnt/1/11")</f>
        <v>Mở đầu &amp; Website
Giới thiệu khóa học, cách tải tài liệu và sử dụng hệ thống học tập
/hau_ky_s5_new/2026-2027_s5/Toan/Lop_12/Nen_tang_Toan/gv.tungnt/1/01
Mục tiêu bài học
Tổng quan kiến thức đạo hàm 11 cần thiết cho chương trình lớp 12
/hau_ky_s5_new/2026-2027_s5/Toan/Lop_12/Nen_tang_Toan/gv.tungnt/1/02
Đạo hàm bằng định nghĩa
Ôn tập công thức Lim và giải chi tiết 3 ví dụ vận dụng bản chất đạo hàm
/hau_ky_s5_new/2026-2027_s5/Toan/Lop_12/Nen_tang_Toan/gv.tungnt/1/03
Các quy tắc cơ bản
Đạo hàm tổng, hiệu, tích (u.v), thương (u/v) và đạo hàm hàm hợp
/hau_ky_s5_new/2026-2027_s5/Toan/Lop_12/Nen_tang_Toan/gv.tungnt/1/04
Luyện tập đạo hàm cơ bản
Giải chi tiết các bài tập từ câu 4 đến câu 13 trong tài liệu học tập
/hau_ky_s5_new/2026-2027_s5/Toan/Lop_12/Nen_tang_Toan/gv.tungnt/1/05
Đạo hàm Lượng giác
Các công thức Sin, Cos, Tan, Cot và bài tập vận dụng lượng giác chuyên sâu (P1)
/hau_ky_s5_new/2026-2027_s5/Toan/Lop_12/Nen_tang_Toan/gv.tungnt/1/06
Đạo hàm Lượng giác
Các công thức Sin, Cos, Tan, Cot và bài tập vận dụng lượng giác chuyên sâu (P2)
/hau_ky_s5_new/2026-2027_s5/Toan/Lop_12/Nen_tang_Toan/gv.tungnt/1/07
Hàm số Mũ &amp; Logarit
Đạo hàm e^x, a^x, ln x, log_a x và kỹ thuật logarit hóa hai vế
/hau_ky_s5_new/2026-2027_s5/Toan/Lop_12/Nen_tang_Toan/gv.tungnt/1/08
Luyện tập tổng hợp
Giải bài tập trắc nghiệm tổng hợp và phân tích lỗi sai về điều kiện xác định
/hau_ky_s5_new/2026-2027_s5/Toan/Lop_12/Nen_tang_Toan/gv.tungnt/1/09
Công thức tính nhanh
Kỹ thuật tính nhanh cho hàm bậc nhất/bậc nhất và bậc hai/bậc nhất
/hau_ky_s5_new/2026-2027_s5/Toan/Lop_12/Nen_tang_Toan/gv.tungnt/1/10
Tổng kết &amp; Dặn dò
Nhấn mạnh tinh thần học tập và kết thúc buổi học đầu tiên
/hau_ky_s5_new/2026-2027_s5/Toan/Lop_12/Nen_tang_Toan/gv.tungnt/1/11</v>
      </c>
      <c r="AB4" s="41" t="n">
        <f aca="false">IFERROR(__xludf.dummyfunction("""COMPUTED_VALUE"""),4)</f>
        <v>4</v>
      </c>
      <c r="AC4" s="45" t="str">
        <f aca="false">IFERROR(__xludf.dummyfunction("""COMPUTED_VALUE"""),"nentangtoan")</f>
        <v>nentangtoan</v>
      </c>
      <c r="AD4" s="46"/>
      <c r="AE4" s="47"/>
      <c r="AF4" s="48" t="str">
        <f aca="false">IFERROR(__xludf.dummyfunction("""COMPUTED_VALUE"""),"lophoctoan-946116")</f>
        <v>lophoctoan-946116</v>
      </c>
      <c r="AG4" s="49" t="str">
        <f aca="false">IFERROR(__xludf.dummyfunction("""COMPUTED_VALUE"""),"")</f>
        <v/>
      </c>
      <c r="AH4" s="50" t="b">
        <f aca="false">IFERROR(__xludf.dummyfunction("""COMPUTED_VALUE"""),TRUE())</f>
        <v>1</v>
      </c>
      <c r="AI4" s="51"/>
      <c r="AJ4" s="51"/>
      <c r="AK4" s="51"/>
      <c r="AL4" s="51"/>
      <c r="AM4" s="51"/>
      <c r="AN4" s="51"/>
      <c r="AO4" s="49"/>
    </row>
    <row r="5" customFormat="false" ht="15.75" hidden="false" customHeight="true" outlineLevel="0" collapsed="false">
      <c r="A5" s="37" t="str">
        <f aca="false">IFERROR(__xludf.dummyfunction("""COMPUTED_VALUE"""),"Toán")</f>
        <v>Toán</v>
      </c>
      <c r="B5" s="37" t="str">
        <f aca="false">IFERROR(__xludf.dummyfunction("""COMPUTED_VALUE"""),"NT_T_02")</f>
        <v>NT_T_02</v>
      </c>
      <c r="C5" s="38" t="str">
        <f aca="false">IFERROR(__xludf.dummyfunction("""COMPUTED_VALUE"""),"Hai bài toán khoảng cách trong không gian")</f>
        <v>Hai bài toán khoảng cách trong không gian</v>
      </c>
      <c r="D5" s="39" t="str">
        <f aca="false">IFERROR(__xludf.dummyfunction("""COMPUTED_VALUE"""),"Nguyễn Thanh Tùng")</f>
        <v>Nguyễn Thanh Tùng</v>
      </c>
      <c r="E5" s="40" t="n">
        <f aca="false">IFERROR(__xludf.dummyfunction("""COMPUTED_VALUE"""),46120)</f>
        <v>46120</v>
      </c>
      <c r="F5" s="41" t="n">
        <f aca="false">IFERROR(__xludf.dummyfunction("""COMPUTED_VALUE"""),4)</f>
        <v>4</v>
      </c>
      <c r="G5" s="37" t="str">
        <f aca="false">IFERROR(__xludf.dummyfunction("""COMPUTED_VALUE"""),"20:00-22:00")</f>
        <v>20:00-22:00</v>
      </c>
      <c r="H5" s="42" t="str">
        <f aca="false">IFERROR(__xludf.dummyfunction("""COMPUTED_VALUE"""),"https://hocmai.vn/mod/scorm/view_file.php?id=179750")</f>
        <v>https://hocmai.vn/mod/scorm/view_file.php?id=179750</v>
      </c>
      <c r="I5" s="42" t="str">
        <f aca="false">IFERROR(__xludf.dummyfunction("""COMPUTED_VALUE"""),"https://hocmai.vn/mod/scorm/view_file.php?id=179806")</f>
        <v>https://hocmai.vn/mod/scorm/view_file.php?id=179806</v>
      </c>
      <c r="J5" s="42" t="str">
        <f aca="false">IFERROR(__xludf.dummyfunction("""COMPUTED_VALUE"""),"https://drive.google.com/drive/folders/17Ns1XGnRDURERaThSuyC4O983qcqrHni?usp=drive_link")</f>
        <v>https://drive.google.com/drive/folders/17Ns1XGnRDURERaThSuyC4O983qcqrHni?usp=drive_link</v>
      </c>
      <c r="K5" s="37" t="str">
        <f aca="false">IFERROR(__xludf.dummyfunction("""COMPUTED_VALUE"""),"Chientd2")</f>
        <v>Chientd2</v>
      </c>
      <c r="L5" s="37" t="str">
        <f aca="false">IFERROR(__xludf.dummyfunction("""COMPUTED_VALUE"""),"Tưởng Thị Huyền Trang")</f>
        <v>Tưởng Thị Huyền Trang</v>
      </c>
      <c r="M5" s="43" t="str">
        <f aca="false">IFERROR(__xludf.dummyfunction("""COMPUTED_VALUE"""),"https://hocmai.sharepoint.com/Education_Development/Lists/San_xuat_video/DispForm.aspx?ID=12141")</f>
        <v>https://hocmai.sharepoint.com/Education_Development/Lists/San_xuat_video/DispForm.aspx?ID=12141</v>
      </c>
      <c r="N5" s="41" t="n">
        <f aca="false">IFERROR(__xludf.dummyfunction("""COMPUTED_VALUE"""),3312)</f>
        <v>3312</v>
      </c>
      <c r="O5" s="41" t="n">
        <f aca="false">IFERROR(__xludf.dummyfunction("""COMPUTED_VALUE"""),166583)</f>
        <v>166583</v>
      </c>
      <c r="P5" s="41"/>
      <c r="Q5" s="41" t="n">
        <f aca="false">IFERROR(__xludf.dummyfunction("""COMPUTED_VALUE"""),7883)</f>
        <v>7883</v>
      </c>
      <c r="R5" s="41"/>
      <c r="S5" s="41"/>
      <c r="T5" s="41" t="n">
        <f aca="false">IFERROR(__xludf.dummyfunction("""COMPUTED_VALUE"""),7884)</f>
        <v>7884</v>
      </c>
      <c r="U5" s="41" t="n">
        <f aca="false">IFERROR(__xludf.dummyfunction("""COMPUTED_VALUE"""),22150)</f>
        <v>22150</v>
      </c>
      <c r="V5" s="40" t="n">
        <f aca="false">IFERROR(__xludf.dummyfunction("""COMPUTED_VALUE"""),46123)</f>
        <v>46123</v>
      </c>
      <c r="W5" s="39" t="str">
        <f aca="false">IFERROR(__xludf.dummyfunction("""COMPUTED_VALUE"""),"Hoàn thành XB")</f>
        <v>Hoàn thành XB</v>
      </c>
      <c r="X5" s="41" t="str">
        <f aca="false">IFERROR(__xludf.dummyfunction("""COMPUTED_VALUE"""),"Chientd2")</f>
        <v>Chientd2</v>
      </c>
      <c r="Y5" s="44"/>
      <c r="Z5" s="42" t="str">
        <f aca="false">IFERROR(__xludf.dummyfunction("""COMPUTED_VALUE"""),"https://s3.evgcloud.net/livestream/video/mp4/2026/04/08/336_3367b21041d85e947b681e0b1d2ab785e71_RELAY-20260408201630-cv.mp4")</f>
        <v>https://s3.evgcloud.net/livestream/video/mp4/2026/04/08/336_3367b21041d85e947b681e0b1d2ab785e71_RELAY-20260408201630-cv.mp4</v>
      </c>
      <c r="AA5" s="45" t="str">
        <f aca="false">IFERROR(__xludf.dummyfunction("""COMPUTED_VALUE"""),"/hau_ky_s5_new/2026-2027_s5/Toan/Lop_12/Nen_tang_Toan/gv.tungnt/2/01
/hau_ky_s5_new/2026-2027_s5/Toan/Lop_12/Nen_tang_Toan/gv.tungnt/2/02
/hau_ky_s5_new/2026-2027_s5/Toan/Lop_12/Nen_tang_Toan/gv.tungnt/2/03
/hau_ky_s5_new/2026-2027_s5/Toan/Lop_12/Nen_tang"&amp;"_Toan/gv.tungnt/2/04
/hau_ky_s5_new/2026-2027_s5/Toan/Lop_12/Nen_tang_Toan/gv.tungnt/2/05
/hau_ky_s5_new/2026-2027_s5/Toan/Lop_12/Nen_tang_Toan/gv.tungnt/2/06
/hau_ky_s5_new/2026-2027_s5/Toan/Lop_12/Nen_tang_Toan/gv.tungnt/2/07")</f>
        <v>/hau_ky_s5_new/2026-2027_s5/Toan/Lop_12/Nen_tang_Toan/gv.tungnt/2/01
/hau_ky_s5_new/2026-2027_s5/Toan/Lop_12/Nen_tang_Toan/gv.tungnt/2/02
/hau_ky_s5_new/2026-2027_s5/Toan/Lop_12/Nen_tang_Toan/gv.tungnt/2/03
/hau_ky_s5_new/2026-2027_s5/Toan/Lop_12/Nen_tang_Toan/gv.tungnt/2/04
/hau_ky_s5_new/2026-2027_s5/Toan/Lop_12/Nen_tang_Toan/gv.tungnt/2/05
/hau_ky_s5_new/2026-2027_s5/Toan/Lop_12/Nen_tang_Toan/gv.tungnt/2/06
/hau_ky_s5_new/2026-2027_s5/Toan/Lop_12/Nen_tang_Toan/gv.tungnt/2/07</v>
      </c>
      <c r="AB5" s="41" t="n">
        <f aca="false">IFERROR(__xludf.dummyfunction("""COMPUTED_VALUE"""),4)</f>
        <v>4</v>
      </c>
      <c r="AC5" s="45" t="str">
        <f aca="false">IFERROR(__xludf.dummyfunction("""COMPUTED_VALUE"""),"nentangtoan")</f>
        <v>nentangtoan</v>
      </c>
      <c r="AD5" s="52"/>
      <c r="AE5" s="47"/>
      <c r="AF5" s="47" t="str">
        <f aca="false">IFERROR(__xludf.dummyfunction("""COMPUTED_VALUE"""),"lophoctoan-946120")</f>
        <v>lophoctoan-946120</v>
      </c>
      <c r="AG5" s="52" t="str">
        <f aca="false">IFERROR(__xludf.dummyfunction("""COMPUTED_VALUE"""),"")</f>
        <v/>
      </c>
      <c r="AH5" s="53" t="b">
        <f aca="false">IFERROR(__xludf.dummyfunction("""COMPUTED_VALUE"""),TRUE())</f>
        <v>1</v>
      </c>
      <c r="AI5" s="35"/>
      <c r="AJ5" s="35"/>
      <c r="AK5" s="35"/>
      <c r="AL5" s="35"/>
      <c r="AM5" s="35"/>
      <c r="AN5" s="35"/>
      <c r="AO5" s="52"/>
    </row>
    <row r="6" customFormat="false" ht="15.75" hidden="false" customHeight="true" outlineLevel="0" collapsed="false">
      <c r="A6" s="37" t="str">
        <f aca="false">IFERROR(__xludf.dummyfunction("""COMPUTED_VALUE"""),"Toán")</f>
        <v>Toán</v>
      </c>
      <c r="B6" s="37" t="str">
        <f aca="false">IFERROR(__xludf.dummyfunction("""COMPUTED_VALUE"""),"NT_T_03")</f>
        <v>NT_T_03</v>
      </c>
      <c r="C6" s="38" t="str">
        <f aca="false">IFERROR(__xludf.dummyfunction("""COMPUTED_VALUE"""),"Ứng dụng đạo hàm giải bài toán chuyển động, tăng trưởng cơ bản")</f>
        <v>Ứng dụng đạo hàm giải bài toán chuyển động, tăng trưởng cơ bản</v>
      </c>
      <c r="D6" s="39" t="str">
        <f aca="false">IFERROR(__xludf.dummyfunction("""COMPUTED_VALUE"""),"Nguyễn Thanh Tùng")</f>
        <v>Nguyễn Thanh Tùng</v>
      </c>
      <c r="E6" s="40" t="n">
        <f aca="false">IFERROR(__xludf.dummyfunction("""COMPUTED_VALUE"""),46123)</f>
        <v>46123</v>
      </c>
      <c r="F6" s="41" t="n">
        <f aca="false">IFERROR(__xludf.dummyfunction("""COMPUTED_VALUE"""),7)</f>
        <v>7</v>
      </c>
      <c r="G6" s="37" t="str">
        <f aca="false">IFERROR(__xludf.dummyfunction("""COMPUTED_VALUE"""),"20:00-22:00")</f>
        <v>20:00-22:00</v>
      </c>
      <c r="H6" s="42" t="str">
        <f aca="false">IFERROR(__xludf.dummyfunction("""COMPUTED_VALUE"""),"https://hocmai.vn/mod/scorm/view_file.php?id=179810")</f>
        <v>https://hocmai.vn/mod/scorm/view_file.php?id=179810</v>
      </c>
      <c r="I6" s="42" t="str">
        <f aca="false">IFERROR(__xludf.dummyfunction("""COMPUTED_VALUE"""),"https://hocmai.vn/mod/scorm/view_file.php?id=179848")</f>
        <v>https://hocmai.vn/mod/scorm/view_file.php?id=179848</v>
      </c>
      <c r="J6" s="42" t="str">
        <f aca="false">IFERROR(__xludf.dummyfunction("""COMPUTED_VALUE"""),"https://drive.google.com/drive/folders/1xgHxIawL2ZhDklUCtuAFi7FxgJkjde7U?usp=drive_link")</f>
        <v>https://drive.google.com/drive/folders/1xgHxIawL2ZhDklUCtuAFi7FxgJkjde7U?usp=drive_link</v>
      </c>
      <c r="K6" s="37" t="str">
        <f aca="false">IFERROR(__xludf.dummyfunction("""COMPUTED_VALUE"""),"Chientd2")</f>
        <v>Chientd2</v>
      </c>
      <c r="L6" s="37" t="str">
        <f aca="false">IFERROR(__xludf.dummyfunction("""COMPUTED_VALUE"""),"Tưởng Thị Huyền Trang")</f>
        <v>Tưởng Thị Huyền Trang</v>
      </c>
      <c r="M6" s="43" t="str">
        <f aca="false">IFERROR(__xludf.dummyfunction("""COMPUTED_VALUE"""),"https://hocmai.sharepoint.com/Education_Development/Lists/San_xuat_video/DispForm.aspx?ID=12142")</f>
        <v>https://hocmai.sharepoint.com/Education_Development/Lists/San_xuat_video/DispForm.aspx?ID=12142</v>
      </c>
      <c r="N6" s="41" t="n">
        <f aca="false">IFERROR(__xludf.dummyfunction("""COMPUTED_VALUE"""),3312)</f>
        <v>3312</v>
      </c>
      <c r="O6" s="41" t="n">
        <f aca="false">IFERROR(__xludf.dummyfunction("""COMPUTED_VALUE"""),166584)</f>
        <v>166584</v>
      </c>
      <c r="P6" s="41"/>
      <c r="Q6" s="41" t="n">
        <f aca="false">IFERROR(__xludf.dummyfunction("""COMPUTED_VALUE"""),7885)</f>
        <v>7885</v>
      </c>
      <c r="R6" s="41"/>
      <c r="S6" s="41"/>
      <c r="T6" s="41" t="n">
        <f aca="false">IFERROR(__xludf.dummyfunction("""COMPUTED_VALUE"""),7886)</f>
        <v>7886</v>
      </c>
      <c r="U6" s="41" t="n">
        <f aca="false">IFERROR(__xludf.dummyfunction("""COMPUTED_VALUE"""),22173)</f>
        <v>22173</v>
      </c>
      <c r="V6" s="40" t="n">
        <f aca="false">IFERROR(__xludf.dummyfunction("""COMPUTED_VALUE"""),46126)</f>
        <v>46126</v>
      </c>
      <c r="W6" s="39" t="str">
        <f aca="false">IFERROR(__xludf.dummyfunction("""COMPUTED_VALUE"""),"Hoàn thành XB")</f>
        <v>Hoàn thành XB</v>
      </c>
      <c r="X6" s="41" t="str">
        <f aca="false">IFERROR(__xludf.dummyfunction("""COMPUTED_VALUE"""),"Chientd2")</f>
        <v>Chientd2</v>
      </c>
      <c r="Y6" s="44"/>
      <c r="Z6" s="42" t="str">
        <f aca="false">IFERROR(__xludf.dummyfunction("""COMPUTED_VALUE"""),"https://s3.evgcloud.net/livestream/video/mp4/2026/04/11/336_3367b21041d85e947b681e0b1d2ab785e71_RELAY-20260411195610-cv.mp4")</f>
        <v>https://s3.evgcloud.net/livestream/video/mp4/2026/04/11/336_3367b21041d85e947b681e0b1d2ab785e71_RELAY-20260411195610-cv.mp4</v>
      </c>
      <c r="AA6" s="45" t="str">
        <f aca="false">IFERROR(__xludf.dummyfunction("""COMPUTED_VALUE"""),"/hau_ky_s5_new/2026-2027_s5/Toan/Lop_12/Nen_tang_Toan/gv.tungnt/3/01
/hau_ky_s5_new/2026-2027_s5/Toan/Lop_12/Nen_tang_Toan/gv.tungnt/3/02
/hau_ky_s5_new/2026-2027_s5/Toan/Lop_12/Nen_tang_Toan/gv.tungnt/3/03
/hau_ky_s5_new/2026-2027_s5/Toan/Lop_12/Nen_tang"&amp;"_Toan/gv.tungnt/3/04
/hau_ky_s5_new/2026-2027_s5/Toan/Lop_12/Nen_tang_Toan/gv.tungnt/3/05")</f>
        <v>/hau_ky_s5_new/2026-2027_s5/Toan/Lop_12/Nen_tang_Toan/gv.tungnt/3/01
/hau_ky_s5_new/2026-2027_s5/Toan/Lop_12/Nen_tang_Toan/gv.tungnt/3/02
/hau_ky_s5_new/2026-2027_s5/Toan/Lop_12/Nen_tang_Toan/gv.tungnt/3/03
/hau_ky_s5_new/2026-2027_s5/Toan/Lop_12/Nen_tang_Toan/gv.tungnt/3/04
/hau_ky_s5_new/2026-2027_s5/Toan/Lop_12/Nen_tang_Toan/gv.tungnt/3/05</v>
      </c>
      <c r="AB6" s="41" t="n">
        <f aca="false">IFERROR(__xludf.dummyfunction("""COMPUTED_VALUE"""),4)</f>
        <v>4</v>
      </c>
      <c r="AC6" s="45" t="str">
        <f aca="false">IFERROR(__xludf.dummyfunction("""COMPUTED_VALUE"""),"nentangtoan")</f>
        <v>nentangtoan</v>
      </c>
      <c r="AD6" s="52"/>
      <c r="AE6" s="47"/>
      <c r="AF6" s="47" t="str">
        <f aca="false">IFERROR(__xludf.dummyfunction("""COMPUTED_VALUE"""),"lophoctoan-946123")</f>
        <v>lophoctoan-946123</v>
      </c>
      <c r="AG6" s="52" t="str">
        <f aca="false">IFERROR(__xludf.dummyfunction("""COMPUTED_VALUE"""),"")</f>
        <v/>
      </c>
      <c r="AH6" s="53" t="b">
        <f aca="false">IFERROR(__xludf.dummyfunction("""COMPUTED_VALUE"""),TRUE())</f>
        <v>1</v>
      </c>
      <c r="AI6" s="35"/>
      <c r="AJ6" s="35"/>
      <c r="AK6" s="35"/>
      <c r="AL6" s="35"/>
      <c r="AM6" s="35"/>
      <c r="AN6" s="35"/>
      <c r="AO6" s="52"/>
    </row>
    <row r="7" customFormat="false" ht="14.25" hidden="false" customHeight="true" outlineLevel="0" collapsed="false">
      <c r="A7" s="37" t="str">
        <f aca="false">IFERROR(__xludf.dummyfunction("""COMPUTED_VALUE"""),"Toán")</f>
        <v>Toán</v>
      </c>
      <c r="B7" s="37" t="str">
        <f aca="false">IFERROR(__xludf.dummyfunction("""COMPUTED_VALUE"""),"NT_T_04")</f>
        <v>NT_T_04</v>
      </c>
      <c r="C7" s="38" t="str">
        <f aca="false">IFERROR(__xludf.dummyfunction("""COMPUTED_VALUE"""),"Góc trong không gian (P1)")</f>
        <v>Góc trong không gian (P1)</v>
      </c>
      <c r="D7" s="39" t="str">
        <f aca="false">IFERROR(__xludf.dummyfunction("""COMPUTED_VALUE"""),"Nguyễn Thanh Tùng")</f>
        <v>Nguyễn Thanh Tùng</v>
      </c>
      <c r="E7" s="40" t="n">
        <f aca="false">IFERROR(__xludf.dummyfunction("""COMPUTED_VALUE"""),46127)</f>
        <v>46127</v>
      </c>
      <c r="F7" s="41" t="n">
        <f aca="false">IFERROR(__xludf.dummyfunction("""COMPUTED_VALUE"""),4)</f>
        <v>4</v>
      </c>
      <c r="G7" s="37" t="str">
        <f aca="false">IFERROR(__xludf.dummyfunction("""COMPUTED_VALUE"""),"20:00-22:00")</f>
        <v>20:00-22:00</v>
      </c>
      <c r="H7" s="54" t="str">
        <f aca="false">IFERROR(__xludf.dummyfunction("""COMPUTED_VALUE"""),"https://hocmai.vn/mod/scorm/view_file.php?id=179871")</f>
        <v>https://hocmai.vn/mod/scorm/view_file.php?id=179871</v>
      </c>
      <c r="I7" s="42" t="str">
        <f aca="false">IFERROR(__xludf.dummyfunction("""COMPUTED_VALUE"""),"https://hocmai.vn/mod/scorm/view_file.php?id=179887")</f>
        <v>https://hocmai.vn/mod/scorm/view_file.php?id=179887</v>
      </c>
      <c r="J7" s="55" t="str">
        <f aca="false">IFERROR(__xludf.dummyfunction("""COMPUTED_VALUE"""),"https://drive.google.com/drive/folders/1d3LM0qCEksmEq7FP7DMglByLFRM_pOyE?usp=drive_link")</f>
        <v>https://drive.google.com/drive/folders/1d3LM0qCEksmEq7FP7DMglByLFRM_pOyE?usp=drive_link</v>
      </c>
      <c r="K7" s="37" t="str">
        <f aca="false">IFERROR(__xludf.dummyfunction("""COMPUTED_VALUE"""),"Chientd2")</f>
        <v>Chientd2</v>
      </c>
      <c r="L7" s="37" t="str">
        <f aca="false">IFERROR(__xludf.dummyfunction("""COMPUTED_VALUE"""),"Tưởng Thị Huyền Trang")</f>
        <v>Tưởng Thị Huyền Trang</v>
      </c>
      <c r="M7" s="43" t="str">
        <f aca="false">IFERROR(__xludf.dummyfunction("""COMPUTED_VALUE"""),"https://hocmai.sharepoint.com/Education_Development/Lists/San_xuat_video/DispForm.aspx?ID=12143")</f>
        <v>https://hocmai.sharepoint.com/Education_Development/Lists/San_xuat_video/DispForm.aspx?ID=12143</v>
      </c>
      <c r="N7" s="41" t="n">
        <f aca="false">IFERROR(__xludf.dummyfunction("""COMPUTED_VALUE"""),3312)</f>
        <v>3312</v>
      </c>
      <c r="O7" s="41" t="n">
        <f aca="false">IFERROR(__xludf.dummyfunction("""COMPUTED_VALUE"""),166585)</f>
        <v>166585</v>
      </c>
      <c r="P7" s="41"/>
      <c r="Q7" s="41" t="n">
        <f aca="false">IFERROR(__xludf.dummyfunction("""COMPUTED_VALUE"""),7887)</f>
        <v>7887</v>
      </c>
      <c r="R7" s="41"/>
      <c r="S7" s="41"/>
      <c r="T7" s="41" t="n">
        <f aca="false">IFERROR(__xludf.dummyfunction("""COMPUTED_VALUE"""),7888)</f>
        <v>7888</v>
      </c>
      <c r="U7" s="41" t="n">
        <f aca="false">IFERROR(__xludf.dummyfunction("""COMPUTED_VALUE"""),22323)</f>
        <v>22323</v>
      </c>
      <c r="V7" s="40" t="n">
        <f aca="false">IFERROR(__xludf.dummyfunction("""COMPUTED_VALUE"""),46130)</f>
        <v>46130</v>
      </c>
      <c r="W7" s="39" t="str">
        <f aca="false">IFERROR(__xludf.dummyfunction("""COMPUTED_VALUE"""),"Hoàn thành XB")</f>
        <v>Hoàn thành XB</v>
      </c>
      <c r="X7" s="41" t="str">
        <f aca="false">IFERROR(__xludf.dummyfunction("""COMPUTED_VALUE"""),"Chientd2")</f>
        <v>Chientd2</v>
      </c>
      <c r="Y7" s="44"/>
      <c r="Z7" s="42" t="str">
        <f aca="false">IFERROR(__xludf.dummyfunction("""COMPUTED_VALUE"""),"https://s3.evgcloud.net/livestream/video/mp4/2026/04/15/336_336735e1943dfd144858558d92cc3a5e700_RELAY-20260415195526-cv.mp4")</f>
        <v>https://s3.evgcloud.net/livestream/video/mp4/2026/04/15/336_336735e1943dfd144858558d92cc3a5e700_RELAY-20260415195526-cv.mp4</v>
      </c>
      <c r="AA7" s="45" t="str">
        <f aca="false">IFERROR(__xludf.dummyfunction("""COMPUTED_VALUE"""),"/hau_ky_s5_new/2026-2027_s5/Toan/Lop_12/Nen_tang_Toan/gv.tungnt/4/01
/hau_ky_s5_new/2026-2027_s5/Toan/Lop_12/Nen_tang_Toan/gv.tungnt/4/02
/hau_ky_s5_new/2026-2027_s5/Toan/Lop_12/Nen_tang_Toan/gv.tungnt/4/03
/hau_ky_s5_new/2026-2027_s5/Toan/Lop_12/Nen_tang"&amp;"_Toan/gv.tungnt/4/04
/hau_ky_s5_new/2026-2027_s5/Toan/Lop_12/Nen_tang_Toan/gv.tungnt/4/05
/hau_ky_s5_new/2026-2027_s5/Toan/Lop_12/Nen_tang_Toan/gv.tungnt/4/06")</f>
        <v>/hau_ky_s5_new/2026-2027_s5/Toan/Lop_12/Nen_tang_Toan/gv.tungnt/4/01
/hau_ky_s5_new/2026-2027_s5/Toan/Lop_12/Nen_tang_Toan/gv.tungnt/4/02
/hau_ky_s5_new/2026-2027_s5/Toan/Lop_12/Nen_tang_Toan/gv.tungnt/4/03
/hau_ky_s5_new/2026-2027_s5/Toan/Lop_12/Nen_tang_Toan/gv.tungnt/4/04
/hau_ky_s5_new/2026-2027_s5/Toan/Lop_12/Nen_tang_Toan/gv.tungnt/4/05
/hau_ky_s5_new/2026-2027_s5/Toan/Lop_12/Nen_tang_Toan/gv.tungnt/4/06</v>
      </c>
      <c r="AB7" s="41" t="n">
        <f aca="false">IFERROR(__xludf.dummyfunction("""COMPUTED_VALUE"""),4)</f>
        <v>4</v>
      </c>
      <c r="AC7" s="45" t="str">
        <f aca="false">IFERROR(__xludf.dummyfunction("""COMPUTED_VALUE"""),"nentangtoan")</f>
        <v>nentangtoan</v>
      </c>
      <c r="AD7" s="52"/>
      <c r="AE7" s="47"/>
      <c r="AF7" s="47" t="str">
        <f aca="false">IFERROR(__xludf.dummyfunction("""COMPUTED_VALUE"""),"lophoctoan-946127")</f>
        <v>lophoctoan-946127</v>
      </c>
      <c r="AG7" s="52" t="str">
        <f aca="false">IFERROR(__xludf.dummyfunction("""COMPUTED_VALUE"""),"")</f>
        <v/>
      </c>
      <c r="AH7" s="53" t="b">
        <f aca="false">IFERROR(__xludf.dummyfunction("""COMPUTED_VALUE"""),TRUE())</f>
        <v>1</v>
      </c>
      <c r="AI7" s="35"/>
      <c r="AJ7" s="35"/>
      <c r="AK7" s="35"/>
      <c r="AL7" s="35"/>
      <c r="AM7" s="35"/>
      <c r="AN7" s="35"/>
      <c r="AO7" s="52"/>
    </row>
    <row r="8" customFormat="false" ht="15.75" hidden="false" customHeight="true" outlineLevel="0" collapsed="false">
      <c r="A8" s="37" t="str">
        <f aca="false">IFERROR(__xludf.dummyfunction("""COMPUTED_VALUE"""),"Toán")</f>
        <v>Toán</v>
      </c>
      <c r="B8" s="37" t="str">
        <f aca="false">IFERROR(__xludf.dummyfunction("""COMPUTED_VALUE"""),"NT_T_05")</f>
        <v>NT_T_05</v>
      </c>
      <c r="C8" s="38" t="str">
        <f aca="false">IFERROR(__xludf.dummyfunction("""COMPUTED_VALUE"""),"Tiếp tuyến của đồ thị hàm số")</f>
        <v>Tiếp tuyến của đồ thị hàm số</v>
      </c>
      <c r="D8" s="39" t="str">
        <f aca="false">IFERROR(__xludf.dummyfunction("""COMPUTED_VALUE"""),"Nguyễn Thanh Tùng")</f>
        <v>Nguyễn Thanh Tùng</v>
      </c>
      <c r="E8" s="40" t="n">
        <f aca="false">IFERROR(__xludf.dummyfunction("""COMPUTED_VALUE"""),46130)</f>
        <v>46130</v>
      </c>
      <c r="F8" s="41" t="n">
        <f aca="false">IFERROR(__xludf.dummyfunction("""COMPUTED_VALUE"""),7)</f>
        <v>7</v>
      </c>
      <c r="G8" s="37" t="str">
        <f aca="false">IFERROR(__xludf.dummyfunction("""COMPUTED_VALUE"""),"20:00-22:00")</f>
        <v>20:00-22:00</v>
      </c>
      <c r="H8" s="42" t="str">
        <f aca="false">IFERROR(__xludf.dummyfunction("""COMPUTED_VALUE"""),"https://hocmai.vn/mod/scorm/view_file.php?id=179894")</f>
        <v>https://hocmai.vn/mod/scorm/view_file.php?id=179894</v>
      </c>
      <c r="I8" s="42" t="str">
        <f aca="false">IFERROR(__xludf.dummyfunction("""COMPUTED_VALUE"""),"https://hocmai.vn/mod/scorm/view_file.php?id=179931")</f>
        <v>https://hocmai.vn/mod/scorm/view_file.php?id=179931</v>
      </c>
      <c r="J8" s="42" t="str">
        <f aca="false">IFERROR(__xludf.dummyfunction("""COMPUTED_VALUE"""),"https://drive.google.com/drive/folders/1GS701cWItnDxX4jwqGOpGUWAv3aPv2xC?usp=drive_link")</f>
        <v>https://drive.google.com/drive/folders/1GS701cWItnDxX4jwqGOpGUWAv3aPv2xC?usp=drive_link</v>
      </c>
      <c r="K8" s="37" t="str">
        <f aca="false">IFERROR(__xludf.dummyfunction("""COMPUTED_VALUE"""),"Chientd2")</f>
        <v>Chientd2</v>
      </c>
      <c r="L8" s="37" t="str">
        <f aca="false">IFERROR(__xludf.dummyfunction("""COMPUTED_VALUE"""),"Tưởng Thị Huyền Trang")</f>
        <v>Tưởng Thị Huyền Trang</v>
      </c>
      <c r="M8" s="43" t="str">
        <f aca="false">IFERROR(__xludf.dummyfunction("""COMPUTED_VALUE"""),"https://hocmai.sharepoint.com/Education_Development/Lists/San_xuat_video/DispForm.aspx?ID=12144")</f>
        <v>https://hocmai.sharepoint.com/Education_Development/Lists/San_xuat_video/DispForm.aspx?ID=12144</v>
      </c>
      <c r="N8" s="41" t="n">
        <f aca="false">IFERROR(__xludf.dummyfunction("""COMPUTED_VALUE"""),3312)</f>
        <v>3312</v>
      </c>
      <c r="O8" s="41" t="n">
        <f aca="false">IFERROR(__xludf.dummyfunction("""COMPUTED_VALUE"""),166586)</f>
        <v>166586</v>
      </c>
      <c r="P8" s="41"/>
      <c r="Q8" s="41" t="n">
        <f aca="false">IFERROR(__xludf.dummyfunction("""COMPUTED_VALUE"""),7889)</f>
        <v>7889</v>
      </c>
      <c r="R8" s="41"/>
      <c r="S8" s="41"/>
      <c r="T8" s="41" t="n">
        <f aca="false">IFERROR(__xludf.dummyfunction("""COMPUTED_VALUE"""),7890)</f>
        <v>7890</v>
      </c>
      <c r="U8" s="41" t="n">
        <f aca="false">IFERROR(__xludf.dummyfunction("""COMPUTED_VALUE"""),22377)</f>
        <v>22377</v>
      </c>
      <c r="V8" s="40" t="n">
        <f aca="false">IFERROR(__xludf.dummyfunction("""COMPUTED_VALUE"""),46133)</f>
        <v>46133</v>
      </c>
      <c r="W8" s="39" t="str">
        <f aca="false">IFERROR(__xludf.dummyfunction("""COMPUTED_VALUE"""),"Hoàn thành XB")</f>
        <v>Hoàn thành XB</v>
      </c>
      <c r="X8" s="41" t="str">
        <f aca="false">IFERROR(__xludf.dummyfunction("""COMPUTED_VALUE"""),"Chientd2")</f>
        <v>Chientd2</v>
      </c>
      <c r="Y8" s="44"/>
      <c r="Z8" s="56" t="str">
        <f aca="false">IFERROR(__xludf.dummyfunction("""COMPUTED_VALUE"""),"https://s3.evgcloud.net/livestream/video/mp4/2026/04/18/336_33675f560e9966149c5bb6da16e6905fa9f_RELAY-20260418195744-cv.mp4")</f>
        <v>https://s3.evgcloud.net/livestream/video/mp4/2026/04/18/336_33675f560e9966149c5bb6da16e6905fa9f_RELAY-20260418195744-cv.mp4</v>
      </c>
      <c r="AA8" s="57" t="str">
        <f aca="false">IFERROR(__xludf.dummyfunction("""COMPUTED_VALUE"""),"/hau_ky_s5_new/2026-2027_s5/Toan/Lop_12/Nen_tang_Toan/gv.tungnt/5/01
/hau_ky_s5_new/2026-2027_s5/Toan/Lop_12/Nen_tang_Toan/gv.tungnt/5/02
/hau_ky_s5_new/2026-2027_s5/Toan/Lop_12/Nen_tang_Toan/gv.tungnt/5/03
/hau_ky_s5_new/2026-2027_s5/Toan/Lop_12/Nen_tang"&amp;"_Toan/gv.tungnt/5/04
/hau_ky_s5_new/2026-2027_s5/Toan/Lop_12/Nen_tang_Toan/gv.tungnt/5/05
/hau_ky_s5_new/2026-2027_s5/Toan/Lop_12/Nen_tang_Toan/gv.tungnt/5/06
/hau_ky_s5_new/2026-2027_s5/Toan/Lop_12/Nen_tang_Toan/gv.tungnt/5/07")</f>
        <v>/hau_ky_s5_new/2026-2027_s5/Toan/Lop_12/Nen_tang_Toan/gv.tungnt/5/01
/hau_ky_s5_new/2026-2027_s5/Toan/Lop_12/Nen_tang_Toan/gv.tungnt/5/02
/hau_ky_s5_new/2026-2027_s5/Toan/Lop_12/Nen_tang_Toan/gv.tungnt/5/03
/hau_ky_s5_new/2026-2027_s5/Toan/Lop_12/Nen_tang_Toan/gv.tungnt/5/04
/hau_ky_s5_new/2026-2027_s5/Toan/Lop_12/Nen_tang_Toan/gv.tungnt/5/05
/hau_ky_s5_new/2026-2027_s5/Toan/Lop_12/Nen_tang_Toan/gv.tungnt/5/06
/hau_ky_s5_new/2026-2027_s5/Toan/Lop_12/Nen_tang_Toan/gv.tungnt/5/07</v>
      </c>
      <c r="AB8" s="41" t="n">
        <f aca="false">IFERROR(__xludf.dummyfunction("""COMPUTED_VALUE"""),4)</f>
        <v>4</v>
      </c>
      <c r="AC8" s="57" t="str">
        <f aca="false">IFERROR(__xludf.dummyfunction("""COMPUTED_VALUE"""),"nentangtoan")</f>
        <v>nentangtoan</v>
      </c>
      <c r="AD8" s="46"/>
      <c r="AE8" s="46"/>
      <c r="AF8" s="47" t="str">
        <f aca="false">IFERROR(__xludf.dummyfunction("""COMPUTED_VALUE"""),"lophoctoan-946130")</f>
        <v>lophoctoan-946130</v>
      </c>
      <c r="AG8" s="46" t="str">
        <f aca="false">IFERROR(__xludf.dummyfunction("""COMPUTED_VALUE"""),"")</f>
        <v/>
      </c>
      <c r="AH8" s="53" t="b">
        <f aca="false">IFERROR(__xludf.dummyfunction("""COMPUTED_VALUE"""),TRUE())</f>
        <v>1</v>
      </c>
      <c r="AI8" s="35"/>
      <c r="AJ8" s="35"/>
      <c r="AK8" s="35"/>
      <c r="AL8" s="35"/>
      <c r="AM8" s="35"/>
      <c r="AN8" s="35"/>
      <c r="AO8" s="46"/>
    </row>
    <row r="9" customFormat="false" ht="15.75" hidden="false" customHeight="true" outlineLevel="0" collapsed="false">
      <c r="A9" s="37" t="str">
        <f aca="false">IFERROR(__xludf.dummyfunction("""COMPUTED_VALUE"""),"Toán")</f>
        <v>Toán</v>
      </c>
      <c r="B9" s="37" t="str">
        <f aca="false">IFERROR(__xludf.dummyfunction("""COMPUTED_VALUE"""),"NT_N_01")</f>
        <v>NT_N_01</v>
      </c>
      <c r="C9" s="38" t="str">
        <f aca="false">IFERROR(__xludf.dummyfunction("""COMPUTED_VALUE"""),"Phương trình, bất phương trình mũ – logarit dạng cơ bản")</f>
        <v>Phương trình, bất phương trình mũ – logarit dạng cơ bản</v>
      </c>
      <c r="D9" s="39" t="str">
        <f aca="false">IFERROR(__xludf.dummyfunction("""COMPUTED_VALUE"""),"Nguyễn Hoài Nam")</f>
        <v>Nguyễn Hoài Nam</v>
      </c>
      <c r="E9" s="40" t="n">
        <f aca="false">IFERROR(__xludf.dummyfunction("""COMPUTED_VALUE"""),46133)</f>
        <v>46133</v>
      </c>
      <c r="F9" s="41" t="n">
        <f aca="false">IFERROR(__xludf.dummyfunction("""COMPUTED_VALUE"""),3)</f>
        <v>3</v>
      </c>
      <c r="G9" s="37" t="str">
        <f aca="false">IFERROR(__xludf.dummyfunction("""COMPUTED_VALUE"""),"21:00-22:30")</f>
        <v>21:00-22:30</v>
      </c>
      <c r="H9" s="42" t="str">
        <f aca="false">IFERROR(__xludf.dummyfunction("""COMPUTED_VALUE"""),"https://hocmai.vn/mod/scorm/view_file.php?inpopup=true&amp;id=179950")</f>
        <v>https://hocmai.vn/mod/scorm/view_file.php?inpopup=true&amp;id=179950</v>
      </c>
      <c r="I9" s="42" t="str">
        <f aca="false">IFERROR(__xludf.dummyfunction("""COMPUTED_VALUE"""),"https://hocmai.vn/mod/scorm/view_file.php?inpopup=true&amp;id=179951")</f>
        <v>https://hocmai.vn/mod/scorm/view_file.php?inpopup=true&amp;id=179951</v>
      </c>
      <c r="J9" s="55" t="str">
        <f aca="false">IFERROR(__xludf.dummyfunction("""COMPUTED_VALUE"""),"https://drive.google.com/file/d/1mqz0vNOCcxBMRRvZ1gBnEo11x1iuIBUR/view?usp=drive_link")</f>
        <v>https://drive.google.com/file/d/1mqz0vNOCcxBMRRvZ1gBnEo11x1iuIBUR/view?usp=drive_link</v>
      </c>
      <c r="K9" s="37" t="str">
        <f aca="false">IFERROR(__xludf.dummyfunction("""COMPUTED_VALUE"""),"thinhnh")</f>
        <v>thinhnh</v>
      </c>
      <c r="L9" s="37" t="str">
        <f aca="false">IFERROR(__xludf.dummyfunction("""COMPUTED_VALUE"""),"Lê Quốc Việt")</f>
        <v>Lê Quốc Việt</v>
      </c>
      <c r="M9" s="43" t="str">
        <f aca="false">IFERROR(__xludf.dummyfunction("""COMPUTED_VALUE"""),"https://hocmai.sharepoint.com/Education_Development/Lists/San_xuat_video/DispForm.aspx?ID=12188")</f>
        <v>https://hocmai.sharepoint.com/Education_Development/Lists/San_xuat_video/DispForm.aspx?ID=12188</v>
      </c>
      <c r="N9" s="58" t="n">
        <f aca="false">IFERROR(__xludf.dummyfunction("""COMPUTED_VALUE"""),3313)</f>
        <v>3313</v>
      </c>
      <c r="O9" s="41" t="n">
        <f aca="false">IFERROR(__xludf.dummyfunction("""COMPUTED_VALUE"""),166626)</f>
        <v>166626</v>
      </c>
      <c r="P9" s="41"/>
      <c r="Q9" s="41" t="n">
        <f aca="false">IFERROR(__xludf.dummyfunction("""COMPUTED_VALUE"""),7997)</f>
        <v>7997</v>
      </c>
      <c r="R9" s="41"/>
      <c r="S9" s="41"/>
      <c r="T9" s="41" t="n">
        <f aca="false">IFERROR(__xludf.dummyfunction("""COMPUTED_VALUE"""),7998)</f>
        <v>7998</v>
      </c>
      <c r="U9" s="41" t="n">
        <f aca="false">IFERROR(__xludf.dummyfunction("""COMPUTED_VALUE"""),22419)</f>
        <v>22419</v>
      </c>
      <c r="V9" s="40" t="n">
        <f aca="false">IFERROR(__xludf.dummyfunction("""COMPUTED_VALUE"""),46133)</f>
        <v>46133</v>
      </c>
      <c r="W9" s="39" t="str">
        <f aca="false">IFERROR(__xludf.dummyfunction("""COMPUTED_VALUE"""),"Hoàn thành XB")</f>
        <v>Hoàn thành XB</v>
      </c>
      <c r="X9" s="41" t="str">
        <f aca="false">IFERROR(__xludf.dummyfunction("""COMPUTED_VALUE"""),"thinhnh")</f>
        <v>thinhnh</v>
      </c>
      <c r="Y9" s="44"/>
      <c r="Z9" s="42" t="str">
        <f aca="false">IFERROR(__xludf.dummyfunction("""COMPUTED_VALUE"""),"https://s3.evgcloud.net/livestream/video/mp4/2026/04/22/336_336c10bed572efe47edb6c03e1f78d13d85_RELAY-20260421213059-cv.mp4")</f>
        <v>https://s3.evgcloud.net/livestream/video/mp4/2026/04/22/336_336c10bed572efe47edb6c03e1f78d13d85_RELAY-20260421213059-cv.mp4</v>
      </c>
      <c r="AA9" s="45" t="str">
        <f aca="false">IFERROR(__xludf.dummyfunction("""COMPUTED_VALUE"""),"/hau_ky_s5_new/2026-2027_s5/Toan/Lop_12/Nen_tang_Toan/gv.namnh/1/01
/hau_ky_s5_new/2026-2027_s5/Toan/Lop_12/Nen_tang_Toan/gv.namnh/1/02
/hau_ky_s5_new/2026-2027_s5/Toan/Lop_12/Nen_tang_Toan/gv.namnh/1/03
/hau_ky_s5_new/2026-2027_s5/Toan/Lop_12/Nen_tang_To"&amp;"an/gv.namnh/1/04
/hau_ky_s5_new/2026-2027_s5/Toan/Lop_12/Nen_tang_Toan/gv.namnh/1/05
/hau_ky_s5_new/2026-2027_s5/Toan/Lop_12/Nen_tang_Toan/gv.namnh/1/06")</f>
        <v>/hau_ky_s5_new/2026-2027_s5/Toan/Lop_12/Nen_tang_Toan/gv.namnh/1/01
/hau_ky_s5_new/2026-2027_s5/Toan/Lop_12/Nen_tang_Toan/gv.namnh/1/02
/hau_ky_s5_new/2026-2027_s5/Toan/Lop_12/Nen_tang_Toan/gv.namnh/1/03
/hau_ky_s5_new/2026-2027_s5/Toan/Lop_12/Nen_tang_Toan/gv.namnh/1/04
/hau_ky_s5_new/2026-2027_s5/Toan/Lop_12/Nen_tang_Toan/gv.namnh/1/05
/hau_ky_s5_new/2026-2027_s5/Toan/Lop_12/Nen_tang_Toan/gv.namnh/1/06</v>
      </c>
      <c r="AB9" s="41" t="n">
        <f aca="false">IFERROR(__xludf.dummyfunction("""COMPUTED_VALUE"""),4)</f>
        <v>4</v>
      </c>
      <c r="AC9" s="45"/>
      <c r="AD9" s="52" t="str">
        <f aca="false">IFERROR(__xludf.dummyfunction("""COMPUTED_VALUE"""),"nentangtoan_thaynam")</f>
        <v>nentangtoan_thaynam</v>
      </c>
      <c r="AE9" s="47"/>
      <c r="AF9" s="47" t="str">
        <f aca="false">IFERROR(__xludf.dummyfunction("""COMPUTED_VALUE"""),"lophoctoan-946133")</f>
        <v>lophoctoan-946133</v>
      </c>
      <c r="AG9" s="52" t="str">
        <f aca="false">IFERROR(__xludf.dummyfunction("""COMPUTED_VALUE"""),"")</f>
        <v/>
      </c>
      <c r="AH9" s="53" t="b">
        <f aca="false">IFERROR(__xludf.dummyfunction("""COMPUTED_VALUE"""),TRUE())</f>
        <v>1</v>
      </c>
      <c r="AI9" s="35"/>
      <c r="AJ9" s="35"/>
      <c r="AK9" s="35"/>
      <c r="AL9" s="35"/>
      <c r="AM9" s="35"/>
      <c r="AN9" s="35"/>
      <c r="AO9" s="52"/>
    </row>
    <row r="10" customFormat="false" ht="15.75" hidden="false" customHeight="true" outlineLevel="0" collapsed="false">
      <c r="A10" s="37" t="str">
        <f aca="false">IFERROR(__xludf.dummyfunction("""COMPUTED_VALUE"""),"Toán")</f>
        <v>Toán</v>
      </c>
      <c r="B10" s="37" t="str">
        <f aca="false">IFERROR(__xludf.dummyfunction("""COMPUTED_VALUE"""),"NT_T_06")</f>
        <v>NT_T_06</v>
      </c>
      <c r="C10" s="38" t="str">
        <f aca="false">IFERROR(__xludf.dummyfunction("""COMPUTED_VALUE"""),"Thể tích của khối đa diện")</f>
        <v>Thể tích của khối đa diện</v>
      </c>
      <c r="D10" s="39" t="str">
        <f aca="false">IFERROR(__xludf.dummyfunction("""COMPUTED_VALUE"""),"Nguyễn Thanh Tùng")</f>
        <v>Nguyễn Thanh Tùng</v>
      </c>
      <c r="E10" s="40" t="n">
        <f aca="false">IFERROR(__xludf.dummyfunction("""COMPUTED_VALUE"""),46134)</f>
        <v>46134</v>
      </c>
      <c r="F10" s="41" t="n">
        <f aca="false">IFERROR(__xludf.dummyfunction("""COMPUTED_VALUE"""),4)</f>
        <v>4</v>
      </c>
      <c r="G10" s="37" t="str">
        <f aca="false">IFERROR(__xludf.dummyfunction("""COMPUTED_VALUE"""),"20:00-22:00")</f>
        <v>20:00-22:00</v>
      </c>
      <c r="H10" s="42" t="str">
        <f aca="false">IFERROR(__xludf.dummyfunction("""COMPUTED_VALUE"""),"https://hocmai.vn/mod/scorm/view_file.php?id=179920")</f>
        <v>https://hocmai.vn/mod/scorm/view_file.php?id=179920</v>
      </c>
      <c r="I10" s="42" t="str">
        <f aca="false">IFERROR(__xludf.dummyfunction("""COMPUTED_VALUE"""),"https://hocmai.vn/mod/scorm/view_file.php?id=179955")</f>
        <v>https://hocmai.vn/mod/scorm/view_file.php?id=179955</v>
      </c>
      <c r="J10" s="55" t="str">
        <f aca="false">IFERROR(__xludf.dummyfunction("""COMPUTED_VALUE"""),"https://drive.google.com/drive/folders/1DbLJ9b34GfUr-wesgEFZKBUqvYDCFa_M?usp=drive_link")</f>
        <v>https://drive.google.com/drive/folders/1DbLJ9b34GfUr-wesgEFZKBUqvYDCFa_M?usp=drive_link</v>
      </c>
      <c r="K10" s="37" t="str">
        <f aca="false">IFERROR(__xludf.dummyfunction("""COMPUTED_VALUE"""),"Chientd2")</f>
        <v>Chientd2</v>
      </c>
      <c r="L10" s="37" t="str">
        <f aca="false">IFERROR(__xludf.dummyfunction("""COMPUTED_VALUE"""),"Tưởng Thị Huyền Trang")</f>
        <v>Tưởng Thị Huyền Trang</v>
      </c>
      <c r="M10" s="43" t="str">
        <f aca="false">IFERROR(__xludf.dummyfunction("""COMPUTED_VALUE"""),"https://hocmai.sharepoint.com/Education_Development/Lists/San_xuat_video/DispForm.aspx?ID=12145")</f>
        <v>https://hocmai.sharepoint.com/Education_Development/Lists/San_xuat_video/DispForm.aspx?ID=12145</v>
      </c>
      <c r="N10" s="41" t="n">
        <f aca="false">IFERROR(__xludf.dummyfunction("""COMPUTED_VALUE"""),3312)</f>
        <v>3312</v>
      </c>
      <c r="O10" s="41" t="n">
        <f aca="false">IFERROR(__xludf.dummyfunction("""COMPUTED_VALUE"""),166587)</f>
        <v>166587</v>
      </c>
      <c r="P10" s="41"/>
      <c r="Q10" s="41" t="n">
        <f aca="false">IFERROR(__xludf.dummyfunction("""COMPUTED_VALUE"""),7891)</f>
        <v>7891</v>
      </c>
      <c r="R10" s="41"/>
      <c r="S10" s="41"/>
      <c r="T10" s="41" t="n">
        <f aca="false">IFERROR(__xludf.dummyfunction("""COMPUTED_VALUE"""),7892)</f>
        <v>7892</v>
      </c>
      <c r="U10" s="41" t="n">
        <f aca="false">IFERROR(__xludf.dummyfunction("""COMPUTED_VALUE"""),22418)</f>
        <v>22418</v>
      </c>
      <c r="V10" s="40" t="n">
        <f aca="false">IFERROR(__xludf.dummyfunction("""COMPUTED_VALUE"""),46137)</f>
        <v>46137</v>
      </c>
      <c r="W10" s="39" t="str">
        <f aca="false">IFERROR(__xludf.dummyfunction("""COMPUTED_VALUE"""),"Hoàn thành XB")</f>
        <v>Hoàn thành XB</v>
      </c>
      <c r="X10" s="41" t="str">
        <f aca="false">IFERROR(__xludf.dummyfunction("""COMPUTED_VALUE"""),"Chientd2")</f>
        <v>Chientd2</v>
      </c>
      <c r="Y10" s="44"/>
      <c r="Z10" s="56" t="str">
        <f aca="false">IFERROR(__xludf.dummyfunction("""COMPUTED_VALUE"""),"https://s3.evgcloud.net/livestream/video/mp4/2026/04/22/336_33675f560e9966149c5bb6da16e6905fa9f_RELAY-20260422195858-cv.mp4")</f>
        <v>https://s3.evgcloud.net/livestream/video/mp4/2026/04/22/336_33675f560e9966149c5bb6da16e6905fa9f_RELAY-20260422195858-cv.mp4</v>
      </c>
      <c r="AA10" s="57" t="str">
        <f aca="false">IFERROR(__xludf.dummyfunction("""COMPUTED_VALUE"""),"/hau_ky_s5_new/2026-2027_s5/Toan/Lop_12/Nen_tang_Toan/gv.tungnt/6/01
/hau_ky_s5_new/2026-2027_s5/Toan/Lop_12/Nen_tang_Toan/gv.tungnt/6/02
/hau_ky_s5_new/2026-2027_s5/Toan/Lop_12/Nen_tang_Toan/gv.tungnt/6/03
/hau_ky_s5_new/2026-2027_s5/Toan/Lop_12/Nen_tang"&amp;"_Toan/gv.tungnt/6/04
/hau_ky_s5_new/2026-2027_s5/Toan/Lop_12/Nen_tang_Toan/gv.tungnt/6/05")</f>
        <v>/hau_ky_s5_new/2026-2027_s5/Toan/Lop_12/Nen_tang_Toan/gv.tungnt/6/01
/hau_ky_s5_new/2026-2027_s5/Toan/Lop_12/Nen_tang_Toan/gv.tungnt/6/02
/hau_ky_s5_new/2026-2027_s5/Toan/Lop_12/Nen_tang_Toan/gv.tungnt/6/03
/hau_ky_s5_new/2026-2027_s5/Toan/Lop_12/Nen_tang_Toan/gv.tungnt/6/04
/hau_ky_s5_new/2026-2027_s5/Toan/Lop_12/Nen_tang_Toan/gv.tungnt/6/05</v>
      </c>
      <c r="AB10" s="41" t="n">
        <f aca="false">IFERROR(__xludf.dummyfunction("""COMPUTED_VALUE"""),4)</f>
        <v>4</v>
      </c>
      <c r="AC10" s="57" t="str">
        <f aca="false">IFERROR(__xludf.dummyfunction("""COMPUTED_VALUE"""),"nentangtoan")</f>
        <v>nentangtoan</v>
      </c>
      <c r="AD10" s="46"/>
      <c r="AE10" s="46"/>
      <c r="AF10" s="47" t="str">
        <f aca="false">IFERROR(__xludf.dummyfunction("""COMPUTED_VALUE"""),"lophoctoan-946134")</f>
        <v>lophoctoan-946134</v>
      </c>
      <c r="AG10" s="46" t="str">
        <f aca="false">IFERROR(__xludf.dummyfunction("""COMPUTED_VALUE"""),"")</f>
        <v/>
      </c>
      <c r="AH10" s="53" t="b">
        <f aca="false">IFERROR(__xludf.dummyfunction("""COMPUTED_VALUE"""),TRUE())</f>
        <v>1</v>
      </c>
      <c r="AI10" s="35"/>
      <c r="AJ10" s="35"/>
      <c r="AK10" s="35"/>
      <c r="AL10" s="35"/>
      <c r="AM10" s="35"/>
      <c r="AN10" s="35"/>
      <c r="AO10" s="46"/>
    </row>
    <row r="11" customFormat="false" ht="15.75" hidden="false" customHeight="true" outlineLevel="0" collapsed="false">
      <c r="A11" s="37" t="str">
        <f aca="false">IFERROR(__xludf.dummyfunction("""COMPUTED_VALUE"""),"Toán")</f>
        <v>Toán</v>
      </c>
      <c r="B11" s="37" t="str">
        <f aca="false">IFERROR(__xludf.dummyfunction("""COMPUTED_VALUE"""),"NT_T_07")</f>
        <v>NT_T_07</v>
      </c>
      <c r="C11" s="59" t="str">
        <f aca="false">IFERROR(__xludf.dummyfunction("""COMPUTED_VALUE"""),"Dãy số, cấp số cộng, cấp số nhân")</f>
        <v>Dãy số, cấp số cộng, cấp số nhân</v>
      </c>
      <c r="D11" s="39" t="str">
        <f aca="false">IFERROR(__xludf.dummyfunction("""COMPUTED_VALUE"""),"Nguyễn Thanh Tùng")</f>
        <v>Nguyễn Thanh Tùng</v>
      </c>
      <c r="E11" s="40" t="n">
        <f aca="false">IFERROR(__xludf.dummyfunction("""COMPUTED_VALUE"""),46137)</f>
        <v>46137</v>
      </c>
      <c r="F11" s="41" t="n">
        <f aca="false">IFERROR(__xludf.dummyfunction("""COMPUTED_VALUE"""),7)</f>
        <v>7</v>
      </c>
      <c r="G11" s="37" t="str">
        <f aca="false">IFERROR(__xludf.dummyfunction("""COMPUTED_VALUE"""),"20:00-22:00")</f>
        <v>20:00-22:00</v>
      </c>
      <c r="H11" s="42" t="str">
        <f aca="false">IFERROR(__xludf.dummyfunction("""COMPUTED_VALUE"""),"https://hocmai.vn/mod/scorm/view_file.php?id=180003")</f>
        <v>https://hocmai.vn/mod/scorm/view_file.php?id=180003</v>
      </c>
      <c r="I11" s="42" t="str">
        <f aca="false">IFERROR(__xludf.dummyfunction("""COMPUTED_VALUE"""),"https://hocmai.vn/mod/scorm/view_file.php?id=180011")</f>
        <v>https://hocmai.vn/mod/scorm/view_file.php?id=180011</v>
      </c>
      <c r="J11" s="42" t="str">
        <f aca="false">IFERROR(__xludf.dummyfunction("""COMPUTED_VALUE"""),"https://drive.google.com/drive/folders/13bqChLqEsjd6J_9-2kM5bpISg1_-BJHL?usp=drive_link")</f>
        <v>https://drive.google.com/drive/folders/13bqChLqEsjd6J_9-2kM5bpISg1_-BJHL?usp=drive_link</v>
      </c>
      <c r="K11" s="37" t="str">
        <f aca="false">IFERROR(__xludf.dummyfunction("""COMPUTED_VALUE"""),"Chientd2")</f>
        <v>Chientd2</v>
      </c>
      <c r="L11" s="37" t="str">
        <f aca="false">IFERROR(__xludf.dummyfunction("""COMPUTED_VALUE"""),"Tưởng Thị Huyền Trang")</f>
        <v>Tưởng Thị Huyền Trang</v>
      </c>
      <c r="M11" s="43" t="str">
        <f aca="false">IFERROR(__xludf.dummyfunction("""COMPUTED_VALUE"""),"https://hocmai.sharepoint.com/Education_Development/Lists/San_xuat_video/DispForm.aspx?ID=12146")</f>
        <v>https://hocmai.sharepoint.com/Education_Development/Lists/San_xuat_video/DispForm.aspx?ID=12146</v>
      </c>
      <c r="N11" s="41" t="n">
        <f aca="false">IFERROR(__xludf.dummyfunction("""COMPUTED_VALUE"""),3312)</f>
        <v>3312</v>
      </c>
      <c r="O11" s="41" t="n">
        <f aca="false">IFERROR(__xludf.dummyfunction("""COMPUTED_VALUE"""),166588)</f>
        <v>166588</v>
      </c>
      <c r="P11" s="41"/>
      <c r="Q11" s="41" t="n">
        <f aca="false">IFERROR(__xludf.dummyfunction("""COMPUTED_VALUE"""),7893)</f>
        <v>7893</v>
      </c>
      <c r="R11" s="41"/>
      <c r="S11" s="41"/>
      <c r="T11" s="41" t="n">
        <f aca="false">IFERROR(__xludf.dummyfunction("""COMPUTED_VALUE"""),7894)</f>
        <v>7894</v>
      </c>
      <c r="U11" s="41" t="n">
        <f aca="false">IFERROR(__xludf.dummyfunction("""COMPUTED_VALUE"""),22781)</f>
        <v>22781</v>
      </c>
      <c r="V11" s="40" t="n">
        <f aca="false">IFERROR(__xludf.dummyfunction("""COMPUTED_VALUE"""),46140)</f>
        <v>46140</v>
      </c>
      <c r="W11" s="39" t="str">
        <f aca="false">IFERROR(__xludf.dummyfunction("""COMPUTED_VALUE"""),"Hoàn thành XB")</f>
        <v>Hoàn thành XB</v>
      </c>
      <c r="X11" s="41" t="str">
        <f aca="false">IFERROR(__xludf.dummyfunction("""COMPUTED_VALUE"""),"Chientd2")</f>
        <v>Chientd2</v>
      </c>
      <c r="Y11" s="44"/>
      <c r="Z11" s="56" t="str">
        <f aca="false">IFERROR(__xludf.dummyfunction("""COMPUTED_VALUE"""),"https://s3.evgcloud.net/livestream/video/mp4/2026/04/25/336_33675f560e9966149c5bb6da16e6905fa9f_RELAY-20260425195542-cv.mp4")</f>
        <v>https://s3.evgcloud.net/livestream/video/mp4/2026/04/25/336_33675f560e9966149c5bb6da16e6905fa9f_RELAY-20260425195542-cv.mp4</v>
      </c>
      <c r="AA11" s="57" t="str">
        <f aca="false">IFERROR(__xludf.dummyfunction("""COMPUTED_VALUE"""),"/hau_ky_s5_new/2026-2027_s5/Toan/Lop_12/Nen_tang_Toan/gv.tungnt/7/01
/hau_ky_s5_new/2026-2027_s5/Toan/Lop_12/Nen_tang_Toan/gv.tungnt/7/02
/hau_ky_s5_new/2026-2027_s5/Toan/Lop_12/Nen_tang_Toan/gv.tungnt/7/03
/hau_ky_s5_new/2026-2027_s5/Toan/Lop_12/Nen_tang"&amp;"_Toan/gv.tungnt/7/04
/hau_ky_s5_new/2026-2027_s5/Toan/Lop_12/Nen_tang_Toan/gv.tungnt/7/05
/hau_ky_s5_new/2026-2027_s5/Toan/Lop_12/Nen_tang_Toan/gv.tungnt/7/06")</f>
        <v>/hau_ky_s5_new/2026-2027_s5/Toan/Lop_12/Nen_tang_Toan/gv.tungnt/7/01
/hau_ky_s5_new/2026-2027_s5/Toan/Lop_12/Nen_tang_Toan/gv.tungnt/7/02
/hau_ky_s5_new/2026-2027_s5/Toan/Lop_12/Nen_tang_Toan/gv.tungnt/7/03
/hau_ky_s5_new/2026-2027_s5/Toan/Lop_12/Nen_tang_Toan/gv.tungnt/7/04
/hau_ky_s5_new/2026-2027_s5/Toan/Lop_12/Nen_tang_Toan/gv.tungnt/7/05
/hau_ky_s5_new/2026-2027_s5/Toan/Lop_12/Nen_tang_Toan/gv.tungnt/7/06</v>
      </c>
      <c r="AB11" s="41" t="n">
        <f aca="false">IFERROR(__xludf.dummyfunction("""COMPUTED_VALUE"""),4)</f>
        <v>4</v>
      </c>
      <c r="AC11" s="57" t="str">
        <f aca="false">IFERROR(__xludf.dummyfunction("""COMPUTED_VALUE"""),"nentangtoan")</f>
        <v>nentangtoan</v>
      </c>
      <c r="AD11" s="46"/>
      <c r="AE11" s="46"/>
      <c r="AF11" s="47" t="str">
        <f aca="false">IFERROR(__xludf.dummyfunction("""COMPUTED_VALUE"""),"lophoctoan-946137")</f>
        <v>lophoctoan-946137</v>
      </c>
      <c r="AG11" s="46" t="str">
        <f aca="false">IFERROR(__xludf.dummyfunction("""COMPUTED_VALUE"""),"")</f>
        <v/>
      </c>
      <c r="AH11" s="53" t="b">
        <f aca="false">IFERROR(__xludf.dummyfunction("""COMPUTED_VALUE"""),TRUE())</f>
        <v>1</v>
      </c>
      <c r="AI11" s="35"/>
      <c r="AJ11" s="35"/>
      <c r="AK11" s="35"/>
      <c r="AL11" s="35"/>
      <c r="AM11" s="35"/>
      <c r="AN11" s="35"/>
      <c r="AO11" s="46"/>
    </row>
    <row r="12" customFormat="false" ht="15.75" hidden="false" customHeight="true" outlineLevel="0" collapsed="false">
      <c r="A12" s="37" t="str">
        <f aca="false">IFERROR(__xludf.dummyfunction("""COMPUTED_VALUE"""),"Toán")</f>
        <v>Toán</v>
      </c>
      <c r="B12" s="37" t="str">
        <f aca="false">IFERROR(__xludf.dummyfunction("""COMPUTED_VALUE"""),"NT_N_02")</f>
        <v>NT_N_02</v>
      </c>
      <c r="C12" s="38" t="str">
        <f aca="false">IFERROR(__xludf.dummyfunction("""COMPUTED_VALUE"""),"Khoảng cách trong không gian - Thể tích của khối đa diện")</f>
        <v>Khoảng cách trong không gian - Thể tích của khối đa diện</v>
      </c>
      <c r="D12" s="39" t="str">
        <f aca="false">IFERROR(__xludf.dummyfunction("""COMPUTED_VALUE"""),"Nguyễn Hoài Nam")</f>
        <v>Nguyễn Hoài Nam</v>
      </c>
      <c r="E12" s="40" t="n">
        <f aca="false">IFERROR(__xludf.dummyfunction("""COMPUTED_VALUE"""),46140)</f>
        <v>46140</v>
      </c>
      <c r="F12" s="41" t="n">
        <f aca="false">IFERROR(__xludf.dummyfunction("""COMPUTED_VALUE"""),3)</f>
        <v>3</v>
      </c>
      <c r="G12" s="37" t="str">
        <f aca="false">IFERROR(__xludf.dummyfunction("""COMPUTED_VALUE"""),"21:00-22:30")</f>
        <v>21:00-22:30</v>
      </c>
      <c r="H12" s="42" t="str">
        <f aca="false">IFERROR(__xludf.dummyfunction("""COMPUTED_VALUE"""),"https://hocmai.vn/mod/scorm/view_file.php?inpopup=true&amp;id=180033")</f>
        <v>https://hocmai.vn/mod/scorm/view_file.php?inpopup=true&amp;id=180033</v>
      </c>
      <c r="I12" s="42" t="str">
        <f aca="false">IFERROR(__xludf.dummyfunction("""COMPUTED_VALUE"""),"https://hocmai.vn/mod/scorm/view_file.php?inpopup=true&amp;id=180040")</f>
        <v>https://hocmai.vn/mod/scorm/view_file.php?inpopup=true&amp;id=180040</v>
      </c>
      <c r="J12" s="37"/>
      <c r="K12" s="37" t="str">
        <f aca="false">IFERROR(__xludf.dummyfunction("""COMPUTED_VALUE"""),"thinhnh")</f>
        <v>thinhnh</v>
      </c>
      <c r="L12" s="37" t="str">
        <f aca="false">IFERROR(__xludf.dummyfunction("""COMPUTED_VALUE"""),"Lê Quốc Việt")</f>
        <v>Lê Quốc Việt</v>
      </c>
      <c r="M12" s="43" t="str">
        <f aca="false">IFERROR(__xludf.dummyfunction("""COMPUTED_VALUE"""),"https://hocmai.sharepoint.com/Education_Development/Lists/San_xuat_video/DispForm.aspx?ID=12189")</f>
        <v>https://hocmai.sharepoint.com/Education_Development/Lists/San_xuat_video/DispForm.aspx?ID=12189</v>
      </c>
      <c r="N12" s="58" t="n">
        <f aca="false">IFERROR(__xludf.dummyfunction("""COMPUTED_VALUE"""),3313)</f>
        <v>3313</v>
      </c>
      <c r="O12" s="41" t="n">
        <f aca="false">IFERROR(__xludf.dummyfunction("""COMPUTED_VALUE"""),166627)</f>
        <v>166627</v>
      </c>
      <c r="P12" s="41"/>
      <c r="Q12" s="41" t="n">
        <f aca="false">IFERROR(__xludf.dummyfunction("""COMPUTED_VALUE"""),7999)</f>
        <v>7999</v>
      </c>
      <c r="R12" s="41"/>
      <c r="S12" s="41"/>
      <c r="T12" s="41" t="n">
        <f aca="false">IFERROR(__xludf.dummyfunction("""COMPUTED_VALUE"""),8000)</f>
        <v>8000</v>
      </c>
      <c r="U12" s="41" t="n">
        <f aca="false">IFERROR(__xludf.dummyfunction("""COMPUTED_VALUE"""),22809)</f>
        <v>22809</v>
      </c>
      <c r="V12" s="40" t="n">
        <f aca="false">IFERROR(__xludf.dummyfunction("""COMPUTED_VALUE"""),46140)</f>
        <v>46140</v>
      </c>
      <c r="W12" s="39" t="str">
        <f aca="false">IFERROR(__xludf.dummyfunction("""COMPUTED_VALUE"""),"Hoàn thành XB")</f>
        <v>Hoàn thành XB</v>
      </c>
      <c r="X12" s="41" t="str">
        <f aca="false">IFERROR(__xludf.dummyfunction("""COMPUTED_VALUE"""),"thinhnh")</f>
        <v>thinhnh</v>
      </c>
      <c r="Y12" s="44"/>
      <c r="Z12" s="56" t="str">
        <f aca="false">IFERROR(__xludf.dummyfunction("""COMPUTED_VALUE"""),"https://s3.evgcloud.net/livestream/video/mp4/2026/04/29/336_33675f560e9966149c5bb6da16e6905fa9f_RELAY-20260428212501-cv.mp4")</f>
        <v>https://s3.evgcloud.net/livestream/video/mp4/2026/04/29/336_33675f560e9966149c5bb6da16e6905fa9f_RELAY-20260428212501-cv.mp4</v>
      </c>
      <c r="AA12" s="57" t="str">
        <f aca="false">IFERROR(__xludf.dummyfunction("""COMPUTED_VALUE"""),"/hau_ky_s5_new/2026-2027_s5/Toan/Lop_12/Nen_tang_Toan/gv.namnh/2/01
/hau_ky_s5_new/2026-2027_s5/Toan/Lop_12/Nen_tang_Toan/gv.namnh/2/02
/hau_ky_s5_new/2026-2027_s5/Toan/Lop_12/Nen_tang_Toan/gv.namnh/2/03
/hau_ky_s5_new/2026-2027_s5/Toan/Lop_12/Nen_tang_To"&amp;"an/gv.namnh/2/04
/hau_ky_s5_new/2026-2027_s5/Toan/Lop_12/Nen_tang_Toan/gv.namnh/2/05
/hau_ky_s5_new/2026-2027_s5/Toan/Lop_12/Nen_tang_Toan/gv.namnh/2/06")</f>
        <v>/hau_ky_s5_new/2026-2027_s5/Toan/Lop_12/Nen_tang_Toan/gv.namnh/2/01
/hau_ky_s5_new/2026-2027_s5/Toan/Lop_12/Nen_tang_Toan/gv.namnh/2/02
/hau_ky_s5_new/2026-2027_s5/Toan/Lop_12/Nen_tang_Toan/gv.namnh/2/03
/hau_ky_s5_new/2026-2027_s5/Toan/Lop_12/Nen_tang_Toan/gv.namnh/2/04
/hau_ky_s5_new/2026-2027_s5/Toan/Lop_12/Nen_tang_Toan/gv.namnh/2/05
/hau_ky_s5_new/2026-2027_s5/Toan/Lop_12/Nen_tang_Toan/gv.namnh/2/06</v>
      </c>
      <c r="AB12" s="41" t="n">
        <f aca="false">IFERROR(__xludf.dummyfunction("""COMPUTED_VALUE"""),4)</f>
        <v>4</v>
      </c>
      <c r="AC12" s="57"/>
      <c r="AD12" s="46" t="str">
        <f aca="false">IFERROR(__xludf.dummyfunction("""COMPUTED_VALUE"""),"nentangtoan_thaynam")</f>
        <v>nentangtoan_thaynam</v>
      </c>
      <c r="AE12" s="46"/>
      <c r="AF12" s="47" t="str">
        <f aca="false">IFERROR(__xludf.dummyfunction("""COMPUTED_VALUE"""),"lophoctoan-946140")</f>
        <v>lophoctoan-946140</v>
      </c>
      <c r="AG12" s="46" t="str">
        <f aca="false">IFERROR(__xludf.dummyfunction("""COMPUTED_VALUE"""),"")</f>
        <v/>
      </c>
      <c r="AH12" s="53" t="b">
        <f aca="false">IFERROR(__xludf.dummyfunction("""COMPUTED_VALUE"""),TRUE())</f>
        <v>1</v>
      </c>
      <c r="AI12" s="35"/>
      <c r="AJ12" s="35"/>
      <c r="AK12" s="35"/>
      <c r="AL12" s="35"/>
      <c r="AM12" s="35"/>
      <c r="AN12" s="35"/>
      <c r="AO12" s="46"/>
    </row>
    <row r="13" customFormat="false" ht="15.75" hidden="false" customHeight="true" outlineLevel="0" collapsed="false">
      <c r="A13" s="37" t="str">
        <f aca="false">IFERROR(__xludf.dummyfunction("""COMPUTED_VALUE"""),"Toán")</f>
        <v>Toán</v>
      </c>
      <c r="B13" s="37" t="str">
        <f aca="false">IFERROR(__xludf.dummyfunction("""COMPUTED_VALUE"""),"NT_T_08")</f>
        <v>NT_T_08</v>
      </c>
      <c r="C13" s="38" t="str">
        <f aca="false">IFERROR(__xludf.dummyfunction("""COMPUTED_VALUE"""),"Phương trình, bất phương trình mũ – logarit dạng cơ bản")</f>
        <v>Phương trình, bất phương trình mũ – logarit dạng cơ bản</v>
      </c>
      <c r="D13" s="39" t="str">
        <f aca="false">IFERROR(__xludf.dummyfunction("""COMPUTED_VALUE"""),"Nguyễn Thanh Tùng")</f>
        <v>Nguyễn Thanh Tùng</v>
      </c>
      <c r="E13" s="40" t="n">
        <f aca="false">IFERROR(__xludf.dummyfunction("""COMPUTED_VALUE"""),46141)</f>
        <v>46141</v>
      </c>
      <c r="F13" s="41" t="n">
        <f aca="false">IFERROR(__xludf.dummyfunction("""COMPUTED_VALUE"""),4)</f>
        <v>4</v>
      </c>
      <c r="G13" s="37" t="str">
        <f aca="false">IFERROR(__xludf.dummyfunction("""COMPUTED_VALUE"""),"20:00-22:00")</f>
        <v>20:00-22:00</v>
      </c>
      <c r="H13" s="42" t="str">
        <f aca="false">IFERROR(__xludf.dummyfunction("""COMPUTED_VALUE"""),"https://hocmai.vn/mod/scorm/view_file.php?id=180020")</f>
        <v>https://hocmai.vn/mod/scorm/view_file.php?id=180020</v>
      </c>
      <c r="I13" s="42" t="str">
        <f aca="false">IFERROR(__xludf.dummyfunction("""COMPUTED_VALUE"""),"https://hocmai.vn/mod/scorm/view_file.php?id=180027")</f>
        <v>https://hocmai.vn/mod/scorm/view_file.php?id=180027</v>
      </c>
      <c r="J13" s="42" t="str">
        <f aca="false">IFERROR(__xludf.dummyfunction("""COMPUTED_VALUE"""),"https://drive.google.com/drive/folders/1SrhX0P8LFpuSfjj8sL52PlP7AguTZgoW?usp=drive_link")</f>
        <v>https://drive.google.com/drive/folders/1SrhX0P8LFpuSfjj8sL52PlP7AguTZgoW?usp=drive_link</v>
      </c>
      <c r="K13" s="37" t="str">
        <f aca="false">IFERROR(__xludf.dummyfunction("""COMPUTED_VALUE"""),"Chientd2")</f>
        <v>Chientd2</v>
      </c>
      <c r="L13" s="37" t="str">
        <f aca="false">IFERROR(__xludf.dummyfunction("""COMPUTED_VALUE"""),"Tưởng Thị Huyền Trang")</f>
        <v>Tưởng Thị Huyền Trang</v>
      </c>
      <c r="M13" s="43" t="str">
        <f aca="false">IFERROR(__xludf.dummyfunction("""COMPUTED_VALUE"""),"https://hocmai.sharepoint.com/Education_Development/Lists/San_xuat_video/DispForm.aspx?ID=12147")</f>
        <v>https://hocmai.sharepoint.com/Education_Development/Lists/San_xuat_video/DispForm.aspx?ID=12147</v>
      </c>
      <c r="N13" s="41" t="n">
        <f aca="false">IFERROR(__xludf.dummyfunction("""COMPUTED_VALUE"""),3312)</f>
        <v>3312</v>
      </c>
      <c r="O13" s="41" t="n">
        <f aca="false">IFERROR(__xludf.dummyfunction("""COMPUTED_VALUE"""),166589)</f>
        <v>166589</v>
      </c>
      <c r="P13" s="41"/>
      <c r="Q13" s="41" t="n">
        <f aca="false">IFERROR(__xludf.dummyfunction("""COMPUTED_VALUE"""),7895)</f>
        <v>7895</v>
      </c>
      <c r="R13" s="41"/>
      <c r="S13" s="41"/>
      <c r="T13" s="41" t="n">
        <f aca="false">IFERROR(__xludf.dummyfunction("""COMPUTED_VALUE"""),7896)</f>
        <v>7896</v>
      </c>
      <c r="U13" s="41" t="n">
        <f aca="false">IFERROR(__xludf.dummyfunction("""COMPUTED_VALUE"""),22799)</f>
        <v>22799</v>
      </c>
      <c r="V13" s="40" t="n">
        <f aca="false">IFERROR(__xludf.dummyfunction("""COMPUTED_VALUE"""),46144)</f>
        <v>46144</v>
      </c>
      <c r="W13" s="39" t="str">
        <f aca="false">IFERROR(__xludf.dummyfunction("""COMPUTED_VALUE"""),"Hoàn thành XB")</f>
        <v>Hoàn thành XB</v>
      </c>
      <c r="X13" s="41" t="str">
        <f aca="false">IFERROR(__xludf.dummyfunction("""COMPUTED_VALUE"""),"Chientd2")</f>
        <v>Chientd2</v>
      </c>
      <c r="Y13" s="44"/>
      <c r="Z13" s="56" t="str">
        <f aca="false">IFERROR(__xludf.dummyfunction("""COMPUTED_VALUE"""),"https://s3.evgcloud.net/livestream/video/mp4/2026/04/29/336_33675f560e9966149c5bb6da16e6905fa9f_RELAY-20260429195834-cv.mp4")</f>
        <v>https://s3.evgcloud.net/livestream/video/mp4/2026/04/29/336_33675f560e9966149c5bb6da16e6905fa9f_RELAY-20260429195834-cv.mp4</v>
      </c>
      <c r="AA13" s="57" t="str">
        <f aca="false">IFERROR(__xludf.dummyfunction("""COMPUTED_VALUE"""),"/hau_ky_s5_new/2026-2027_s5/Toan/Lop_12/Nen_tang_Toan/gv.tungnt/8/01
/hau_ky_s5_new/2026-2027_s5/Toan/Lop_12/Nen_tang_Toan/gv.tungnt/8/02
/hau_ky_s5_new/2026-2027_s5/Toan/Lop_12/Nen_tang_Toan/gv.tungnt/8/03
/hau_ky_s5_new/2026-2027_s5/Toan/Lop_12/Nen_tang"&amp;"_Toan/gv.tungnt/8/04
/hau_ky_s5_new/2026-2027_s5/Toan/Lop_12/Nen_tang_Toan/gv.tungnt/8/05
/hau_ky_s5_new/2026-2027_s5/Toan/Lop_12/Nen_tang_Toan/gv.tungnt/8/06
/hau_ky_s5_new/2026-2027_s5/Toan/Lop_12/Nen_tang_Toan/gv.tungnt/8/07
/hau_ky_s5_new/2026-2027_s5"&amp;"/Toan/Lop_12/Nen_tang_Toan/gv.tungnt/8/08")</f>
        <v>/hau_ky_s5_new/2026-2027_s5/Toan/Lop_12/Nen_tang_Toan/gv.tungnt/8/01
/hau_ky_s5_new/2026-2027_s5/Toan/Lop_12/Nen_tang_Toan/gv.tungnt/8/02
/hau_ky_s5_new/2026-2027_s5/Toan/Lop_12/Nen_tang_Toan/gv.tungnt/8/03
/hau_ky_s5_new/2026-2027_s5/Toan/Lop_12/Nen_tang_Toan/gv.tungnt/8/04
/hau_ky_s5_new/2026-2027_s5/Toan/Lop_12/Nen_tang_Toan/gv.tungnt/8/05
/hau_ky_s5_new/2026-2027_s5/Toan/Lop_12/Nen_tang_Toan/gv.tungnt/8/06
/hau_ky_s5_new/2026-2027_s5/Toan/Lop_12/Nen_tang_Toan/gv.tungnt/8/07
/hau_ky_s5_new/2026-2027_s5/Toan/Lop_12/Nen_tang_Toan/gv.tungnt/8/08</v>
      </c>
      <c r="AB13" s="41" t="n">
        <f aca="false">IFERROR(__xludf.dummyfunction("""COMPUTED_VALUE"""),4)</f>
        <v>4</v>
      </c>
      <c r="AC13" s="57" t="str">
        <f aca="false">IFERROR(__xludf.dummyfunction("""COMPUTED_VALUE"""),"nentangtoan")</f>
        <v>nentangtoan</v>
      </c>
      <c r="AD13" s="46"/>
      <c r="AE13" s="46"/>
      <c r="AF13" s="47" t="str">
        <f aca="false">IFERROR(__xludf.dummyfunction("""COMPUTED_VALUE"""),"lophoctoan-946141")</f>
        <v>lophoctoan-946141</v>
      </c>
      <c r="AG13" s="46" t="str">
        <f aca="false">IFERROR(__xludf.dummyfunction("""COMPUTED_VALUE"""),"")</f>
        <v/>
      </c>
      <c r="AH13" s="53" t="b">
        <f aca="false">IFERROR(__xludf.dummyfunction("""COMPUTED_VALUE"""),TRUE())</f>
        <v>1</v>
      </c>
      <c r="AI13" s="35"/>
      <c r="AJ13" s="35"/>
      <c r="AK13" s="35"/>
      <c r="AL13" s="35"/>
      <c r="AM13" s="35"/>
      <c r="AN13" s="35"/>
      <c r="AO13" s="46"/>
    </row>
    <row r="14" customFormat="false" ht="15.75" hidden="false" customHeight="true" outlineLevel="0" collapsed="false">
      <c r="A14" s="37" t="str">
        <f aca="false">IFERROR(__xludf.dummyfunction("""COMPUTED_VALUE"""),"Toán")</f>
        <v>Toán</v>
      </c>
      <c r="B14" s="37" t="str">
        <f aca="false">IFERROR(__xludf.dummyfunction("""COMPUTED_VALUE"""),"NT_T_09")</f>
        <v>NT_T_09</v>
      </c>
      <c r="C14" s="38" t="str">
        <f aca="false">IFERROR(__xludf.dummyfunction("""COMPUTED_VALUE"""),"Các bài toán lãi suất và tăng trưởng")</f>
        <v>Các bài toán lãi suất và tăng trưởng</v>
      </c>
      <c r="D14" s="39" t="str">
        <f aca="false">IFERROR(__xludf.dummyfunction("""COMPUTED_VALUE"""),"Nguyễn Thanh Tùng")</f>
        <v>Nguyễn Thanh Tùng</v>
      </c>
      <c r="E14" s="40" t="n">
        <f aca="false">IFERROR(__xludf.dummyfunction("""COMPUTED_VALUE"""),46144)</f>
        <v>46144</v>
      </c>
      <c r="F14" s="41" t="n">
        <f aca="false">IFERROR(__xludf.dummyfunction("""COMPUTED_VALUE"""),7)</f>
        <v>7</v>
      </c>
      <c r="G14" s="37" t="str">
        <f aca="false">IFERROR(__xludf.dummyfunction("""COMPUTED_VALUE"""),"20:00-22:00")</f>
        <v>20:00-22:00</v>
      </c>
      <c r="H14" s="42" t="str">
        <f aca="false">IFERROR(__xludf.dummyfunction("""COMPUTED_VALUE"""),"https://hocmai.vn/mod/scorm/view_file.php?id=180049")</f>
        <v>https://hocmai.vn/mod/scorm/view_file.php?id=180049</v>
      </c>
      <c r="I14" s="42" t="str">
        <f aca="false">IFERROR(__xludf.dummyfunction("""COMPUTED_VALUE"""),"https://hocmai.vn/mod/scorm/view_file.php?id=180029")</f>
        <v>https://hocmai.vn/mod/scorm/view_file.php?id=180029</v>
      </c>
      <c r="J14" s="42" t="str">
        <f aca="false">IFERROR(__xludf.dummyfunction("""COMPUTED_VALUE"""),"https://drive.google.com/drive/folders/1KTWBEmjJ46Mw-BVWSU_L-xmKo5r5FG35?usp=drive_link")</f>
        <v>https://drive.google.com/drive/folders/1KTWBEmjJ46Mw-BVWSU_L-xmKo5r5FG35?usp=drive_link</v>
      </c>
      <c r="K14" s="37" t="str">
        <f aca="false">IFERROR(__xludf.dummyfunction("""COMPUTED_VALUE"""),"Chientd2")</f>
        <v>Chientd2</v>
      </c>
      <c r="L14" s="37" t="str">
        <f aca="false">IFERROR(__xludf.dummyfunction("""COMPUTED_VALUE"""),"Tưởng Thị Huyền Trang")</f>
        <v>Tưởng Thị Huyền Trang</v>
      </c>
      <c r="M14" s="60" t="str">
        <f aca="false">IFERROR(__xludf.dummyfunction("""COMPUTED_VALUE"""),"https://hocmai.sharepoint.com/Education_Development/Lists/San_xuat_video/DispForm.aspx?ID=12148")</f>
        <v>https://hocmai.sharepoint.com/Education_Development/Lists/San_xuat_video/DispForm.aspx?ID=12148</v>
      </c>
      <c r="N14" s="41" t="n">
        <f aca="false">IFERROR(__xludf.dummyfunction("""COMPUTED_VALUE"""),3312)</f>
        <v>3312</v>
      </c>
      <c r="O14" s="41" t="n">
        <f aca="false">IFERROR(__xludf.dummyfunction("""COMPUTED_VALUE"""),166590)</f>
        <v>166590</v>
      </c>
      <c r="P14" s="41"/>
      <c r="Q14" s="41" t="n">
        <f aca="false">IFERROR(__xludf.dummyfunction("""COMPUTED_VALUE"""),7897)</f>
        <v>7897</v>
      </c>
      <c r="R14" s="41"/>
      <c r="S14" s="41"/>
      <c r="T14" s="41" t="n">
        <f aca="false">IFERROR(__xludf.dummyfunction("""COMPUTED_VALUE"""),7898)</f>
        <v>7898</v>
      </c>
      <c r="U14" s="41" t="n">
        <f aca="false">IFERROR(__xludf.dummyfunction("""COMPUTED_VALUE"""),22800)</f>
        <v>22800</v>
      </c>
      <c r="V14" s="40" t="n">
        <f aca="false">IFERROR(__xludf.dummyfunction("""COMPUTED_VALUE"""),46147)</f>
        <v>46147</v>
      </c>
      <c r="W14" s="39" t="str">
        <f aca="false">IFERROR(__xludf.dummyfunction("""COMPUTED_VALUE"""),"Hoàn thành XB")</f>
        <v>Hoàn thành XB</v>
      </c>
      <c r="X14" s="41" t="str">
        <f aca="false">IFERROR(__xludf.dummyfunction("""COMPUTED_VALUE"""),"Chientd2")</f>
        <v>Chientd2</v>
      </c>
      <c r="Y14" s="44"/>
      <c r="Z14" s="57"/>
      <c r="AA14" s="57" t="str">
        <f aca="false">IFERROR(__xludf.dummyfunction("""COMPUTED_VALUE"""),"/hau_ky_s5_new/2026-2027_s5/Toan/Lop_12/Nen_tang_Toan/gv.tungnt/9/01
/hau_ky_s5_new/2026-2027_s5/Toan/Lop_12/Nen_tang_Toan/gv.tungnt/9/02
/hau_ky_s5_new/2026-2027_s5/Toan/Lop_12/Nen_tang_Toan/gv.tungnt/9/03
/hau_ky_s5_new/2026-2027_s5/Toan/Lop_12/Nen_tang"&amp;"_Toan/gv.tungnt/9/04
/hau_ky_s5_new/2026-2027_s5/Toan/Lop_12/Nen_tang_Toan/gv.tungnt/9/05
/hau_ky_s5_new/2026-2027_s5/Toan/Lop_12/Nen_tang_Toan/gv.tungnt/9/06")</f>
        <v>/hau_ky_s5_new/2026-2027_s5/Toan/Lop_12/Nen_tang_Toan/gv.tungnt/9/01
/hau_ky_s5_new/2026-2027_s5/Toan/Lop_12/Nen_tang_Toan/gv.tungnt/9/02
/hau_ky_s5_new/2026-2027_s5/Toan/Lop_12/Nen_tang_Toan/gv.tungnt/9/03
/hau_ky_s5_new/2026-2027_s5/Toan/Lop_12/Nen_tang_Toan/gv.tungnt/9/04
/hau_ky_s5_new/2026-2027_s5/Toan/Lop_12/Nen_tang_Toan/gv.tungnt/9/05
/hau_ky_s5_new/2026-2027_s5/Toan/Lop_12/Nen_tang_Toan/gv.tungnt/9/06</v>
      </c>
      <c r="AB14" s="41" t="n">
        <f aca="false">IFERROR(__xludf.dummyfunction("""COMPUTED_VALUE"""),5)</f>
        <v>5</v>
      </c>
      <c r="AC14" s="57" t="str">
        <f aca="false">IFERROR(__xludf.dummyfunction("""COMPUTED_VALUE"""),"nentangtoan")</f>
        <v>nentangtoan</v>
      </c>
      <c r="AD14" s="46"/>
      <c r="AE14" s="46"/>
      <c r="AF14" s="47" t="str">
        <f aca="false">IFERROR(__xludf.dummyfunction("""COMPUTED_VALUE"""),"lophoctoan-946144")</f>
        <v>lophoctoan-946144</v>
      </c>
      <c r="AG14" s="46" t="str">
        <f aca="false">IFERROR(__xludf.dummyfunction("""COMPUTED_VALUE"""),"")</f>
        <v/>
      </c>
      <c r="AH14" s="53" t="b">
        <f aca="false">IFERROR(__xludf.dummyfunction("""COMPUTED_VALUE"""),TRUE())</f>
        <v>1</v>
      </c>
      <c r="AI14" s="35"/>
      <c r="AJ14" s="35"/>
      <c r="AK14" s="35"/>
      <c r="AL14" s="35"/>
      <c r="AM14" s="35"/>
      <c r="AN14" s="35"/>
      <c r="AO14" s="46"/>
    </row>
    <row r="15" customFormat="false" ht="15" hidden="false" customHeight="true" outlineLevel="0" collapsed="false">
      <c r="A15" s="37" t="str">
        <f aca="false">IFERROR(__xludf.dummyfunction("""COMPUTED_VALUE"""),"Toán")</f>
        <v>Toán</v>
      </c>
      <c r="B15" s="37" t="str">
        <f aca="false">IFERROR(__xludf.dummyfunction("""COMPUTED_VALUE"""),"NT_N_03")</f>
        <v>NT_N_03</v>
      </c>
      <c r="C15" s="38" t="str">
        <f aca="false">IFERROR(__xludf.dummyfunction("""COMPUTED_VALUE"""),"Ứng dụng đạo hàm giải bài toán chuyển động cơ bản")</f>
        <v>Ứng dụng đạo hàm giải bài toán chuyển động cơ bản</v>
      </c>
      <c r="D15" s="39" t="str">
        <f aca="false">IFERROR(__xludf.dummyfunction("""COMPUTED_VALUE"""),"Nguyễn Hoài Nam")</f>
        <v>Nguyễn Hoài Nam</v>
      </c>
      <c r="E15" s="40" t="n">
        <f aca="false">IFERROR(__xludf.dummyfunction("""COMPUTED_VALUE"""),46147)</f>
        <v>46147</v>
      </c>
      <c r="F15" s="41" t="n">
        <f aca="false">IFERROR(__xludf.dummyfunction("""COMPUTED_VALUE"""),3)</f>
        <v>3</v>
      </c>
      <c r="G15" s="37" t="str">
        <f aca="false">IFERROR(__xludf.dummyfunction("""COMPUTED_VALUE"""),"21:00-22:30")</f>
        <v>21:00-22:30</v>
      </c>
      <c r="H15" s="42" t="str">
        <f aca="false">IFERROR(__xludf.dummyfunction("""COMPUTED_VALUE"""),"https://hocmai.vn/mod/scorm/view_file.php?inpopup=true&amp;id=180066")</f>
        <v>https://hocmai.vn/mod/scorm/view_file.php?inpopup=true&amp;id=180066</v>
      </c>
      <c r="I15" s="42" t="str">
        <f aca="false">IFERROR(__xludf.dummyfunction("""COMPUTED_VALUE"""),"https://hocmai.vn/mod/scorm/view_file.php?inpopup=true&amp;id=180078")</f>
        <v>https://hocmai.vn/mod/scorm/view_file.php?inpopup=true&amp;id=180078</v>
      </c>
      <c r="J15" s="37"/>
      <c r="K15" s="37" t="str">
        <f aca="false">IFERROR(__xludf.dummyfunction("""COMPUTED_VALUE"""),"thinhnh")</f>
        <v>thinhnh</v>
      </c>
      <c r="L15" s="37" t="str">
        <f aca="false">IFERROR(__xludf.dummyfunction("""COMPUTED_VALUE"""),"Lê Quốc Việt")</f>
        <v>Lê Quốc Việt</v>
      </c>
      <c r="M15" s="43" t="str">
        <f aca="false">IFERROR(__xludf.dummyfunction("""COMPUTED_VALUE"""),"https://hocmai.sharepoint.com/Education_Development/Lists/San_xuat_video/DispForm.aspx?ID=12190")</f>
        <v>https://hocmai.sharepoint.com/Education_Development/Lists/San_xuat_video/DispForm.aspx?ID=12190</v>
      </c>
      <c r="N15" s="58" t="n">
        <f aca="false">IFERROR(__xludf.dummyfunction("""COMPUTED_VALUE"""),3313)</f>
        <v>3313</v>
      </c>
      <c r="O15" s="41" t="n">
        <f aca="false">IFERROR(__xludf.dummyfunction("""COMPUTED_VALUE"""),166628)</f>
        <v>166628</v>
      </c>
      <c r="P15" s="41"/>
      <c r="Q15" s="41" t="n">
        <f aca="false">IFERROR(__xludf.dummyfunction("""COMPUTED_VALUE"""),8001)</f>
        <v>8001</v>
      </c>
      <c r="R15" s="41"/>
      <c r="S15" s="41"/>
      <c r="T15" s="41" t="n">
        <f aca="false">IFERROR(__xludf.dummyfunction("""COMPUTED_VALUE"""),8002)</f>
        <v>8002</v>
      </c>
      <c r="U15" s="41" t="n">
        <f aca="false">IFERROR(__xludf.dummyfunction("""COMPUTED_VALUE"""),22864)</f>
        <v>22864</v>
      </c>
      <c r="V15" s="40" t="n">
        <f aca="false">IFERROR(__xludf.dummyfunction("""COMPUTED_VALUE"""),46147)</f>
        <v>46147</v>
      </c>
      <c r="W15" s="39" t="str">
        <f aca="false">IFERROR(__xludf.dummyfunction("""COMPUTED_VALUE"""),"Hoàn thành XB")</f>
        <v>Hoàn thành XB</v>
      </c>
      <c r="X15" s="41" t="str">
        <f aca="false">IFERROR(__xludf.dummyfunction("""COMPUTED_VALUE"""),"thinhnh")</f>
        <v>thinhnh</v>
      </c>
      <c r="Y15" s="44"/>
      <c r="Z15" s="56" t="str">
        <f aca="false">IFERROR(__xludf.dummyfunction("""COMPUTED_VALUE"""),"https://s3.evgcloud.net/livestream/video/mp4/2026/05/05/336_33675f560e9966149c5bb6da16e6905fa9f_RELAY-20260505205417-cv.mp4")</f>
        <v>https://s3.evgcloud.net/livestream/video/mp4/2026/05/05/336_33675f560e9966149c5bb6da16e6905fa9f_RELAY-20260505205417-cv.mp4</v>
      </c>
      <c r="AA15" s="57" t="str">
        <f aca="false">IFERROR(__xludf.dummyfunction("""COMPUTED_VALUE"""),"/hau_ky_s5_new/2026-2027_s5/Toan/Lop_12/Nen_tang_Toan/gv.namnh/3/01
/hau_ky_s5_new/2026-2027_s5/Toan/Lop_12/Nen_tang_Toan/gv.namnh/3/02
/hau_ky_s5_new/2026-2027_s5/Toan/Lop_12/Nen_tang_Toan/gv.namnh/3/03
/hau_ky_s5_new/2026-2027_s5/Toan/Lop_12/Nen_tang_To"&amp;"an/gv.namnh/3/04")</f>
        <v>/hau_ky_s5_new/2026-2027_s5/Toan/Lop_12/Nen_tang_Toan/gv.namnh/3/01
/hau_ky_s5_new/2026-2027_s5/Toan/Lop_12/Nen_tang_Toan/gv.namnh/3/02
/hau_ky_s5_new/2026-2027_s5/Toan/Lop_12/Nen_tang_Toan/gv.namnh/3/03
/hau_ky_s5_new/2026-2027_s5/Toan/Lop_12/Nen_tang_Toan/gv.namnh/3/04</v>
      </c>
      <c r="AB15" s="41" t="n">
        <f aca="false">IFERROR(__xludf.dummyfunction("""COMPUTED_VALUE"""),5)</f>
        <v>5</v>
      </c>
      <c r="AC15" s="57" t="str">
        <f aca="false">IFERROR(__xludf.dummyfunction("""COMPUTED_VALUE"""),"Đang lỗi link 2,3,4
=&gt; Đã được xử lí")</f>
        <v>Đang lỗi link 2,3,4
=&gt; Đã được xử lí</v>
      </c>
      <c r="AD15" s="46" t="str">
        <f aca="false">IFERROR(__xludf.dummyfunction("""COMPUTED_VALUE"""),"nentangtoan_thaynam")</f>
        <v>nentangtoan_thaynam</v>
      </c>
      <c r="AE15" s="46"/>
      <c r="AF15" s="47" t="str">
        <f aca="false">IFERROR(__xludf.dummyfunction("""COMPUTED_VALUE"""),"lophoctoan-946147")</f>
        <v>lophoctoan-946147</v>
      </c>
      <c r="AG15" s="46" t="str">
        <f aca="false">IFERROR(__xludf.dummyfunction("""COMPUTED_VALUE"""),"")</f>
        <v/>
      </c>
      <c r="AH15" s="53" t="b">
        <f aca="false">IFERROR(__xludf.dummyfunction("""COMPUTED_VALUE"""),TRUE())</f>
        <v>1</v>
      </c>
      <c r="AI15" s="35"/>
      <c r="AJ15" s="35"/>
      <c r="AK15" s="35"/>
      <c r="AL15" s="35"/>
      <c r="AM15" s="35"/>
      <c r="AN15" s="35"/>
      <c r="AO15" s="46"/>
    </row>
    <row r="16" customFormat="false" ht="15.75" hidden="false" customHeight="true" outlineLevel="0" collapsed="false">
      <c r="A16" s="37" t="str">
        <f aca="false">IFERROR(__xludf.dummyfunction("""COMPUTED_VALUE"""),"Toán")</f>
        <v>Toán</v>
      </c>
      <c r="B16" s="37" t="str">
        <f aca="false">IFERROR(__xludf.dummyfunction("""COMPUTED_VALUE"""),"NT_T_10")</f>
        <v>NT_T_10</v>
      </c>
      <c r="C16" s="38" t="str">
        <f aca="false">IFERROR(__xludf.dummyfunction("""COMPUTED_VALUE"""),"Hàm số lượng giác và phương trình lượng giác")</f>
        <v>Hàm số lượng giác và phương trình lượng giác</v>
      </c>
      <c r="D16" s="39" t="str">
        <f aca="false">IFERROR(__xludf.dummyfunction("""COMPUTED_VALUE"""),"Nguyễn Thanh Tùng")</f>
        <v>Nguyễn Thanh Tùng</v>
      </c>
      <c r="E16" s="40" t="n">
        <f aca="false">IFERROR(__xludf.dummyfunction("""COMPUTED_VALUE"""),46148)</f>
        <v>46148</v>
      </c>
      <c r="F16" s="41" t="n">
        <f aca="false">IFERROR(__xludf.dummyfunction("""COMPUTED_VALUE"""),4)</f>
        <v>4</v>
      </c>
      <c r="G16" s="37" t="str">
        <f aca="false">IFERROR(__xludf.dummyfunction("""COMPUTED_VALUE"""),"20:00-22:00")</f>
        <v>20:00-22:00</v>
      </c>
      <c r="H16" s="42" t="str">
        <f aca="false">IFERROR(__xludf.dummyfunction("""COMPUTED_VALUE"""),"https://hocmai.vn/mod/scorm/view_file.php?id=180080")</f>
        <v>https://hocmai.vn/mod/scorm/view_file.php?id=180080</v>
      </c>
      <c r="I16" s="42" t="str">
        <f aca="false">IFERROR(__xludf.dummyfunction("""COMPUTED_VALUE"""),"https://hocmai.vn/mod/scorm/view_file.php?id=180081")</f>
        <v>https://hocmai.vn/mod/scorm/view_file.php?id=180081</v>
      </c>
      <c r="J16" s="42" t="str">
        <f aca="false">IFERROR(__xludf.dummyfunction("""COMPUTED_VALUE"""),"https://drive.google.com/drive/folders/1TQSr2qDRiDocCiTniIcIV9cdzinOy8bF?usp=drive_link")</f>
        <v>https://drive.google.com/drive/folders/1TQSr2qDRiDocCiTniIcIV9cdzinOy8bF?usp=drive_link</v>
      </c>
      <c r="K16" s="37" t="str">
        <f aca="false">IFERROR(__xludf.dummyfunction("""COMPUTED_VALUE"""),"Chientd2")</f>
        <v>Chientd2</v>
      </c>
      <c r="L16" s="37" t="str">
        <f aca="false">IFERROR(__xludf.dummyfunction("""COMPUTED_VALUE"""),"Tưởng Thị Huyền Trang")</f>
        <v>Tưởng Thị Huyền Trang</v>
      </c>
      <c r="M16" s="43" t="str">
        <f aca="false">IFERROR(__xludf.dummyfunction("""COMPUTED_VALUE"""),"https://hocmai.sharepoint.com/Education_Development/Lists/San_xuat_video/DispForm.aspx?ID=12149")</f>
        <v>https://hocmai.sharepoint.com/Education_Development/Lists/San_xuat_video/DispForm.aspx?ID=12149</v>
      </c>
      <c r="N16" s="41" t="n">
        <f aca="false">IFERROR(__xludf.dummyfunction("""COMPUTED_VALUE"""),3312)</f>
        <v>3312</v>
      </c>
      <c r="O16" s="41" t="n">
        <f aca="false">IFERROR(__xludf.dummyfunction("""COMPUTED_VALUE"""),166591)</f>
        <v>166591</v>
      </c>
      <c r="P16" s="41"/>
      <c r="Q16" s="41" t="n">
        <f aca="false">IFERROR(__xludf.dummyfunction("""COMPUTED_VALUE"""),7899)</f>
        <v>7899</v>
      </c>
      <c r="R16" s="41"/>
      <c r="S16" s="41"/>
      <c r="T16" s="41" t="n">
        <f aca="false">IFERROR(__xludf.dummyfunction("""COMPUTED_VALUE"""),7900)</f>
        <v>7900</v>
      </c>
      <c r="U16" s="41" t="n">
        <f aca="false">IFERROR(__xludf.dummyfunction("""COMPUTED_VALUE"""),22868)</f>
        <v>22868</v>
      </c>
      <c r="V16" s="40" t="n">
        <f aca="false">IFERROR(__xludf.dummyfunction("""COMPUTED_VALUE"""),46151)</f>
        <v>46151</v>
      </c>
      <c r="W16" s="39" t="str">
        <f aca="false">IFERROR(__xludf.dummyfunction("""COMPUTED_VALUE"""),"Hoàn thành XB")</f>
        <v>Hoàn thành XB</v>
      </c>
      <c r="X16" s="41" t="str">
        <f aca="false">IFERROR(__xludf.dummyfunction("""COMPUTED_VALUE"""),"Chientd2")</f>
        <v>Chientd2</v>
      </c>
      <c r="Y16" s="44"/>
      <c r="Z16" s="57"/>
      <c r="AA16" s="57" t="str">
        <f aca="false">IFERROR(__xludf.dummyfunction("""COMPUTED_VALUE"""),"/hau_ky_s5_new/2026-2027_s5/Toan/Lop_12/Nen_tang_Toan/gv.tungnt/10/01
/hau_ky_s5_new/2026-2027_s5/Toan/Lop_12/Nen_tang_Toan/gv.tungnt/10/02
/hau_ky_s5_new/2026-2027_s5/Toan/Lop_12/Nen_tang_Toan/gv.tungnt/10/03
/hau_ky_s5_new/2026-2027_s5/Toan/Lop_12/Nen_t"&amp;"ang_Toan/gv.tungnt/10/04
/hau_ky_s5_new/2026-2027_s5/Toan/Lop_12/Nen_tang_Toan/gv.tungnt/10/05
/hau_ky_s5_new/2026-2027_s5/Toan/Lop_12/Nen_tang_Toan/gv.tungnt/10/06
/hau_ky_s5_new/2026-2027_s5/Toan/Lop_12/Nen_tang_Toan/gv.tungnt/10/07")</f>
        <v>/hau_ky_s5_new/2026-2027_s5/Toan/Lop_12/Nen_tang_Toan/gv.tungnt/10/01
/hau_ky_s5_new/2026-2027_s5/Toan/Lop_12/Nen_tang_Toan/gv.tungnt/10/02
/hau_ky_s5_new/2026-2027_s5/Toan/Lop_12/Nen_tang_Toan/gv.tungnt/10/03
/hau_ky_s5_new/2026-2027_s5/Toan/Lop_12/Nen_tang_Toan/gv.tungnt/10/04
/hau_ky_s5_new/2026-2027_s5/Toan/Lop_12/Nen_tang_Toan/gv.tungnt/10/05
/hau_ky_s5_new/2026-2027_s5/Toan/Lop_12/Nen_tang_Toan/gv.tungnt/10/06
/hau_ky_s5_new/2026-2027_s5/Toan/Lop_12/Nen_tang_Toan/gv.tungnt/10/07</v>
      </c>
      <c r="AB16" s="41" t="n">
        <f aca="false">IFERROR(__xludf.dummyfunction("""COMPUTED_VALUE"""),5)</f>
        <v>5</v>
      </c>
      <c r="AC16" s="57" t="str">
        <f aca="false">IFERROR(__xludf.dummyfunction("""COMPUTED_VALUE"""),"nentangtoan")</f>
        <v>nentangtoan</v>
      </c>
      <c r="AD16" s="46"/>
      <c r="AE16" s="46"/>
      <c r="AF16" s="47" t="str">
        <f aca="false">IFERROR(__xludf.dummyfunction("""COMPUTED_VALUE"""),"lophoctoan-946148")</f>
        <v>lophoctoan-946148</v>
      </c>
      <c r="AG16" s="46" t="str">
        <f aca="false">IFERROR(__xludf.dummyfunction("""COMPUTED_VALUE"""),"")</f>
        <v/>
      </c>
      <c r="AH16" s="53" t="b">
        <f aca="false">IFERROR(__xludf.dummyfunction("""COMPUTED_VALUE"""),TRUE())</f>
        <v>1</v>
      </c>
      <c r="AI16" s="35"/>
      <c r="AJ16" s="35"/>
      <c r="AK16" s="35"/>
      <c r="AL16" s="35"/>
      <c r="AM16" s="35"/>
      <c r="AN16" s="35"/>
      <c r="AO16" s="46"/>
    </row>
    <row r="17" customFormat="false" ht="15.75" hidden="false" customHeight="true" outlineLevel="0" collapsed="false">
      <c r="A17" s="37" t="str">
        <f aca="false">IFERROR(__xludf.dummyfunction("""COMPUTED_VALUE"""),"Toán")</f>
        <v>Toán</v>
      </c>
      <c r="B17" s="37" t="str">
        <f aca="false">IFERROR(__xludf.dummyfunction("""COMPUTED_VALUE"""),"NT_T_11")</f>
        <v>NT_T_11</v>
      </c>
      <c r="C17" s="38" t="str">
        <f aca="false">IFERROR(__xludf.dummyfunction("""COMPUTED_VALUE"""),"Tính đơn điệu của hàm số (P1)")</f>
        <v>Tính đơn điệu của hàm số (P1)</v>
      </c>
      <c r="D17" s="39" t="str">
        <f aca="false">IFERROR(__xludf.dummyfunction("""COMPUTED_VALUE"""),"Nguyễn Thanh Tùng")</f>
        <v>Nguyễn Thanh Tùng</v>
      </c>
      <c r="E17" s="40" t="n">
        <f aca="false">IFERROR(__xludf.dummyfunction("""COMPUTED_VALUE"""),46151)</f>
        <v>46151</v>
      </c>
      <c r="F17" s="41" t="n">
        <f aca="false">IFERROR(__xludf.dummyfunction("""COMPUTED_VALUE"""),7)</f>
        <v>7</v>
      </c>
      <c r="G17" s="37" t="str">
        <f aca="false">IFERROR(__xludf.dummyfunction("""COMPUTED_VALUE"""),"20:00-22:00")</f>
        <v>20:00-22:00</v>
      </c>
      <c r="H17" s="61" t="str">
        <f aca="false">IFERROR(__xludf.dummyfunction("""COMPUTED_VALUE"""),"https://hocmai.vn/mod/scorm/view_file.php?id=180091")</f>
        <v>https://hocmai.vn/mod/scorm/view_file.php?id=180091</v>
      </c>
      <c r="I17" s="42" t="str">
        <f aca="false">IFERROR(__xludf.dummyfunction("""COMPUTED_VALUE"""),"https://hocmai.vn/mod/scorm/view_file.php?id=180104")</f>
        <v>https://hocmai.vn/mod/scorm/view_file.php?id=180104</v>
      </c>
      <c r="J17" s="42" t="str">
        <f aca="false">IFERROR(__xludf.dummyfunction("""COMPUTED_VALUE"""),"https://drive.google.com/drive/folders/1W1jJMdZQDFulPLSl9-J-_6wx57IlaYWG?usp=drive_link")</f>
        <v>https://drive.google.com/drive/folders/1W1jJMdZQDFulPLSl9-J-_6wx57IlaYWG?usp=drive_link</v>
      </c>
      <c r="K17" s="37" t="str">
        <f aca="false">IFERROR(__xludf.dummyfunction("""COMPUTED_VALUE"""),"Chientd2")</f>
        <v>Chientd2</v>
      </c>
      <c r="L17" s="37" t="str">
        <f aca="false">IFERROR(__xludf.dummyfunction("""COMPUTED_VALUE"""),"Tưởng Thị Huyền Trang")</f>
        <v>Tưởng Thị Huyền Trang</v>
      </c>
      <c r="M17" s="43" t="str">
        <f aca="false">IFERROR(__xludf.dummyfunction("""COMPUTED_VALUE"""),"https://hocmai.sharepoint.com/Education_Development/Lists/San_xuat_video/DispForm.aspx?ID=12150")</f>
        <v>https://hocmai.sharepoint.com/Education_Development/Lists/San_xuat_video/DispForm.aspx?ID=12150</v>
      </c>
      <c r="N17" s="41" t="n">
        <f aca="false">IFERROR(__xludf.dummyfunction("""COMPUTED_VALUE"""),3312)</f>
        <v>3312</v>
      </c>
      <c r="O17" s="41" t="n">
        <f aca="false">IFERROR(__xludf.dummyfunction("""COMPUTED_VALUE"""),166544)</f>
        <v>166544</v>
      </c>
      <c r="P17" s="41"/>
      <c r="Q17" s="41" t="n">
        <f aca="false">IFERROR(__xludf.dummyfunction("""COMPUTED_VALUE"""),7902)</f>
        <v>7902</v>
      </c>
      <c r="R17" s="41"/>
      <c r="S17" s="41"/>
      <c r="T17" s="41" t="n">
        <f aca="false">IFERROR(__xludf.dummyfunction("""COMPUTED_VALUE"""),7903)</f>
        <v>7903</v>
      </c>
      <c r="U17" s="41" t="n">
        <f aca="false">IFERROR(__xludf.dummyfunction("""COMPUTED_VALUE"""),22889)</f>
        <v>22889</v>
      </c>
      <c r="V17" s="40" t="n">
        <f aca="false">IFERROR(__xludf.dummyfunction("""COMPUTED_VALUE"""),46154)</f>
        <v>46154</v>
      </c>
      <c r="W17" s="39" t="str">
        <f aca="false">IFERROR(__xludf.dummyfunction("""COMPUTED_VALUE"""),"Hoàn thành XB")</f>
        <v>Hoàn thành XB</v>
      </c>
      <c r="X17" s="41" t="str">
        <f aca="false">IFERROR(__xludf.dummyfunction("""COMPUTED_VALUE"""),"Chientd2")</f>
        <v>Chientd2</v>
      </c>
      <c r="Y17" s="44" t="str">
        <f aca="false">IFERROR(__xludf.dummyfunction("""COMPUTED_VALUE"""),"Khai giảng đồng thời lớp S")</f>
        <v>Khai giảng đồng thời lớp S</v>
      </c>
      <c r="Z17" s="57"/>
      <c r="AA17" s="57" t="str">
        <f aca="false">IFERROR(__xludf.dummyfunction("""COMPUTED_VALUE"""),"/hau_ky_s5_new/2026-2027_s5/Toan/Lop_12/Nen_tang_Toan/gv.tungnt/11/01
/hau_ky_s5_new/2026-2027_s5/Toan/Lop_12/Nen_tang_Toan/gv.tungnt/11/02
/hau_ky_s5_new/2026-2027_s5/Toan/Lop_12/Nen_tang_Toan/gv.tungnt/11/03
/hau_ky_s5_new/2026-2027_s5/Toan/Lop_12/Nen_t"&amp;"ang_Toan/gv.tungnt/11/04
/hau_ky_s5_new/2026-2027_s5/Toan/Lop_12/Nen_tang_Toan/gv.tungnt/11/05
/hau_ky_s5_new/2026-2027_s5/Toan/Lop_12/Nen_tang_Toan/gv.tungnt/11/06
/hau_ky_s5_new/2026-2027_s5/Toan/Lop_12/Nen_tang_Toan/gv.tungnt/11/07
/hau_ky_s5_new/2026-"&amp;"2027_s5/Toan/Lop_12/Nen_tang_Toan/gv.tungnt/11/08")</f>
        <v>/hau_ky_s5_new/2026-2027_s5/Toan/Lop_12/Nen_tang_Toan/gv.tungnt/11/01
/hau_ky_s5_new/2026-2027_s5/Toan/Lop_12/Nen_tang_Toan/gv.tungnt/11/02
/hau_ky_s5_new/2026-2027_s5/Toan/Lop_12/Nen_tang_Toan/gv.tungnt/11/03
/hau_ky_s5_new/2026-2027_s5/Toan/Lop_12/Nen_tang_Toan/gv.tungnt/11/04
/hau_ky_s5_new/2026-2027_s5/Toan/Lop_12/Nen_tang_Toan/gv.tungnt/11/05
/hau_ky_s5_new/2026-2027_s5/Toan/Lop_12/Nen_tang_Toan/gv.tungnt/11/06
/hau_ky_s5_new/2026-2027_s5/Toan/Lop_12/Nen_tang_Toan/gv.tungnt/11/07
/hau_ky_s5_new/2026-2027_s5/Toan/Lop_12/Nen_tang_Toan/gv.tungnt/11/08</v>
      </c>
      <c r="AB17" s="41" t="n">
        <f aca="false">IFERROR(__xludf.dummyfunction("""COMPUTED_VALUE"""),5)</f>
        <v>5</v>
      </c>
      <c r="AC17" s="57" t="str">
        <f aca="false">IFERROR(__xludf.dummyfunction("""COMPUTED_VALUE"""),"nentangtoan")</f>
        <v>nentangtoan</v>
      </c>
      <c r="AD17" s="46"/>
      <c r="AE17" s="46"/>
      <c r="AF17" s="47" t="str">
        <f aca="false">IFERROR(__xludf.dummyfunction("""COMPUTED_VALUE"""),"lophoctoan-946151")</f>
        <v>lophoctoan-946151</v>
      </c>
      <c r="AG17" s="46" t="str">
        <f aca="false">IFERROR(__xludf.dummyfunction("""COMPUTED_VALUE"""),"")</f>
        <v/>
      </c>
      <c r="AH17" s="53" t="b">
        <f aca="false">IFERROR(__xludf.dummyfunction("""COMPUTED_VALUE"""),TRUE())</f>
        <v>1</v>
      </c>
      <c r="AI17" s="35"/>
      <c r="AJ17" s="35"/>
      <c r="AK17" s="35"/>
      <c r="AL17" s="35"/>
      <c r="AM17" s="35"/>
      <c r="AN17" s="35"/>
      <c r="AO17" s="46"/>
    </row>
    <row r="18" customFormat="false" ht="15.75" hidden="false" customHeight="true" outlineLevel="0" collapsed="false">
      <c r="A18" s="37" t="str">
        <f aca="false">IFERROR(__xludf.dummyfunction("""COMPUTED_VALUE"""),"Toán")</f>
        <v>Toán</v>
      </c>
      <c r="B18" s="37" t="str">
        <f aca="false">IFERROR(__xludf.dummyfunction("""COMPUTED_VALUE"""),"NT_N_04")</f>
        <v>NT_N_04</v>
      </c>
      <c r="C18" s="38" t="str">
        <f aca="false">IFERROR(__xludf.dummyfunction("""COMPUTED_VALUE"""),"Góc trong không gian")</f>
        <v>Góc trong không gian</v>
      </c>
      <c r="D18" s="39" t="str">
        <f aca="false">IFERROR(__xludf.dummyfunction("""COMPUTED_VALUE"""),"Nguyễn Hoài Nam")</f>
        <v>Nguyễn Hoài Nam</v>
      </c>
      <c r="E18" s="40" t="n">
        <f aca="false">IFERROR(__xludf.dummyfunction("""COMPUTED_VALUE"""),46154)</f>
        <v>46154</v>
      </c>
      <c r="F18" s="41" t="n">
        <f aca="false">IFERROR(__xludf.dummyfunction("""COMPUTED_VALUE"""),3)</f>
        <v>3</v>
      </c>
      <c r="G18" s="37" t="str">
        <f aca="false">IFERROR(__xludf.dummyfunction("""COMPUTED_VALUE"""),"21:00-22:30")</f>
        <v>21:00-22:30</v>
      </c>
      <c r="H18" s="42" t="str">
        <f aca="false">IFERROR(__xludf.dummyfunction("""COMPUTED_VALUE"""),"https://hocmai.vn/mod/scorm/view_file.php?inpopup=true&amp;id=180111")</f>
        <v>https://hocmai.vn/mod/scorm/view_file.php?inpopup=true&amp;id=180111</v>
      </c>
      <c r="I18" s="42" t="str">
        <f aca="false">IFERROR(__xludf.dummyfunction("""COMPUTED_VALUE"""),"https://hocmai.vn/mod/scorm/view_file.php?inpopup=true&amp;id=180115")</f>
        <v>https://hocmai.vn/mod/scorm/view_file.php?inpopup=true&amp;id=180115</v>
      </c>
      <c r="J18" s="62"/>
      <c r="K18" s="37" t="str">
        <f aca="false">IFERROR(__xludf.dummyfunction("""COMPUTED_VALUE"""),"thinhnh")</f>
        <v>thinhnh</v>
      </c>
      <c r="L18" s="37" t="str">
        <f aca="false">IFERROR(__xludf.dummyfunction("""COMPUTED_VALUE"""),"Lê Quốc Việt")</f>
        <v>Lê Quốc Việt</v>
      </c>
      <c r="M18" s="43" t="str">
        <f aca="false">IFERROR(__xludf.dummyfunction("""COMPUTED_VALUE"""),"https://hocmai.sharepoint.com/Education_Development/Lists/San_xuat_video/DispForm.aspx?ID=12191")</f>
        <v>https://hocmai.sharepoint.com/Education_Development/Lists/San_xuat_video/DispForm.aspx?ID=12191</v>
      </c>
      <c r="N18" s="58" t="n">
        <f aca="false">IFERROR(__xludf.dummyfunction("""COMPUTED_VALUE"""),3313)</f>
        <v>3313</v>
      </c>
      <c r="O18" s="41" t="n">
        <f aca="false">IFERROR(__xludf.dummyfunction("""COMPUTED_VALUE"""),166629)</f>
        <v>166629</v>
      </c>
      <c r="P18" s="41"/>
      <c r="Q18" s="41" t="n">
        <f aca="false">IFERROR(__xludf.dummyfunction("""COMPUTED_VALUE"""),8003)</f>
        <v>8003</v>
      </c>
      <c r="R18" s="41"/>
      <c r="S18" s="41"/>
      <c r="T18" s="41" t="n">
        <f aca="false">IFERROR(__xludf.dummyfunction("""COMPUTED_VALUE"""),8004)</f>
        <v>8004</v>
      </c>
      <c r="U18" s="41" t="n">
        <f aca="false">IFERROR(__xludf.dummyfunction("""COMPUTED_VALUE"""),22929)</f>
        <v>22929</v>
      </c>
      <c r="V18" s="40" t="n">
        <f aca="false">IFERROR(__xludf.dummyfunction("""COMPUTED_VALUE"""),46154)</f>
        <v>46154</v>
      </c>
      <c r="W18" s="39" t="str">
        <f aca="false">IFERROR(__xludf.dummyfunction("""COMPUTED_VALUE"""),"Hoàn thành XB")</f>
        <v>Hoàn thành XB</v>
      </c>
      <c r="X18" s="41" t="str">
        <f aca="false">IFERROR(__xludf.dummyfunction("""COMPUTED_VALUE"""),"thinhnh")</f>
        <v>thinhnh</v>
      </c>
      <c r="Y18" s="44"/>
      <c r="Z18" s="57"/>
      <c r="AA18" s="57" t="str">
        <f aca="false">IFERROR(__xludf.dummyfunction("""COMPUTED_VALUE"""),"/hau_ky_s5_new/2026-2027_s5/Toan/Lop_12/Nen_tang_Toan/gv.namnh/4/01
/hau_ky_s5_new/2026-2027_s5/Toan/Lop_12/Nen_tang_Toan/gv.namnh/4/02
/hau_ky_s5_new/2026-2027_s5/Toan/Lop_12/Nen_tang_Toan/gv.namnh/4/03
/hau_ky_s5_new/2026-2027_s5/Toan/Lop_12/Nen_tang_To"&amp;"an/gv.namnh/4/04
/hau_ky_s5_new/2026-2027_s5/Toan/Lop_12/Nen_tang_Toan/gv.namnh/4/05
/hau_ky_s5_new/2026-2027_s5/Toan/Lop_12/Nen_tang_Toan/gv.namnh/4/06
/hau_ky_s5_new/2026-2027_s5/Toan/Lop_12/Nen_tang_Toan/gv.namnh/4/07")</f>
        <v>/hau_ky_s5_new/2026-2027_s5/Toan/Lop_12/Nen_tang_Toan/gv.namnh/4/01
/hau_ky_s5_new/2026-2027_s5/Toan/Lop_12/Nen_tang_Toan/gv.namnh/4/02
/hau_ky_s5_new/2026-2027_s5/Toan/Lop_12/Nen_tang_Toan/gv.namnh/4/03
/hau_ky_s5_new/2026-2027_s5/Toan/Lop_12/Nen_tang_Toan/gv.namnh/4/04
/hau_ky_s5_new/2026-2027_s5/Toan/Lop_12/Nen_tang_Toan/gv.namnh/4/05
/hau_ky_s5_new/2026-2027_s5/Toan/Lop_12/Nen_tang_Toan/gv.namnh/4/06
/hau_ky_s5_new/2026-2027_s5/Toan/Lop_12/Nen_tang_Toan/gv.namnh/4/07</v>
      </c>
      <c r="AB18" s="41" t="n">
        <f aca="false">IFERROR(__xludf.dummyfunction("""COMPUTED_VALUE"""),5)</f>
        <v>5</v>
      </c>
      <c r="AC18" s="57"/>
      <c r="AD18" s="46" t="str">
        <f aca="false">IFERROR(__xludf.dummyfunction("""COMPUTED_VALUE"""),"nentangtoan_thaynam")</f>
        <v>nentangtoan_thaynam</v>
      </c>
      <c r="AE18" s="46"/>
      <c r="AF18" s="47" t="str">
        <f aca="false">IFERROR(__xludf.dummyfunction("""COMPUTED_VALUE"""),"lophoctoan-946154")</f>
        <v>lophoctoan-946154</v>
      </c>
      <c r="AG18" s="46" t="str">
        <f aca="false">IFERROR(__xludf.dummyfunction("""COMPUTED_VALUE"""),"")</f>
        <v/>
      </c>
      <c r="AH18" s="53" t="b">
        <f aca="false">IFERROR(__xludf.dummyfunction("""COMPUTED_VALUE"""),TRUE())</f>
        <v>1</v>
      </c>
      <c r="AI18" s="35"/>
      <c r="AJ18" s="35"/>
      <c r="AK18" s="35"/>
      <c r="AL18" s="35"/>
      <c r="AM18" s="35"/>
      <c r="AN18" s="35"/>
      <c r="AO18" s="46"/>
    </row>
    <row r="19" customFormat="false" ht="15.75" hidden="false" customHeight="true" outlineLevel="0" collapsed="false">
      <c r="A19" s="37" t="str">
        <f aca="false">IFERROR(__xludf.dummyfunction("""COMPUTED_VALUE"""),"Toán")</f>
        <v>Toán</v>
      </c>
      <c r="B19" s="37" t="str">
        <f aca="false">IFERROR(__xludf.dummyfunction("""COMPUTED_VALUE"""),"NT_T_12")</f>
        <v>NT_T_12</v>
      </c>
      <c r="C19" s="38" t="str">
        <f aca="false">IFERROR(__xludf.dummyfunction("""COMPUTED_VALUE"""),"Tính đơn điệu của hàm số (P2)")</f>
        <v>Tính đơn điệu của hàm số (P2)</v>
      </c>
      <c r="D19" s="39" t="str">
        <f aca="false">IFERROR(__xludf.dummyfunction("""COMPUTED_VALUE"""),"Nguyễn Thanh Tùng")</f>
        <v>Nguyễn Thanh Tùng</v>
      </c>
      <c r="E19" s="40" t="n">
        <f aca="false">IFERROR(__xludf.dummyfunction("""COMPUTED_VALUE"""),46155)</f>
        <v>46155</v>
      </c>
      <c r="F19" s="41" t="n">
        <f aca="false">IFERROR(__xludf.dummyfunction("""COMPUTED_VALUE"""),4)</f>
        <v>4</v>
      </c>
      <c r="G19" s="37" t="str">
        <f aca="false">IFERROR(__xludf.dummyfunction("""COMPUTED_VALUE"""),"20:00-22:00")</f>
        <v>20:00-22:00</v>
      </c>
      <c r="H19" s="42" t="str">
        <f aca="false">IFERROR(__xludf.dummyfunction("""COMPUTED_VALUE"""),"https://hocmai.vn/mod/scorm/view_file.php?id=180098")</f>
        <v>https://hocmai.vn/mod/scorm/view_file.php?id=180098</v>
      </c>
      <c r="I19" s="42" t="str">
        <f aca="false">IFERROR(__xludf.dummyfunction("""COMPUTED_VALUE"""),"https://hocmai.vn/mod/scorm/view_file.php?id=180120")</f>
        <v>https://hocmai.vn/mod/scorm/view_file.php?id=180120</v>
      </c>
      <c r="J19" s="42" t="str">
        <f aca="false">IFERROR(__xludf.dummyfunction("""COMPUTED_VALUE"""),"https://drive.google.com/drive/folders/1G5v6zUww2xBeXLEAWV2j3PEkldm5KfcR?usp=drive_link")</f>
        <v>https://drive.google.com/drive/folders/1G5v6zUww2xBeXLEAWV2j3PEkldm5KfcR?usp=drive_link</v>
      </c>
      <c r="K19" s="37" t="str">
        <f aca="false">IFERROR(__xludf.dummyfunction("""COMPUTED_VALUE"""),"Chientd2")</f>
        <v>Chientd2</v>
      </c>
      <c r="L19" s="37" t="str">
        <f aca="false">IFERROR(__xludf.dummyfunction("""COMPUTED_VALUE"""),"Tưởng Thị Huyền Trang")</f>
        <v>Tưởng Thị Huyền Trang</v>
      </c>
      <c r="M19" s="43" t="str">
        <f aca="false">IFERROR(__xludf.dummyfunction("""COMPUTED_VALUE"""),"https://hocmai.sharepoint.com/Education_Development/Lists/San_xuat_video/DispForm.aspx?ID=12151")</f>
        <v>https://hocmai.sharepoint.com/Education_Development/Lists/San_xuat_video/DispForm.aspx?ID=12151</v>
      </c>
      <c r="N19" s="41" t="n">
        <f aca="false">IFERROR(__xludf.dummyfunction("""COMPUTED_VALUE"""),3312)</f>
        <v>3312</v>
      </c>
      <c r="O19" s="41" t="n">
        <f aca="false">IFERROR(__xludf.dummyfunction("""COMPUTED_VALUE"""),166545)</f>
        <v>166545</v>
      </c>
      <c r="P19" s="41"/>
      <c r="Q19" s="41" t="n">
        <f aca="false">IFERROR(__xludf.dummyfunction("""COMPUTED_VALUE"""),7904)</f>
        <v>7904</v>
      </c>
      <c r="R19" s="41"/>
      <c r="S19" s="41"/>
      <c r="T19" s="41" t="n">
        <f aca="false">IFERROR(__xludf.dummyfunction("""COMPUTED_VALUE"""),7905)</f>
        <v>7905</v>
      </c>
      <c r="U19" s="41" t="n">
        <f aca="false">IFERROR(__xludf.dummyfunction("""COMPUTED_VALUE"""),22933)</f>
        <v>22933</v>
      </c>
      <c r="V19" s="40" t="n">
        <f aca="false">IFERROR(__xludf.dummyfunction("""COMPUTED_VALUE"""),46158)</f>
        <v>46158</v>
      </c>
      <c r="W19" s="39" t="str">
        <f aca="false">IFERROR(__xludf.dummyfunction("""COMPUTED_VALUE"""),"Hoàn thành XB")</f>
        <v>Hoàn thành XB</v>
      </c>
      <c r="X19" s="41" t="str">
        <f aca="false">IFERROR(__xludf.dummyfunction("""COMPUTED_VALUE"""),"Chientd2")</f>
        <v>Chientd2</v>
      </c>
      <c r="Y19" s="44"/>
      <c r="Z19" s="57"/>
      <c r="AA19" s="57" t="str">
        <f aca="false">IFERROR(__xludf.dummyfunction("""COMPUTED_VALUE"""),"/hau_ky_s5_new/2026-2027_s5/Toan/Lop_12/Nen_tang_Toan/gv.tungnt/12/01
/hau_ky_s5_new/2026-2027_s5/Toan/Lop_12/Nen_tang_Toan/gv.tungnt/12/02
/hau_ky_s5_new/2026-2027_s5/Toan/Lop_12/Nen_tang_Toan/gv.tungnt/12/03
/hau_ky_s5_new/2026-2027_s5/Toan/Lop_12/Nen_t"&amp;"ang_Toan/gv.tungnt/12/04
/hau_ky_s5_new/2026-2027_s5/Toan/Lop_12/Nen_tang_Toan/gv.tungnt/12/05
/hau_ky_s5_new/2026-2027_s5/Toan/Lop_12/Nen_tang_Toan/gv.tungnt/12/06
/hau_ky_s5_new/2026-2027_s5/Toan/Lop_12/Nen_tang_Toan/gv.tungnt/12/07
/hau_ky_s5_new/2026-"&amp;"2027_s5/Toan/Lop_12/Nen_tang_Toan/gv.tungnt/12/08")</f>
        <v>/hau_ky_s5_new/2026-2027_s5/Toan/Lop_12/Nen_tang_Toan/gv.tungnt/12/01
/hau_ky_s5_new/2026-2027_s5/Toan/Lop_12/Nen_tang_Toan/gv.tungnt/12/02
/hau_ky_s5_new/2026-2027_s5/Toan/Lop_12/Nen_tang_Toan/gv.tungnt/12/03
/hau_ky_s5_new/2026-2027_s5/Toan/Lop_12/Nen_tang_Toan/gv.tungnt/12/04
/hau_ky_s5_new/2026-2027_s5/Toan/Lop_12/Nen_tang_Toan/gv.tungnt/12/05
/hau_ky_s5_new/2026-2027_s5/Toan/Lop_12/Nen_tang_Toan/gv.tungnt/12/06
/hau_ky_s5_new/2026-2027_s5/Toan/Lop_12/Nen_tang_Toan/gv.tungnt/12/07
/hau_ky_s5_new/2026-2027_s5/Toan/Lop_12/Nen_tang_Toan/gv.tungnt/12/08</v>
      </c>
      <c r="AB19" s="41" t="n">
        <f aca="false">IFERROR(__xludf.dummyfunction("""COMPUTED_VALUE"""),5)</f>
        <v>5</v>
      </c>
      <c r="AC19" s="57" t="str">
        <f aca="false">IFERROR(__xludf.dummyfunction("""COMPUTED_VALUE"""),"nentangtoan")</f>
        <v>nentangtoan</v>
      </c>
      <c r="AD19" s="46"/>
      <c r="AE19" s="46"/>
      <c r="AF19" s="47" t="str">
        <f aca="false">IFERROR(__xludf.dummyfunction("""COMPUTED_VALUE"""),"lophoctoan-946155")</f>
        <v>lophoctoan-946155</v>
      </c>
      <c r="AG19" s="46" t="str">
        <f aca="false">IFERROR(__xludf.dummyfunction("""COMPUTED_VALUE"""),"")</f>
        <v/>
      </c>
      <c r="AH19" s="53" t="b">
        <f aca="false">IFERROR(__xludf.dummyfunction("""COMPUTED_VALUE"""),TRUE())</f>
        <v>1</v>
      </c>
      <c r="AI19" s="35"/>
      <c r="AJ19" s="35"/>
      <c r="AK19" s="35"/>
      <c r="AL19" s="35"/>
      <c r="AM19" s="35"/>
      <c r="AN19" s="35"/>
      <c r="AO19" s="46"/>
    </row>
    <row r="20" customFormat="false" ht="15.75" hidden="false" customHeight="true" outlineLevel="0" collapsed="false">
      <c r="A20" s="37" t="str">
        <f aca="false">IFERROR(__xludf.dummyfunction("""COMPUTED_VALUE"""),"Toán")</f>
        <v>Toán</v>
      </c>
      <c r="B20" s="37" t="str">
        <f aca="false">IFERROR(__xludf.dummyfunction("""COMPUTED_VALUE"""),"NT_T_13")</f>
        <v>NT_T_13</v>
      </c>
      <c r="C20" s="38" t="str">
        <f aca="false">IFERROR(__xludf.dummyfunction("""COMPUTED_VALUE"""),"Cực trị của hàm số (P1)")</f>
        <v>Cực trị của hàm số (P1)</v>
      </c>
      <c r="D20" s="39" t="str">
        <f aca="false">IFERROR(__xludf.dummyfunction("""COMPUTED_VALUE"""),"Nguyễn Thanh Tùng")</f>
        <v>Nguyễn Thanh Tùng</v>
      </c>
      <c r="E20" s="40" t="n">
        <f aca="false">IFERROR(__xludf.dummyfunction("""COMPUTED_VALUE"""),46158)</f>
        <v>46158</v>
      </c>
      <c r="F20" s="41" t="n">
        <f aca="false">IFERROR(__xludf.dummyfunction("""COMPUTED_VALUE"""),7)</f>
        <v>7</v>
      </c>
      <c r="G20" s="37" t="str">
        <f aca="false">IFERROR(__xludf.dummyfunction("""COMPUTED_VALUE"""),"20:00-22:00")</f>
        <v>20:00-22:00</v>
      </c>
      <c r="H20" s="42" t="str">
        <f aca="false">IFERROR(__xludf.dummyfunction("""COMPUTED_VALUE"""),"https://hocmai.vn/mod/scorm/view_file.php?id=180122")</f>
        <v>https://hocmai.vn/mod/scorm/view_file.php?id=180122</v>
      </c>
      <c r="I20" s="42" t="str">
        <f aca="false">IFERROR(__xludf.dummyfunction("""COMPUTED_VALUE"""),"https://hocmai.vn/mod/scorm/view_file.php?id=180132")</f>
        <v>https://hocmai.vn/mod/scorm/view_file.php?id=180132</v>
      </c>
      <c r="J20" s="42" t="str">
        <f aca="false">IFERROR(__xludf.dummyfunction("""COMPUTED_VALUE"""),"https://drive.google.com/drive/folders/1V9w_qNbfN-N6v0fQ5ZWj5bS9UxNAmfTD?usp=drive_link")</f>
        <v>https://drive.google.com/drive/folders/1V9w_qNbfN-N6v0fQ5ZWj5bS9UxNAmfTD?usp=drive_link</v>
      </c>
      <c r="K20" s="37" t="str">
        <f aca="false">IFERROR(__xludf.dummyfunction("""COMPUTED_VALUE"""),"Chientd2")</f>
        <v>Chientd2</v>
      </c>
      <c r="L20" s="37" t="str">
        <f aca="false">IFERROR(__xludf.dummyfunction("""COMPUTED_VALUE"""),"Tưởng Thị Huyền Trang")</f>
        <v>Tưởng Thị Huyền Trang</v>
      </c>
      <c r="M20" s="43" t="str">
        <f aca="false">IFERROR(__xludf.dummyfunction("""COMPUTED_VALUE"""),"https://hocmai.sharepoint.com/Education_Development/Lists/San_xuat_video/DispForm.aspx?ID=12152")</f>
        <v>https://hocmai.sharepoint.com/Education_Development/Lists/San_xuat_video/DispForm.aspx?ID=12152</v>
      </c>
      <c r="N20" s="41" t="n">
        <f aca="false">IFERROR(__xludf.dummyfunction("""COMPUTED_VALUE"""),3312)</f>
        <v>3312</v>
      </c>
      <c r="O20" s="41" t="n">
        <f aca="false">IFERROR(__xludf.dummyfunction("""COMPUTED_VALUE"""),166546)</f>
        <v>166546</v>
      </c>
      <c r="P20" s="41"/>
      <c r="Q20" s="41" t="n">
        <f aca="false">IFERROR(__xludf.dummyfunction("""COMPUTED_VALUE"""),7906)</f>
        <v>7906</v>
      </c>
      <c r="R20" s="41"/>
      <c r="S20" s="41"/>
      <c r="T20" s="41" t="n">
        <f aca="false">IFERROR(__xludf.dummyfunction("""COMPUTED_VALUE"""),7907)</f>
        <v>7907</v>
      </c>
      <c r="U20" s="41" t="n">
        <f aca="false">IFERROR(__xludf.dummyfunction("""COMPUTED_VALUE"""),22984)</f>
        <v>22984</v>
      </c>
      <c r="V20" s="40" t="n">
        <f aca="false">IFERROR(__xludf.dummyfunction("""COMPUTED_VALUE"""),46161)</f>
        <v>46161</v>
      </c>
      <c r="W20" s="39" t="str">
        <f aca="false">IFERROR(__xludf.dummyfunction("""COMPUTED_VALUE"""),"Hoàn thành XB")</f>
        <v>Hoàn thành XB</v>
      </c>
      <c r="X20" s="41" t="str">
        <f aca="false">IFERROR(__xludf.dummyfunction("""COMPUTED_VALUE"""),"Chientd2")</f>
        <v>Chientd2</v>
      </c>
      <c r="Y20" s="44"/>
      <c r="Z20" s="57"/>
      <c r="AA20" s="57" t="str">
        <f aca="false">IFERROR(__xludf.dummyfunction("""COMPUTED_VALUE"""),"/hau_ky_s5_new/2026-2027_s5/Toan/Lop_12/Nen_tang_Toan/gv.tungnt/13/01
/hau_ky_s5_new/2026-2027_s5/Toan/Lop_12/Nen_tang_Toan/gv.tungnt/13/02
/hau_ky_s5_new/2026-2027_s5/Toan/Lop_12/Nen_tang_Toan/gv.tungnt/13/03
/hau_ky_s5_new/2026-2027_s5/Toan/Lop_12/Nen_t"&amp;"ang_Toan/gv.tungnt/13/04
/hau_ky_s5_new/2026-2027_s5/Toan/Lop_12/Nen_tang_Toan/gv.tungnt/13/05
/hau_ky_s5_new/2026-2027_s5/Toan/Lop_12/Nen_tang_Toan/gv.tungnt/13/06
/hau_ky_s5_new/2026-2027_s5/Toan/Lop_12/Nen_tang_Toan/gv.tungnt/13/07
/hau_ky_s5_new/2026-"&amp;"2027_s5/Toan/Lop_12/Nen_tang_Toan/gv.tungnt/13/08
/hau_ky_s5_new/2026-2027_s5/Toan/Lop_12/Nen_tang_Toan/gv.tungnt/13/09")</f>
        <v>/hau_ky_s5_new/2026-2027_s5/Toan/Lop_12/Nen_tang_Toan/gv.tungnt/13/01
/hau_ky_s5_new/2026-2027_s5/Toan/Lop_12/Nen_tang_Toan/gv.tungnt/13/02
/hau_ky_s5_new/2026-2027_s5/Toan/Lop_12/Nen_tang_Toan/gv.tungnt/13/03
/hau_ky_s5_new/2026-2027_s5/Toan/Lop_12/Nen_tang_Toan/gv.tungnt/13/04
/hau_ky_s5_new/2026-2027_s5/Toan/Lop_12/Nen_tang_Toan/gv.tungnt/13/05
/hau_ky_s5_new/2026-2027_s5/Toan/Lop_12/Nen_tang_Toan/gv.tungnt/13/06
/hau_ky_s5_new/2026-2027_s5/Toan/Lop_12/Nen_tang_Toan/gv.tungnt/13/07
/hau_ky_s5_new/2026-2027_s5/Toan/Lop_12/Nen_tang_Toan/gv.tungnt/13/08
/hau_ky_s5_new/2026-2027_s5/Toan/Lop_12/Nen_tang_Toan/gv.tungnt/13/09</v>
      </c>
      <c r="AB20" s="41" t="n">
        <f aca="false">IFERROR(__xludf.dummyfunction("""COMPUTED_VALUE"""),5)</f>
        <v>5</v>
      </c>
      <c r="AC20" s="57" t="str">
        <f aca="false">IFERROR(__xludf.dummyfunction("""COMPUTED_VALUE"""),"nentangtoan")</f>
        <v>nentangtoan</v>
      </c>
      <c r="AD20" s="46"/>
      <c r="AE20" s="46"/>
      <c r="AF20" s="47" t="str">
        <f aca="false">IFERROR(__xludf.dummyfunction("""COMPUTED_VALUE"""),"lophoctoan-946158")</f>
        <v>lophoctoan-946158</v>
      </c>
      <c r="AG20" s="46" t="str">
        <f aca="false">IFERROR(__xludf.dummyfunction("""COMPUTED_VALUE"""),"")</f>
        <v/>
      </c>
      <c r="AH20" s="53" t="b">
        <f aca="false">IFERROR(__xludf.dummyfunction("""COMPUTED_VALUE"""),TRUE())</f>
        <v>1</v>
      </c>
      <c r="AI20" s="35"/>
      <c r="AJ20" s="35"/>
      <c r="AK20" s="35"/>
      <c r="AL20" s="35"/>
      <c r="AM20" s="35"/>
      <c r="AN20" s="35"/>
      <c r="AO20" s="46"/>
    </row>
    <row r="21" customFormat="false" ht="15.75" hidden="false" customHeight="true" outlineLevel="0" collapsed="false">
      <c r="A21" s="37" t="str">
        <f aca="false">IFERROR(__xludf.dummyfunction("""COMPUTED_VALUE"""),"Toán")</f>
        <v>Toán</v>
      </c>
      <c r="B21" s="37" t="str">
        <f aca="false">IFERROR(__xludf.dummyfunction("""COMPUTED_VALUE"""),"NT_N_05")</f>
        <v>NT_N_05</v>
      </c>
      <c r="C21" s="38" t="str">
        <f aca="false">IFERROR(__xludf.dummyfunction("""COMPUTED_VALUE"""),"Tính đơn điệu của hàm số (P1)")</f>
        <v>Tính đơn điệu của hàm số (P1)</v>
      </c>
      <c r="D21" s="39" t="str">
        <f aca="false">IFERROR(__xludf.dummyfunction("""COMPUTED_VALUE"""),"Nguyễn Hoài Nam")</f>
        <v>Nguyễn Hoài Nam</v>
      </c>
      <c r="E21" s="40" t="n">
        <f aca="false">IFERROR(__xludf.dummyfunction("""COMPUTED_VALUE"""),46161)</f>
        <v>46161</v>
      </c>
      <c r="F21" s="41" t="n">
        <f aca="false">IFERROR(__xludf.dummyfunction("""COMPUTED_VALUE"""),3)</f>
        <v>3</v>
      </c>
      <c r="G21" s="37" t="str">
        <f aca="false">IFERROR(__xludf.dummyfunction("""COMPUTED_VALUE"""),"21:00-22:30")</f>
        <v>21:00-22:30</v>
      </c>
      <c r="H21" s="42" t="str">
        <f aca="false">IFERROR(__xludf.dummyfunction("""COMPUTED_VALUE"""),"https://hocmai.vn/mod/scorm/view_file.php?inpopup=true&amp;id=180143")</f>
        <v>https://hocmai.vn/mod/scorm/view_file.php?inpopup=true&amp;id=180143</v>
      </c>
      <c r="I21" s="42" t="str">
        <f aca="false">IFERROR(__xludf.dummyfunction("""COMPUTED_VALUE"""),"https://hocmai.vn/mod/scorm/view_file.php?inpopup=true&amp;id=180134")</f>
        <v>https://hocmai.vn/mod/scorm/view_file.php?inpopup=true&amp;id=180134</v>
      </c>
      <c r="J21" s="37"/>
      <c r="K21" s="37" t="str">
        <f aca="false">IFERROR(__xludf.dummyfunction("""COMPUTED_VALUE"""),"thinhnh")</f>
        <v>thinhnh</v>
      </c>
      <c r="L21" s="37" t="str">
        <f aca="false">IFERROR(__xludf.dummyfunction("""COMPUTED_VALUE"""),"Lê Quốc Việt")</f>
        <v>Lê Quốc Việt</v>
      </c>
      <c r="M21" s="43" t="str">
        <f aca="false">IFERROR(__xludf.dummyfunction("""COMPUTED_VALUE"""),"https://hocmai.sharepoint.com/Education_Development/Lists/San_xuat_video/DispForm.aspx?ID=12192")</f>
        <v>https://hocmai.sharepoint.com/Education_Development/Lists/San_xuat_video/DispForm.aspx?ID=12192</v>
      </c>
      <c r="N21" s="58" t="n">
        <f aca="false">IFERROR(__xludf.dummyfunction("""COMPUTED_VALUE"""),3313)</f>
        <v>3313</v>
      </c>
      <c r="O21" s="41" t="n">
        <f aca="false">IFERROR(__xludf.dummyfunction("""COMPUTED_VALUE"""),166630)</f>
        <v>166630</v>
      </c>
      <c r="P21" s="41"/>
      <c r="Q21" s="41" t="n">
        <f aca="false">IFERROR(__xludf.dummyfunction("""COMPUTED_VALUE"""),8006)</f>
        <v>8006</v>
      </c>
      <c r="R21" s="41"/>
      <c r="S21" s="41"/>
      <c r="T21" s="41" t="n">
        <f aca="false">IFERROR(__xludf.dummyfunction("""COMPUTED_VALUE"""),8007)</f>
        <v>8007</v>
      </c>
      <c r="U21" s="41" t="n">
        <f aca="false">IFERROR(__xludf.dummyfunction("""COMPUTED_VALUE"""),23029)</f>
        <v>23029</v>
      </c>
      <c r="V21" s="40" t="n">
        <f aca="false">IFERROR(__xludf.dummyfunction("""COMPUTED_VALUE"""),46161)</f>
        <v>46161</v>
      </c>
      <c r="W21" s="39" t="str">
        <f aca="false">IFERROR(__xludf.dummyfunction("""COMPUTED_VALUE"""),"Hoàn thành XB")</f>
        <v>Hoàn thành XB</v>
      </c>
      <c r="X21" s="41" t="str">
        <f aca="false">IFERROR(__xludf.dummyfunction("""COMPUTED_VALUE"""),"thinhnh")</f>
        <v>thinhnh</v>
      </c>
      <c r="Y21" s="44"/>
      <c r="Z21" s="57"/>
      <c r="AA21" s="57"/>
      <c r="AB21" s="41" t="n">
        <f aca="false">IFERROR(__xludf.dummyfunction("""COMPUTED_VALUE"""),5)</f>
        <v>5</v>
      </c>
      <c r="AC21" s="57"/>
      <c r="AD21" s="46" t="str">
        <f aca="false">IFERROR(__xludf.dummyfunction("""COMPUTED_VALUE"""),"nentangtoan_thaynam")</f>
        <v>nentangtoan_thaynam</v>
      </c>
      <c r="AE21" s="46"/>
      <c r="AF21" s="47" t="str">
        <f aca="false">IFERROR(__xludf.dummyfunction("""COMPUTED_VALUE"""),"lophoctoan-946161")</f>
        <v>lophoctoan-946161</v>
      </c>
      <c r="AG21" s="46" t="str">
        <f aca="false">IFERROR(__xludf.dummyfunction("""COMPUTED_VALUE"""),"")</f>
        <v/>
      </c>
      <c r="AH21" s="53" t="b">
        <f aca="false">IFERROR(__xludf.dummyfunction("""COMPUTED_VALUE"""),TRUE())</f>
        <v>1</v>
      </c>
      <c r="AI21" s="35"/>
      <c r="AJ21" s="35"/>
      <c r="AK21" s="35"/>
      <c r="AL21" s="35"/>
      <c r="AM21" s="35"/>
      <c r="AN21" s="35"/>
      <c r="AO21" s="46"/>
    </row>
    <row r="22" customFormat="false" ht="15.75" hidden="false" customHeight="true" outlineLevel="0" collapsed="false">
      <c r="A22" s="37" t="str">
        <f aca="false">IFERROR(__xludf.dummyfunction("""COMPUTED_VALUE"""),"Toán")</f>
        <v>Toán</v>
      </c>
      <c r="B22" s="37" t="str">
        <f aca="false">IFERROR(__xludf.dummyfunction("""COMPUTED_VALUE"""),"NT_T_14")</f>
        <v>NT_T_14</v>
      </c>
      <c r="C22" s="59" t="str">
        <f aca="false">IFERROR(__xludf.dummyfunction("""COMPUTED_VALUE"""),"Cực trị của hàm số (P2)")</f>
        <v>Cực trị của hàm số (P2)</v>
      </c>
      <c r="D22" s="39" t="str">
        <f aca="false">IFERROR(__xludf.dummyfunction("""COMPUTED_VALUE"""),"Nguyễn Thanh Tùng")</f>
        <v>Nguyễn Thanh Tùng</v>
      </c>
      <c r="E22" s="40" t="n">
        <f aca="false">IFERROR(__xludf.dummyfunction("""COMPUTED_VALUE"""),46162)</f>
        <v>46162</v>
      </c>
      <c r="F22" s="41" t="n">
        <f aca="false">IFERROR(__xludf.dummyfunction("""COMPUTED_VALUE"""),4)</f>
        <v>4</v>
      </c>
      <c r="G22" s="37" t="str">
        <f aca="false">IFERROR(__xludf.dummyfunction("""COMPUTED_VALUE"""),"20:00-22:00")</f>
        <v>20:00-22:00</v>
      </c>
      <c r="H22" s="42" t="str">
        <f aca="false">IFERROR(__xludf.dummyfunction("""COMPUTED_VALUE"""),"https://hocmai.vn/mod/scorm/view_file.php?id=180138")</f>
        <v>https://hocmai.vn/mod/scorm/view_file.php?id=180138</v>
      </c>
      <c r="I22" s="42" t="str">
        <f aca="false">IFERROR(__xludf.dummyfunction("""COMPUTED_VALUE"""),"https://hocmai.vn/mod/scorm/view_file.php?id=180166")</f>
        <v>https://hocmai.vn/mod/scorm/view_file.php?id=180166</v>
      </c>
      <c r="J22" s="55" t="str">
        <f aca="false">IFERROR(__xludf.dummyfunction("""COMPUTED_VALUE"""),"https://drive.google.com/drive/folders/1Ycl6619I1qcaUCAjfB4uIc4j-T--DDvS?usp=drive_link")</f>
        <v>https://drive.google.com/drive/folders/1Ycl6619I1qcaUCAjfB4uIc4j-T--DDvS?usp=drive_link</v>
      </c>
      <c r="K22" s="37" t="str">
        <f aca="false">IFERROR(__xludf.dummyfunction("""COMPUTED_VALUE"""),"Chientd2")</f>
        <v>Chientd2</v>
      </c>
      <c r="L22" s="37" t="str">
        <f aca="false">IFERROR(__xludf.dummyfunction("""COMPUTED_VALUE"""),"Tưởng Thị Huyền Trang")</f>
        <v>Tưởng Thị Huyền Trang</v>
      </c>
      <c r="M22" s="43" t="str">
        <f aca="false">IFERROR(__xludf.dummyfunction("""COMPUTED_VALUE"""),"https://hocmai.sharepoint.com/Education_Development/Lists/San_xuat_video/DispForm.aspx?ID=12153")</f>
        <v>https://hocmai.sharepoint.com/Education_Development/Lists/San_xuat_video/DispForm.aspx?ID=12153</v>
      </c>
      <c r="N22" s="41" t="n">
        <f aca="false">IFERROR(__xludf.dummyfunction("""COMPUTED_VALUE"""),3312)</f>
        <v>3312</v>
      </c>
      <c r="O22" s="41" t="n">
        <f aca="false">IFERROR(__xludf.dummyfunction("""COMPUTED_VALUE"""),166547)</f>
        <v>166547</v>
      </c>
      <c r="P22" s="41"/>
      <c r="Q22" s="41" t="n">
        <f aca="false">IFERROR(__xludf.dummyfunction("""COMPUTED_VALUE"""),7908)</f>
        <v>7908</v>
      </c>
      <c r="R22" s="41"/>
      <c r="S22" s="41"/>
      <c r="T22" s="41" t="n">
        <f aca="false">IFERROR(__xludf.dummyfunction("""COMPUTED_VALUE"""),7909)</f>
        <v>7909</v>
      </c>
      <c r="U22" s="41" t="n">
        <f aca="false">IFERROR(__xludf.dummyfunction("""COMPUTED_VALUE"""),23039)</f>
        <v>23039</v>
      </c>
      <c r="V22" s="40" t="n">
        <f aca="false">IFERROR(__xludf.dummyfunction("""COMPUTED_VALUE"""),46165)</f>
        <v>46165</v>
      </c>
      <c r="W22" s="39" t="str">
        <f aca="false">IFERROR(__xludf.dummyfunction("""COMPUTED_VALUE"""),"Hoàn thành XB")</f>
        <v>Hoàn thành XB</v>
      </c>
      <c r="X22" s="41" t="str">
        <f aca="false">IFERROR(__xludf.dummyfunction("""COMPUTED_VALUE"""),"Huent7")</f>
        <v>Huent7</v>
      </c>
      <c r="Y22" s="44"/>
      <c r="Z22" s="57"/>
      <c r="AA22" s="57"/>
      <c r="AB22" s="41" t="n">
        <f aca="false">IFERROR(__xludf.dummyfunction("""COMPUTED_VALUE"""),5)</f>
        <v>5</v>
      </c>
      <c r="AC22" s="57" t="str">
        <f aca="false">IFERROR(__xludf.dummyfunction("""COMPUTED_VALUE"""),"nentangtoan")</f>
        <v>nentangtoan</v>
      </c>
      <c r="AD22" s="46" t="str">
        <f aca="false">IFERROR(__xludf.dummyfunction("""COMPUTED_VALUE"""),"Outline BG chưa khớp với nội dung GV giảng =&gt; Đã báo BTV")</f>
        <v>Outline BG chưa khớp với nội dung GV giảng =&gt; Đã báo BTV</v>
      </c>
      <c r="AE22" s="46"/>
      <c r="AF22" s="47" t="str">
        <f aca="false">IFERROR(__xludf.dummyfunction("""COMPUTED_VALUE"""),"lophoctoan-946162")</f>
        <v>lophoctoan-946162</v>
      </c>
      <c r="AG22" s="46" t="str">
        <f aca="false">IFERROR(__xludf.dummyfunction("""COMPUTED_VALUE"""),"")</f>
        <v/>
      </c>
      <c r="AH22" s="53" t="b">
        <f aca="false">IFERROR(__xludf.dummyfunction("""COMPUTED_VALUE"""),TRUE())</f>
        <v>1</v>
      </c>
      <c r="AI22" s="35"/>
      <c r="AJ22" s="35"/>
      <c r="AK22" s="35"/>
      <c r="AL22" s="35"/>
      <c r="AM22" s="35"/>
      <c r="AN22" s="35"/>
      <c r="AO22" s="46"/>
    </row>
    <row r="23" customFormat="false" ht="15.75" hidden="false" customHeight="true" outlineLevel="0" collapsed="false">
      <c r="A23" s="37" t="str">
        <f aca="false">IFERROR(__xludf.dummyfunction("""COMPUTED_VALUE"""),"Toán")</f>
        <v>Toán</v>
      </c>
      <c r="B23" s="37" t="str">
        <f aca="false">IFERROR(__xludf.dummyfunction("""COMPUTED_VALUE"""),"NT_T_15")</f>
        <v>NT_T_15</v>
      </c>
      <c r="C23" s="38" t="str">
        <f aca="false">IFERROR(__xludf.dummyfunction("""COMPUTED_VALUE"""),"Min – max của hàm số (P1)")</f>
        <v>Min – max của hàm số (P1)</v>
      </c>
      <c r="D23" s="39" t="str">
        <f aca="false">IFERROR(__xludf.dummyfunction("""COMPUTED_VALUE"""),"Nguyễn Thanh Tùng")</f>
        <v>Nguyễn Thanh Tùng</v>
      </c>
      <c r="E23" s="40" t="n">
        <f aca="false">IFERROR(__xludf.dummyfunction("""COMPUTED_VALUE"""),46165)</f>
        <v>46165</v>
      </c>
      <c r="F23" s="41" t="n">
        <f aca="false">IFERROR(__xludf.dummyfunction("""COMPUTED_VALUE"""),7)</f>
        <v>7</v>
      </c>
      <c r="G23" s="37" t="str">
        <f aca="false">IFERROR(__xludf.dummyfunction("""COMPUTED_VALUE"""),"20:00-22:00")</f>
        <v>20:00-22:00</v>
      </c>
      <c r="H23" s="42" t="str">
        <f aca="false">IFERROR(__xludf.dummyfunction("""COMPUTED_VALUE"""),"https://hocmai.vn/mod/scorm/view_file.php?id=180168")</f>
        <v>https://hocmai.vn/mod/scorm/view_file.php?id=180168</v>
      </c>
      <c r="I23" s="42" t="str">
        <f aca="false">IFERROR(__xludf.dummyfunction("""COMPUTED_VALUE"""),"https://hocmai.vn/mod/scorm/view_file.php?id=180176")</f>
        <v>https://hocmai.vn/mod/scorm/view_file.php?id=180176</v>
      </c>
      <c r="J23" s="42" t="str">
        <f aca="false">IFERROR(__xludf.dummyfunction("""COMPUTED_VALUE"""),"https://drive.google.com/drive/folders/1uoNC8cTvCsk7_S3JvgJznQIbEBC-Iyb8?usp=drive_link")</f>
        <v>https://drive.google.com/drive/folders/1uoNC8cTvCsk7_S3JvgJznQIbEBC-Iyb8?usp=drive_link</v>
      </c>
      <c r="K23" s="37" t="str">
        <f aca="false">IFERROR(__xludf.dummyfunction("""COMPUTED_VALUE"""),"Chientd2")</f>
        <v>Chientd2</v>
      </c>
      <c r="L23" s="37" t="str">
        <f aca="false">IFERROR(__xludf.dummyfunction("""COMPUTED_VALUE"""),"Tưởng Thị Huyền Trang")</f>
        <v>Tưởng Thị Huyền Trang</v>
      </c>
      <c r="M23" s="43" t="str">
        <f aca="false">IFERROR(__xludf.dummyfunction("""COMPUTED_VALUE"""),"https://hocmai.sharepoint.com/Education_Development/Lists/San_xuat_video/DispForm.aspx?ID=12154")</f>
        <v>https://hocmai.sharepoint.com/Education_Development/Lists/San_xuat_video/DispForm.aspx?ID=12154</v>
      </c>
      <c r="N23" s="41" t="n">
        <f aca="false">IFERROR(__xludf.dummyfunction("""COMPUTED_VALUE"""),3312)</f>
        <v>3312</v>
      </c>
      <c r="O23" s="41" t="n">
        <f aca="false">IFERROR(__xludf.dummyfunction("""COMPUTED_VALUE"""),166548)</f>
        <v>166548</v>
      </c>
      <c r="P23" s="41"/>
      <c r="Q23" s="41" t="n">
        <f aca="false">IFERROR(__xludf.dummyfunction("""COMPUTED_VALUE"""),7910)</f>
        <v>7910</v>
      </c>
      <c r="R23" s="63"/>
      <c r="S23" s="63"/>
      <c r="T23" s="41" t="n">
        <f aca="false">IFERROR(__xludf.dummyfunction("""COMPUTED_VALUE"""),7911)</f>
        <v>7911</v>
      </c>
      <c r="U23" s="41" t="n">
        <f aca="false">IFERROR(__xludf.dummyfunction("""COMPUTED_VALUE"""),23061)</f>
        <v>23061</v>
      </c>
      <c r="V23" s="40" t="n">
        <f aca="false">IFERROR(__xludf.dummyfunction("""COMPUTED_VALUE"""),46168)</f>
        <v>46168</v>
      </c>
      <c r="W23" s="39" t="str">
        <f aca="false">IFERROR(__xludf.dummyfunction("""COMPUTED_VALUE"""),"Hoàn thành XB")</f>
        <v>Hoàn thành XB</v>
      </c>
      <c r="X23" s="41" t="str">
        <f aca="false">IFERROR(__xludf.dummyfunction("""COMPUTED_VALUE"""),"Huent7")</f>
        <v>Huent7</v>
      </c>
      <c r="Y23" s="44"/>
      <c r="Z23" s="57"/>
      <c r="AA23" s="57"/>
      <c r="AB23" s="41" t="n">
        <f aca="false">IFERROR(__xludf.dummyfunction("""COMPUTED_VALUE"""),5)</f>
        <v>5</v>
      </c>
      <c r="AC23" s="57" t="str">
        <f aca="false">IFERROR(__xludf.dummyfunction("""COMPUTED_VALUE"""),"nentangtoan")</f>
        <v>nentangtoan</v>
      </c>
      <c r="AD23" s="46"/>
      <c r="AE23" s="46"/>
      <c r="AF23" s="47" t="str">
        <f aca="false">IFERROR(__xludf.dummyfunction("""COMPUTED_VALUE"""),"lophoctoan-946165")</f>
        <v>lophoctoan-946165</v>
      </c>
      <c r="AG23" s="46" t="str">
        <f aca="false">IFERROR(__xludf.dummyfunction("""COMPUTED_VALUE"""),"")</f>
        <v/>
      </c>
      <c r="AH23" s="53" t="b">
        <f aca="false">IFERROR(__xludf.dummyfunction("""COMPUTED_VALUE"""),TRUE())</f>
        <v>1</v>
      </c>
      <c r="AI23" s="35"/>
      <c r="AJ23" s="35"/>
      <c r="AK23" s="35"/>
      <c r="AL23" s="35"/>
      <c r="AM23" s="35"/>
      <c r="AN23" s="35"/>
      <c r="AO23" s="46"/>
    </row>
    <row r="24" customFormat="false" ht="15.75" hidden="false" customHeight="true" outlineLevel="0" collapsed="false">
      <c r="A24" s="37" t="str">
        <f aca="false">IFERROR(__xludf.dummyfunction("""COMPUTED_VALUE"""),"Toán")</f>
        <v>Toán</v>
      </c>
      <c r="B24" s="37" t="str">
        <f aca="false">IFERROR(__xludf.dummyfunction("""COMPUTED_VALUE"""),"NT_T_15")</f>
        <v>NT_T_15</v>
      </c>
      <c r="C24" s="38" t="str">
        <f aca="false">IFERROR(__xludf.dummyfunction("""COMPUTED_VALUE"""),"Min – max của hàm số (P2)")</f>
        <v>Min – max của hàm số (P2)</v>
      </c>
      <c r="D24" s="39" t="str">
        <f aca="false">IFERROR(__xludf.dummyfunction("""COMPUTED_VALUE"""),"Nguyễn Thanh Tùng")</f>
        <v>Nguyễn Thanh Tùng</v>
      </c>
      <c r="E24" s="40" t="n">
        <f aca="false">IFERROR(__xludf.dummyfunction("""COMPUTED_VALUE"""),46166)</f>
        <v>46166</v>
      </c>
      <c r="F24" s="41" t="str">
        <f aca="false">IFERROR(__xludf.dummyfunction("""COMPUTED_VALUE"""),"CN")</f>
        <v>CN</v>
      </c>
      <c r="G24" s="37" t="str">
        <f aca="false">IFERROR(__xludf.dummyfunction("""COMPUTED_VALUE"""),"20:00-22:00")</f>
        <v>20:00-22:00</v>
      </c>
      <c r="H24" s="42" t="str">
        <f aca="false">IFERROR(__xludf.dummyfunction("""COMPUTED_VALUE"""),"https://hocmai.vn/mod/scorm/view_file.php?id=180172")</f>
        <v>https://hocmai.vn/mod/scorm/view_file.php?id=180172</v>
      </c>
      <c r="I24" s="42" t="str">
        <f aca="false">IFERROR(__xludf.dummyfunction("""COMPUTED_VALUE"""),"https://hocmai.vn/mod/scorm/view_file.php?id=180178")</f>
        <v>https://hocmai.vn/mod/scorm/view_file.php?id=180178</v>
      </c>
      <c r="J24" s="42" t="str">
        <f aca="false">IFERROR(__xludf.dummyfunction("""COMPUTED_VALUE"""),"https://drive.google.com/drive/folders/1uoNC8cTvCsk7_S3JvgJznQIbEBC-Iyb8?usp=drive_link")</f>
        <v>https://drive.google.com/drive/folders/1uoNC8cTvCsk7_S3JvgJznQIbEBC-Iyb8?usp=drive_link</v>
      </c>
      <c r="K24" s="37" t="str">
        <f aca="false">IFERROR(__xludf.dummyfunction("""COMPUTED_VALUE"""),"Chientd2")</f>
        <v>Chientd2</v>
      </c>
      <c r="L24" s="37" t="str">
        <f aca="false">IFERROR(__xludf.dummyfunction("""COMPUTED_VALUE"""),"Tưởng Thị Huyền Trang")</f>
        <v>Tưởng Thị Huyền Trang</v>
      </c>
      <c r="M24" s="43" t="str">
        <f aca="false">IFERROR(__xludf.dummyfunction("""COMPUTED_VALUE"""),"https://hocmai.sharepoint.com/Education_Development/Lists/San_xuat_video/DispForm.aspx?ID=12154")</f>
        <v>https://hocmai.sharepoint.com/Education_Development/Lists/San_xuat_video/DispForm.aspx?ID=12154</v>
      </c>
      <c r="N24" s="41" t="n">
        <f aca="false">IFERROR(__xludf.dummyfunction("""COMPUTED_VALUE"""),3312)</f>
        <v>3312</v>
      </c>
      <c r="O24" s="41" t="n">
        <f aca="false">IFERROR(__xludf.dummyfunction("""COMPUTED_VALUE"""),166548)</f>
        <v>166548</v>
      </c>
      <c r="P24" s="41"/>
      <c r="Q24" s="41" t="n">
        <f aca="false">IFERROR(__xludf.dummyfunction("""COMPUTED_VALUE"""),7910)</f>
        <v>7910</v>
      </c>
      <c r="R24" s="41"/>
      <c r="S24" s="41"/>
      <c r="T24" s="41" t="n">
        <f aca="false">IFERROR(__xludf.dummyfunction("""COMPUTED_VALUE"""),7910)</f>
        <v>7910</v>
      </c>
      <c r="U24" s="41" t="n">
        <f aca="false">IFERROR(__xludf.dummyfunction("""COMPUTED_VALUE"""),23072)</f>
        <v>23072</v>
      </c>
      <c r="V24" s="40" t="n">
        <f aca="false">IFERROR(__xludf.dummyfunction("""COMPUTED_VALUE"""),46169)</f>
        <v>46169</v>
      </c>
      <c r="W24" s="39" t="str">
        <f aca="false">IFERROR(__xludf.dummyfunction("""COMPUTED_VALUE"""),"Hoàn thành XB")</f>
        <v>Hoàn thành XB</v>
      </c>
      <c r="X24" s="41" t="str">
        <f aca="false">IFERROR(__xludf.dummyfunction("""COMPUTED_VALUE"""),"Huent7")</f>
        <v>Huent7</v>
      </c>
      <c r="Y24" s="44"/>
      <c r="Z24" s="57"/>
      <c r="AA24" s="57"/>
      <c r="AB24" s="41" t="n">
        <f aca="false">IFERROR(__xludf.dummyfunction("""COMPUTED_VALUE"""),5)</f>
        <v>5</v>
      </c>
      <c r="AC24" s="57" t="str">
        <f aca="false">IFERROR(__xludf.dummyfunction("""COMPUTED_VALUE"""),"nentangtoan")</f>
        <v>nentangtoan</v>
      </c>
      <c r="AD24" s="46" t="str">
        <f aca="false">IFERROR(__xludf.dummyfunction("""COMPUTED_VALUE"""),"Chưa có outtro =&gt; Đã báo xb")</f>
        <v>Chưa có outtro =&gt; Đã báo xb</v>
      </c>
      <c r="AE24" s="46"/>
      <c r="AF24" s="47" t="str">
        <f aca="false">IFERROR(__xludf.dummyfunction("""COMPUTED_VALUE"""),"lophoctoan-946166")</f>
        <v>lophoctoan-946166</v>
      </c>
      <c r="AG24" s="46" t="str">
        <f aca="false">IFERROR(__xludf.dummyfunction("""COMPUTED_VALUE"""),"")</f>
        <v/>
      </c>
      <c r="AH24" s="53" t="b">
        <f aca="false">IFERROR(__xludf.dummyfunction("""COMPUTED_VALUE"""),TRUE())</f>
        <v>1</v>
      </c>
      <c r="AI24" s="35"/>
      <c r="AJ24" s="35"/>
      <c r="AK24" s="35"/>
      <c r="AL24" s="35"/>
      <c r="AM24" s="35"/>
      <c r="AN24" s="35"/>
      <c r="AO24" s="46"/>
    </row>
    <row r="25" customFormat="false" ht="15.75" hidden="false" customHeight="true" outlineLevel="0" collapsed="false">
      <c r="A25" s="37" t="str">
        <f aca="false">IFERROR(__xludf.dummyfunction("""COMPUTED_VALUE"""),"Toán")</f>
        <v>Toán</v>
      </c>
      <c r="B25" s="37" t="str">
        <f aca="false">IFERROR(__xludf.dummyfunction("""COMPUTED_VALUE"""),"NT_T_16")</f>
        <v>NT_T_16</v>
      </c>
      <c r="C25" s="59" t="str">
        <f aca="false">IFERROR(__xludf.dummyfunction("""COMPUTED_VALUE"""),"Tương giao của đồ thị hàm số")</f>
        <v>Tương giao của đồ thị hàm số</v>
      </c>
      <c r="D25" s="39" t="str">
        <f aca="false">IFERROR(__xludf.dummyfunction("""COMPUTED_VALUE"""),"Nguyễn Thanh Tùng")</f>
        <v>Nguyễn Thanh Tùng</v>
      </c>
      <c r="E25" s="40" t="n">
        <f aca="false">IFERROR(__xludf.dummyfunction("""COMPUTED_VALUE"""),46166)</f>
        <v>46166</v>
      </c>
      <c r="F25" s="41" t="str">
        <f aca="false">IFERROR(__xludf.dummyfunction("""COMPUTED_VALUE"""),"CN")</f>
        <v>CN</v>
      </c>
      <c r="G25" s="37" t="str">
        <f aca="false">IFERROR(__xludf.dummyfunction("""COMPUTED_VALUE"""),"18:00-20:00")</f>
        <v>18:00-20:00</v>
      </c>
      <c r="H25" s="42" t="str">
        <f aca="false">IFERROR(__xludf.dummyfunction("""COMPUTED_VALUE"""),"https://hocmai.vn/mod/scorm/view_file.php?id=180173")</f>
        <v>https://hocmai.vn/mod/scorm/view_file.php?id=180173</v>
      </c>
      <c r="I25" s="42" t="str">
        <f aca="false">IFERROR(__xludf.dummyfunction("""COMPUTED_VALUE"""),"https://hocmai.vn/mod/scorm/view_file.php?id=180180")</f>
        <v>https://hocmai.vn/mod/scorm/view_file.php?id=180180</v>
      </c>
      <c r="J25" s="55" t="str">
        <f aca="false">IFERROR(__xludf.dummyfunction("""COMPUTED_VALUE"""),"https://drive.google.com/drive/folders/1bmKFOGgfd0V_nVx289MN28FE4oYeOmCT?usp=drive_link")</f>
        <v>https://drive.google.com/drive/folders/1bmKFOGgfd0V_nVx289MN28FE4oYeOmCT?usp=drive_link</v>
      </c>
      <c r="K25" s="37" t="str">
        <f aca="false">IFERROR(__xludf.dummyfunction("""COMPUTED_VALUE"""),"Chientd2")</f>
        <v>Chientd2</v>
      </c>
      <c r="L25" s="37" t="str">
        <f aca="false">IFERROR(__xludf.dummyfunction("""COMPUTED_VALUE"""),"Tưởng Thị Huyền Trang")</f>
        <v>Tưởng Thị Huyền Trang</v>
      </c>
      <c r="M25" s="43" t="str">
        <f aca="false">IFERROR(__xludf.dummyfunction("""COMPUTED_VALUE"""),"https://hocmai.sharepoint.com/Education_Development/Lists/San_xuat_video/DispForm.aspx?ID=12155")</f>
        <v>https://hocmai.sharepoint.com/Education_Development/Lists/San_xuat_video/DispForm.aspx?ID=12155</v>
      </c>
      <c r="N25" s="41" t="n">
        <f aca="false">IFERROR(__xludf.dummyfunction("""COMPUTED_VALUE"""),3312)</f>
        <v>3312</v>
      </c>
      <c r="O25" s="41" t="n">
        <f aca="false">IFERROR(__xludf.dummyfunction("""COMPUTED_VALUE"""),166549)</f>
        <v>166549</v>
      </c>
      <c r="P25" s="41"/>
      <c r="Q25" s="41" t="n">
        <f aca="false">IFERROR(__xludf.dummyfunction("""COMPUTED_VALUE"""),7912)</f>
        <v>7912</v>
      </c>
      <c r="R25" s="41"/>
      <c r="S25" s="41"/>
      <c r="T25" s="41" t="n">
        <f aca="false">IFERROR(__xludf.dummyfunction("""COMPUTED_VALUE"""),7913)</f>
        <v>7913</v>
      </c>
      <c r="U25" s="41" t="n">
        <f aca="false">IFERROR(__xludf.dummyfunction("""COMPUTED_VALUE"""),23073)</f>
        <v>23073</v>
      </c>
      <c r="V25" s="40" t="n">
        <f aca="false">IFERROR(__xludf.dummyfunction("""COMPUTED_VALUE"""),46169)</f>
        <v>46169</v>
      </c>
      <c r="W25" s="39" t="str">
        <f aca="false">IFERROR(__xludf.dummyfunction("""COMPUTED_VALUE"""),"Hoàn thành XB")</f>
        <v>Hoàn thành XB</v>
      </c>
      <c r="X25" s="41" t="str">
        <f aca="false">IFERROR(__xludf.dummyfunction("""COMPUTED_VALUE"""),"Huent7")</f>
        <v>Huent7</v>
      </c>
      <c r="Y25" s="44"/>
      <c r="Z25" s="57"/>
      <c r="AA25" s="57"/>
      <c r="AB25" s="41" t="n">
        <f aca="false">IFERROR(__xludf.dummyfunction("""COMPUTED_VALUE"""),5)</f>
        <v>5</v>
      </c>
      <c r="AC25" s="57" t="str">
        <f aca="false">IFERROR(__xludf.dummyfunction("""COMPUTED_VALUE"""),"nentangtoan")</f>
        <v>nentangtoan</v>
      </c>
      <c r="AD25" s="46"/>
      <c r="AE25" s="46"/>
      <c r="AF25" s="47" t="str">
        <f aca="false">IFERROR(__xludf.dummyfunction("""COMPUTED_VALUE"""),"lophoctoan-946166")</f>
        <v>lophoctoan-946166</v>
      </c>
      <c r="AG25" s="46" t="str">
        <f aca="false">IFERROR(__xludf.dummyfunction("""COMPUTED_VALUE"""),"")</f>
        <v/>
      </c>
      <c r="AH25" s="53" t="b">
        <f aca="false">IFERROR(__xludf.dummyfunction("""COMPUTED_VALUE"""),TRUE())</f>
        <v>1</v>
      </c>
      <c r="AI25" s="35"/>
      <c r="AJ25" s="35"/>
      <c r="AK25" s="35"/>
      <c r="AL25" s="35"/>
      <c r="AM25" s="35"/>
      <c r="AN25" s="35"/>
      <c r="AO25" s="46"/>
    </row>
    <row r="26" customFormat="false" ht="15.75" hidden="false" customHeight="true" outlineLevel="0" collapsed="false">
      <c r="A26" s="37" t="str">
        <f aca="false">IFERROR(__xludf.dummyfunction("""COMPUTED_VALUE"""),"Toán")</f>
        <v>Toán</v>
      </c>
      <c r="B26" s="39" t="str">
        <f aca="false">IFERROR(__xludf.dummyfunction("""COMPUTED_VALUE"""),"NT_N_06")</f>
        <v>NT_N_06</v>
      </c>
      <c r="C26" s="37" t="str">
        <f aca="false">IFERROR(__xludf.dummyfunction("""COMPUTED_VALUE"""),"Tính đơn điệu của hàm số (P2)")</f>
        <v>Tính đơn điệu của hàm số (P2)</v>
      </c>
      <c r="D26" s="39" t="str">
        <f aca="false">IFERROR(__xludf.dummyfunction("""COMPUTED_VALUE"""),"Nguyễn Hoài Nam")</f>
        <v>Nguyễn Hoài Nam</v>
      </c>
      <c r="E26" s="40" t="n">
        <f aca="false">IFERROR(__xludf.dummyfunction("""COMPUTED_VALUE"""),46168)</f>
        <v>46168</v>
      </c>
      <c r="F26" s="41" t="n">
        <f aca="false">IFERROR(__xludf.dummyfunction("""COMPUTED_VALUE"""),3)</f>
        <v>3</v>
      </c>
      <c r="G26" s="37" t="str">
        <f aca="false">IFERROR(__xludf.dummyfunction("""COMPUTED_VALUE"""),"21:00-22:30")</f>
        <v>21:00-22:30</v>
      </c>
      <c r="H26" s="42" t="str">
        <f aca="false">IFERROR(__xludf.dummyfunction("""COMPUTED_VALUE"""),"https://hocmai.vn/mod/scorm/view_file.php?inpopup=true&amp;id=180185")</f>
        <v>https://hocmai.vn/mod/scorm/view_file.php?inpopup=true&amp;id=180185</v>
      </c>
      <c r="I26" s="42" t="str">
        <f aca="false">IFERROR(__xludf.dummyfunction("""COMPUTED_VALUE"""),"https://hocmai.vn/mod/scorm/view_file.php?inpopup=true&amp;id=180186")</f>
        <v>https://hocmai.vn/mod/scorm/view_file.php?inpopup=true&amp;id=180186</v>
      </c>
      <c r="J26" s="62"/>
      <c r="K26" s="37" t="str">
        <f aca="false">IFERROR(__xludf.dummyfunction("""COMPUTED_VALUE"""),"thinhnh")</f>
        <v>thinhnh</v>
      </c>
      <c r="L26" s="37" t="str">
        <f aca="false">IFERROR(__xludf.dummyfunction("""COMPUTED_VALUE"""),"Lê Quốc Việt")</f>
        <v>Lê Quốc Việt</v>
      </c>
      <c r="M26" s="43" t="str">
        <f aca="false">IFERROR(__xludf.dummyfunction("""COMPUTED_VALUE"""),"https://hocmai.sharepoint.com/Education_Development/Lists/San_xuat_video/DispForm.aspx?ID=12193")</f>
        <v>https://hocmai.sharepoint.com/Education_Development/Lists/San_xuat_video/DispForm.aspx?ID=12193</v>
      </c>
      <c r="N26" s="58" t="n">
        <f aca="false">IFERROR(__xludf.dummyfunction("""COMPUTED_VALUE"""),3313)</f>
        <v>3313</v>
      </c>
      <c r="O26" s="41" t="n">
        <f aca="false">IFERROR(__xludf.dummyfunction("""COMPUTED_VALUE"""),166631)</f>
        <v>166631</v>
      </c>
      <c r="P26" s="41"/>
      <c r="Q26" s="41" t="n">
        <f aca="false">IFERROR(__xludf.dummyfunction("""COMPUTED_VALUE"""),8008)</f>
        <v>8008</v>
      </c>
      <c r="R26" s="41"/>
      <c r="S26" s="41"/>
      <c r="T26" s="41" t="n">
        <f aca="false">IFERROR(__xludf.dummyfunction("""COMPUTED_VALUE"""),8009)</f>
        <v>8009</v>
      </c>
      <c r="U26" s="41" t="n">
        <f aca="false">IFERROR(__xludf.dummyfunction("""COMPUTED_VALUE"""),23100)</f>
        <v>23100</v>
      </c>
      <c r="V26" s="40" t="n">
        <f aca="false">IFERROR(__xludf.dummyfunction("""COMPUTED_VALUE"""),46168)</f>
        <v>46168</v>
      </c>
      <c r="W26" s="39" t="str">
        <f aca="false">IFERROR(__xludf.dummyfunction("""COMPUTED_VALUE"""),"Hoàn thành XB")</f>
        <v>Hoàn thành XB</v>
      </c>
      <c r="X26" s="41" t="str">
        <f aca="false">IFERROR(__xludf.dummyfunction("""COMPUTED_VALUE"""),"Huent7")</f>
        <v>Huent7</v>
      </c>
      <c r="Y26" s="44"/>
      <c r="Z26" s="57"/>
      <c r="AA26" s="57"/>
      <c r="AB26" s="41" t="n">
        <f aca="false">IFERROR(__xludf.dummyfunction("""COMPUTED_VALUE"""),5)</f>
        <v>5</v>
      </c>
      <c r="AC26" s="57" t="str">
        <f aca="false">IFERROR(__xludf.dummyfunction("""COMPUTED_VALUE"""),"Hình ảnh hơi mờ và âm thanh hơi bé =&gt; Đã báo BTV")</f>
        <v>Hình ảnh hơi mờ và âm thanh hơi bé =&gt; Đã báo BTV</v>
      </c>
      <c r="AD26" s="64" t="str">
        <f aca="false">IFERROR(__xludf.dummyfunction("""COMPUTED_VALUE"""),"nentangtoan_thaynam")</f>
        <v>nentangtoan_thaynam</v>
      </c>
      <c r="AE26" s="64"/>
      <c r="AF26" s="65" t="str">
        <f aca="false">IFERROR(__xludf.dummyfunction("""COMPUTED_VALUE"""),"lophoctoan-946168")</f>
        <v>lophoctoan-946168</v>
      </c>
      <c r="AG26" s="64" t="str">
        <f aca="false">IFERROR(__xludf.dummyfunction("""COMPUTED_VALUE"""),"")</f>
        <v/>
      </c>
      <c r="AH26" s="66" t="b">
        <f aca="false">IFERROR(__xludf.dummyfunction("""COMPUTED_VALUE"""),TRUE())</f>
        <v>1</v>
      </c>
      <c r="AI26" s="67"/>
      <c r="AJ26" s="67"/>
      <c r="AK26" s="67"/>
      <c r="AL26" s="67"/>
      <c r="AM26" s="67"/>
      <c r="AN26" s="67"/>
      <c r="AO26" s="64"/>
    </row>
    <row r="27" customFormat="false" ht="15.75" hidden="false" customHeight="true" outlineLevel="0" collapsed="false">
      <c r="A27" s="37" t="str">
        <f aca="false">IFERROR(__xludf.dummyfunction("""COMPUTED_VALUE"""),"Toán")</f>
        <v>Toán</v>
      </c>
      <c r="B27" s="37" t="str">
        <f aca="false">IFERROR(__xludf.dummyfunction("""COMPUTED_VALUE"""),"NT_T_17")</f>
        <v>NT_T_17</v>
      </c>
      <c r="C27" s="38" t="str">
        <f aca="false">IFERROR(__xludf.dummyfunction("""COMPUTED_VALUE"""),"Tiệm cận của đồ thị hàm số (P1)")</f>
        <v>Tiệm cận của đồ thị hàm số (P1)</v>
      </c>
      <c r="D27" s="39" t="str">
        <f aca="false">IFERROR(__xludf.dummyfunction("""COMPUTED_VALUE"""),"Nguyễn Thanh Tùng")</f>
        <v>Nguyễn Thanh Tùng</v>
      </c>
      <c r="E27" s="40" t="n">
        <f aca="false">IFERROR(__xludf.dummyfunction("""COMPUTED_VALUE"""),46169)</f>
        <v>46169</v>
      </c>
      <c r="F27" s="41" t="n">
        <f aca="false">IFERROR(__xludf.dummyfunction("""COMPUTED_VALUE"""),4)</f>
        <v>4</v>
      </c>
      <c r="G27" s="37" t="str">
        <f aca="false">IFERROR(__xludf.dummyfunction("""COMPUTED_VALUE"""),"20:00-22:00")</f>
        <v>20:00-22:00</v>
      </c>
      <c r="H27" s="42" t="str">
        <f aca="false">IFERROR(__xludf.dummyfunction("""COMPUTED_VALUE"""),"https://hocmai.vn/mod/scorm/view_file.php?id=180184")</f>
        <v>https://hocmai.vn/mod/scorm/view_file.php?id=180184</v>
      </c>
      <c r="I27" s="42" t="str">
        <f aca="false">IFERROR(__xludf.dummyfunction("""COMPUTED_VALUE"""),"https://hocmai.vn/mod/scorm/view_file.php?id=180192")</f>
        <v>https://hocmai.vn/mod/scorm/view_file.php?id=180192</v>
      </c>
      <c r="J27" s="42" t="str">
        <f aca="false">IFERROR(__xludf.dummyfunction("""COMPUTED_VALUE"""),"https://drive.google.com/drive/folders/1W27G-KXm8U1uZQxc39Owkmg_kfWtXQeY?usp=drive_link")</f>
        <v>https://drive.google.com/drive/folders/1W27G-KXm8U1uZQxc39Owkmg_kfWtXQeY?usp=drive_link</v>
      </c>
      <c r="K27" s="37" t="str">
        <f aca="false">IFERROR(__xludf.dummyfunction("""COMPUTED_VALUE"""),"Chientd2")</f>
        <v>Chientd2</v>
      </c>
      <c r="L27" s="37" t="str">
        <f aca="false">IFERROR(__xludf.dummyfunction("""COMPUTED_VALUE"""),"Tưởng Thị Huyền Trang")</f>
        <v>Tưởng Thị Huyền Trang</v>
      </c>
      <c r="M27" s="43" t="str">
        <f aca="false">IFERROR(__xludf.dummyfunction("""COMPUTED_VALUE"""),"https://hocmai.sharepoint.com/Education_Development/Lists/San_xuat_video/DispForm.aspx?ID=12156")</f>
        <v>https://hocmai.sharepoint.com/Education_Development/Lists/San_xuat_video/DispForm.aspx?ID=12156</v>
      </c>
      <c r="N27" s="41" t="n">
        <f aca="false">IFERROR(__xludf.dummyfunction("""COMPUTED_VALUE"""),3312)</f>
        <v>3312</v>
      </c>
      <c r="O27" s="41" t="n">
        <f aca="false">IFERROR(__xludf.dummyfunction("""COMPUTED_VALUE"""),166550)</f>
        <v>166550</v>
      </c>
      <c r="P27" s="41"/>
      <c r="Q27" s="41" t="n">
        <f aca="false">IFERROR(__xludf.dummyfunction("""COMPUTED_VALUE"""),7914)</f>
        <v>7914</v>
      </c>
      <c r="R27" s="41"/>
      <c r="S27" s="41"/>
      <c r="T27" s="41" t="n">
        <f aca="false">IFERROR(__xludf.dummyfunction("""COMPUTED_VALUE"""),7915)</f>
        <v>7915</v>
      </c>
      <c r="U27" s="41" t="n">
        <f aca="false">IFERROR(__xludf.dummyfunction("""COMPUTED_VALUE"""),23102)</f>
        <v>23102</v>
      </c>
      <c r="V27" s="40" t="n">
        <f aca="false">IFERROR(__xludf.dummyfunction("""COMPUTED_VALUE"""),46172)</f>
        <v>46172</v>
      </c>
      <c r="W27" s="39" t="str">
        <f aca="false">IFERROR(__xludf.dummyfunction("""COMPUTED_VALUE"""),"Hoàn thành XB")</f>
        <v>Hoàn thành XB</v>
      </c>
      <c r="X27" s="41" t="str">
        <f aca="false">IFERROR(__xludf.dummyfunction("""COMPUTED_VALUE"""),"Huent7")</f>
        <v>Huent7</v>
      </c>
      <c r="Y27" s="44"/>
      <c r="Z27" s="57"/>
      <c r="AA27" s="57"/>
      <c r="AB27" s="41" t="n">
        <f aca="false">IFERROR(__xludf.dummyfunction("""COMPUTED_VALUE"""),5)</f>
        <v>5</v>
      </c>
      <c r="AC27" s="57" t="str">
        <f aca="false">IFERROR(__xludf.dummyfunction("""COMPUTED_VALUE"""),"nentangtoan")</f>
        <v>nentangtoan</v>
      </c>
      <c r="AD27" s="46"/>
      <c r="AE27" s="46"/>
      <c r="AF27" s="47" t="str">
        <f aca="false">IFERROR(__xludf.dummyfunction("""COMPUTED_VALUE"""),"lophoctoan-946169")</f>
        <v>lophoctoan-946169</v>
      </c>
      <c r="AG27" s="46" t="str">
        <f aca="false">IFERROR(__xludf.dummyfunction("""COMPUTED_VALUE"""),"")</f>
        <v/>
      </c>
      <c r="AH27" s="53" t="b">
        <f aca="false">IFERROR(__xludf.dummyfunction("""COMPUTED_VALUE"""),TRUE())</f>
        <v>1</v>
      </c>
      <c r="AI27" s="35"/>
      <c r="AJ27" s="35"/>
      <c r="AK27" s="35"/>
      <c r="AL27" s="35"/>
      <c r="AM27" s="35"/>
      <c r="AN27" s="35"/>
      <c r="AO27" s="46"/>
    </row>
    <row r="28" customFormat="false" ht="15.75" hidden="false" customHeight="true" outlineLevel="0" collapsed="false">
      <c r="A28" s="37" t="str">
        <f aca="false">IFERROR(__xludf.dummyfunction("""COMPUTED_VALUE"""),"Toán")</f>
        <v>Toán</v>
      </c>
      <c r="B28" s="37" t="str">
        <f aca="false">IFERROR(__xludf.dummyfunction("""COMPUTED_VALUE"""),"NT_T_18")</f>
        <v>NT_T_18</v>
      </c>
      <c r="C28" s="38" t="str">
        <f aca="false">IFERROR(__xludf.dummyfunction("""COMPUTED_VALUE"""),"Tiệm cận của đồ thị hàm số (P2)")</f>
        <v>Tiệm cận của đồ thị hàm số (P2)</v>
      </c>
      <c r="D28" s="39" t="str">
        <f aca="false">IFERROR(__xludf.dummyfunction("""COMPUTED_VALUE"""),"Nguyễn Thanh Tùng")</f>
        <v>Nguyễn Thanh Tùng</v>
      </c>
      <c r="E28" s="40" t="n">
        <f aca="false">IFERROR(__xludf.dummyfunction("""COMPUTED_VALUE"""),46172)</f>
        <v>46172</v>
      </c>
      <c r="F28" s="41" t="n">
        <f aca="false">IFERROR(__xludf.dummyfunction("""COMPUTED_VALUE"""),7)</f>
        <v>7</v>
      </c>
      <c r="G28" s="37" t="str">
        <f aca="false">IFERROR(__xludf.dummyfunction("""COMPUTED_VALUE"""),"20:00-22:00")</f>
        <v>20:00-22:00</v>
      </c>
      <c r="H28" s="42" t="str">
        <f aca="false">IFERROR(__xludf.dummyfunction("""COMPUTED_VALUE"""),"https://hocmai.vn/mod/scorm/view_file.php?id=180191")</f>
        <v>https://hocmai.vn/mod/scorm/view_file.php?id=180191</v>
      </c>
      <c r="I28" s="42" t="str">
        <f aca="false">IFERROR(__xludf.dummyfunction("""COMPUTED_VALUE"""),"https://hocmai.vn/mod/scorm/view_file.php?id=180205")</f>
        <v>https://hocmai.vn/mod/scorm/view_file.php?id=180205</v>
      </c>
      <c r="J28" s="55" t="str">
        <f aca="false">IFERROR(__xludf.dummyfunction("""COMPUTED_VALUE"""),"https://drive.google.com/drive/folders/1OeTfOrGwcEPIp1PDLqo5qXJ9zWue2S-S?usp=drive_link")</f>
        <v>https://drive.google.com/drive/folders/1OeTfOrGwcEPIp1PDLqo5qXJ9zWue2S-S?usp=drive_link</v>
      </c>
      <c r="K28" s="37" t="str">
        <f aca="false">IFERROR(__xludf.dummyfunction("""COMPUTED_VALUE"""),"Chientd2")</f>
        <v>Chientd2</v>
      </c>
      <c r="L28" s="37" t="str">
        <f aca="false">IFERROR(__xludf.dummyfunction("""COMPUTED_VALUE"""),"Tưởng Thị Huyền Trang")</f>
        <v>Tưởng Thị Huyền Trang</v>
      </c>
      <c r="M28" s="43" t="str">
        <f aca="false">IFERROR(__xludf.dummyfunction("""COMPUTED_VALUE"""),"https://hocmai.sharepoint.com/Education_Development/Lists/San_xuat_video/DispForm.aspx?ID=12157")</f>
        <v>https://hocmai.sharepoint.com/Education_Development/Lists/San_xuat_video/DispForm.aspx?ID=12157</v>
      </c>
      <c r="N28" s="41" t="n">
        <f aca="false">IFERROR(__xludf.dummyfunction("""COMPUTED_VALUE"""),3312)</f>
        <v>3312</v>
      </c>
      <c r="O28" s="41" t="n">
        <f aca="false">IFERROR(__xludf.dummyfunction("""COMPUTED_VALUE"""),166551)</f>
        <v>166551</v>
      </c>
      <c r="P28" s="41"/>
      <c r="Q28" s="41" t="n">
        <f aca="false">IFERROR(__xludf.dummyfunction("""COMPUTED_VALUE"""),7916)</f>
        <v>7916</v>
      </c>
      <c r="R28" s="41"/>
      <c r="S28" s="41"/>
      <c r="T28" s="41" t="n">
        <f aca="false">IFERROR(__xludf.dummyfunction("""COMPUTED_VALUE"""),7917)</f>
        <v>7917</v>
      </c>
      <c r="U28" s="41" t="n">
        <f aca="false">IFERROR(__xludf.dummyfunction("""COMPUTED_VALUE"""),23108)</f>
        <v>23108</v>
      </c>
      <c r="V28" s="40" t="n">
        <f aca="false">IFERROR(__xludf.dummyfunction("""COMPUTED_VALUE"""),46175)</f>
        <v>46175</v>
      </c>
      <c r="W28" s="39" t="str">
        <f aca="false">IFERROR(__xludf.dummyfunction("""COMPUTED_VALUE"""),"Hoàn thành XB")</f>
        <v>Hoàn thành XB</v>
      </c>
      <c r="X28" s="41" t="str">
        <f aca="false">IFERROR(__xludf.dummyfunction("""COMPUTED_VALUE"""),"Huent7")</f>
        <v>Huent7</v>
      </c>
      <c r="Y28" s="44"/>
      <c r="Z28" s="57"/>
      <c r="AA28" s="57"/>
      <c r="AB28" s="41" t="n">
        <f aca="false">IFERROR(__xludf.dummyfunction("""COMPUTED_VALUE"""),5)</f>
        <v>5</v>
      </c>
      <c r="AC28" s="57" t="str">
        <f aca="false">IFERROR(__xludf.dummyfunction("""COMPUTED_VALUE"""),"nentangtoan")</f>
        <v>nentangtoan</v>
      </c>
      <c r="AD28" s="46"/>
      <c r="AE28" s="46"/>
      <c r="AF28" s="47" t="str">
        <f aca="false">IFERROR(__xludf.dummyfunction("""COMPUTED_VALUE"""),"lophoctoan-946172")</f>
        <v>lophoctoan-946172</v>
      </c>
      <c r="AG28" s="46" t="str">
        <f aca="false">IFERROR(__xludf.dummyfunction("""COMPUTED_VALUE"""),"")</f>
        <v/>
      </c>
      <c r="AH28" s="53" t="b">
        <f aca="false">IFERROR(__xludf.dummyfunction("""COMPUTED_VALUE"""),TRUE())</f>
        <v>1</v>
      </c>
      <c r="AI28" s="35"/>
      <c r="AJ28" s="35"/>
      <c r="AK28" s="35"/>
      <c r="AL28" s="35"/>
      <c r="AM28" s="35"/>
      <c r="AN28" s="35"/>
      <c r="AO28" s="46"/>
    </row>
    <row r="29" customFormat="false" ht="15.75" hidden="false" customHeight="true" outlineLevel="0" collapsed="false">
      <c r="A29" s="37" t="str">
        <f aca="false">IFERROR(__xludf.dummyfunction("""COMPUTED_VALUE"""),"Toán")</f>
        <v>Toán</v>
      </c>
      <c r="B29" s="37" t="str">
        <f aca="false">IFERROR(__xludf.dummyfunction("""COMPUTED_VALUE"""),"NT_T_19")</f>
        <v>NT_T_19</v>
      </c>
      <c r="C29" s="59" t="str">
        <f aca="false">IFERROR(__xludf.dummyfunction("""COMPUTED_VALUE"""),"Nhận diện hàm số, đồ thị hàm số")</f>
        <v>Nhận diện hàm số, đồ thị hàm số</v>
      </c>
      <c r="D29" s="39" t="str">
        <f aca="false">IFERROR(__xludf.dummyfunction("""COMPUTED_VALUE"""),"Nguyễn Thanh Tùng")</f>
        <v>Nguyễn Thanh Tùng</v>
      </c>
      <c r="E29" s="40" t="n">
        <f aca="false">IFERROR(__xludf.dummyfunction("""COMPUTED_VALUE"""),46173)</f>
        <v>46173</v>
      </c>
      <c r="F29" s="41" t="str">
        <f aca="false">IFERROR(__xludf.dummyfunction("""COMPUTED_VALUE"""),"CN")</f>
        <v>CN</v>
      </c>
      <c r="G29" s="37" t="str">
        <f aca="false">IFERROR(__xludf.dummyfunction("""COMPUTED_VALUE"""),"18:00-20:00")</f>
        <v>18:00-20:00</v>
      </c>
      <c r="H29" s="42" t="str">
        <f aca="false">IFERROR(__xludf.dummyfunction("""COMPUTED_VALUE"""),"https://hocmai.vn/mod/scorm/view_file.php?id=180197")</f>
        <v>https://hocmai.vn/mod/scorm/view_file.php?id=180197</v>
      </c>
      <c r="I29" s="42" t="str">
        <f aca="false">IFERROR(__xludf.dummyfunction("""COMPUTED_VALUE"""),"https://hocmai.vn/mod/scorm/view_file.php?id=180207")</f>
        <v>https://hocmai.vn/mod/scorm/view_file.php?id=180207</v>
      </c>
      <c r="J29" s="55" t="str">
        <f aca="false">IFERROR(__xludf.dummyfunction("""COMPUTED_VALUE"""),"https://drive.google.com/drive/folders/1tgo-5Je0l37tkoF7nqTHi-nqZ63y9wnX?usp=drive_link")</f>
        <v>https://drive.google.com/drive/folders/1tgo-5Je0l37tkoF7nqTHi-nqZ63y9wnX?usp=drive_link</v>
      </c>
      <c r="K29" s="37" t="str">
        <f aca="false">IFERROR(__xludf.dummyfunction("""COMPUTED_VALUE"""),"Chientd2")</f>
        <v>Chientd2</v>
      </c>
      <c r="L29" s="37" t="str">
        <f aca="false">IFERROR(__xludf.dummyfunction("""COMPUTED_VALUE"""),"Tưởng Thị Huyền Trang")</f>
        <v>Tưởng Thị Huyền Trang</v>
      </c>
      <c r="M29" s="43" t="str">
        <f aca="false">IFERROR(__xludf.dummyfunction("""COMPUTED_VALUE"""),"https://hocmai.sharepoint.com/Education_Development/Lists/San_xuat_video/DispForm.aspx?ID=12158")</f>
        <v>https://hocmai.sharepoint.com/Education_Development/Lists/San_xuat_video/DispForm.aspx?ID=12158</v>
      </c>
      <c r="N29" s="41" t="n">
        <f aca="false">IFERROR(__xludf.dummyfunction("""COMPUTED_VALUE"""),3312)</f>
        <v>3312</v>
      </c>
      <c r="O29" s="41" t="n">
        <f aca="false">IFERROR(__xludf.dummyfunction("""COMPUTED_VALUE"""),166552)</f>
        <v>166552</v>
      </c>
      <c r="P29" s="41"/>
      <c r="Q29" s="41" t="n">
        <f aca="false">IFERROR(__xludf.dummyfunction("""COMPUTED_VALUE"""),7918)</f>
        <v>7918</v>
      </c>
      <c r="R29" s="41"/>
      <c r="S29" s="41"/>
      <c r="T29" s="41" t="n">
        <f aca="false">IFERROR(__xludf.dummyfunction("""COMPUTED_VALUE"""),7919)</f>
        <v>7919</v>
      </c>
      <c r="U29" s="41" t="n">
        <f aca="false">IFERROR(__xludf.dummyfunction("""COMPUTED_VALUE"""),23109)</f>
        <v>23109</v>
      </c>
      <c r="V29" s="40" t="n">
        <f aca="false">IFERROR(__xludf.dummyfunction("""COMPUTED_VALUE"""),46176)</f>
        <v>46176</v>
      </c>
      <c r="W29" s="39" t="str">
        <f aca="false">IFERROR(__xludf.dummyfunction("""COMPUTED_VALUE"""),"Hoàn thành XB")</f>
        <v>Hoàn thành XB</v>
      </c>
      <c r="X29" s="41" t="str">
        <f aca="false">IFERROR(__xludf.dummyfunction("""COMPUTED_VALUE"""),"Huent7")</f>
        <v>Huent7</v>
      </c>
      <c r="Y29" s="44"/>
      <c r="Z29" s="57"/>
      <c r="AA29" s="57"/>
      <c r="AB29" s="41" t="n">
        <f aca="false">IFERROR(__xludf.dummyfunction("""COMPUTED_VALUE"""),5)</f>
        <v>5</v>
      </c>
      <c r="AC29" s="57" t="str">
        <f aca="false">IFERROR(__xludf.dummyfunction("""COMPUTED_VALUE"""),"nentangtoan")</f>
        <v>nentangtoan</v>
      </c>
      <c r="AD29" s="46"/>
      <c r="AE29" s="46"/>
      <c r="AF29" s="47" t="str">
        <f aca="false">IFERROR(__xludf.dummyfunction("""COMPUTED_VALUE"""),"lophoctoan-946173")</f>
        <v>lophoctoan-946173</v>
      </c>
      <c r="AG29" s="46" t="str">
        <f aca="false">IFERROR(__xludf.dummyfunction("""COMPUTED_VALUE"""),"")</f>
        <v/>
      </c>
      <c r="AH29" s="53" t="b">
        <f aca="false">IFERROR(__xludf.dummyfunction("""COMPUTED_VALUE"""),TRUE())</f>
        <v>1</v>
      </c>
      <c r="AI29" s="35"/>
      <c r="AJ29" s="35"/>
      <c r="AK29" s="35"/>
      <c r="AL29" s="35"/>
      <c r="AM29" s="35"/>
      <c r="AN29" s="35"/>
      <c r="AO29" s="46"/>
    </row>
    <row r="30" customFormat="false" ht="15.75" hidden="false" customHeight="true" outlineLevel="0" collapsed="false">
      <c r="A30" s="37" t="str">
        <f aca="false">IFERROR(__xludf.dummyfunction("""COMPUTED_VALUE"""),"Toán")</f>
        <v>Toán</v>
      </c>
      <c r="B30" s="37" t="str">
        <f aca="false">IFERROR(__xludf.dummyfunction("""COMPUTED_VALUE"""),"NT_N_07")</f>
        <v>NT_N_07</v>
      </c>
      <c r="C30" s="38" t="str">
        <f aca="false">IFERROR(__xludf.dummyfunction("""COMPUTED_VALUE"""),"Cực trị của hàm số (P1)")</f>
        <v>Cực trị của hàm số (P1)</v>
      </c>
      <c r="D30" s="39" t="str">
        <f aca="false">IFERROR(__xludf.dummyfunction("""COMPUTED_VALUE"""),"Nguyễn Hoài Nam")</f>
        <v>Nguyễn Hoài Nam</v>
      </c>
      <c r="E30" s="40" t="n">
        <f aca="false">IFERROR(__xludf.dummyfunction("""COMPUTED_VALUE"""),46175)</f>
        <v>46175</v>
      </c>
      <c r="F30" s="41" t="n">
        <f aca="false">IFERROR(__xludf.dummyfunction("""COMPUTED_VALUE"""),3)</f>
        <v>3</v>
      </c>
      <c r="G30" s="37" t="str">
        <f aca="false">IFERROR(__xludf.dummyfunction("""COMPUTED_VALUE"""),"21:00-22:30")</f>
        <v>21:00-22:30</v>
      </c>
      <c r="H30" s="42" t="str">
        <f aca="false">IFERROR(__xludf.dummyfunction("""COMPUTED_VALUE"""),"https://hocmai.vn/mod/scorm/view_file.php?inpopup=true&amp;id=180202")</f>
        <v>https://hocmai.vn/mod/scorm/view_file.php?inpopup=true&amp;id=180202</v>
      </c>
      <c r="I30" s="42" t="str">
        <f aca="false">IFERROR(__xludf.dummyfunction("""COMPUTED_VALUE"""),"https://hocmai.vn/mod/scorm/view_file.php?inpopup=true&amp;id=180203")</f>
        <v>https://hocmai.vn/mod/scorm/view_file.php?inpopup=true&amp;id=180203</v>
      </c>
      <c r="J30" s="62"/>
      <c r="K30" s="37" t="str">
        <f aca="false">IFERROR(__xludf.dummyfunction("""COMPUTED_VALUE"""),"thinhnh")</f>
        <v>thinhnh</v>
      </c>
      <c r="L30" s="37" t="str">
        <f aca="false">IFERROR(__xludf.dummyfunction("""COMPUTED_VALUE"""),"Lê Quốc Việt")</f>
        <v>Lê Quốc Việt</v>
      </c>
      <c r="M30" s="43" t="str">
        <f aca="false">IFERROR(__xludf.dummyfunction("""COMPUTED_VALUE"""),"https://hocmai.sharepoint.com/Education_Development/Lists/San_xuat_video/DispForm.aspx?ID=12194")</f>
        <v>https://hocmai.sharepoint.com/Education_Development/Lists/San_xuat_video/DispForm.aspx?ID=12194</v>
      </c>
      <c r="N30" s="58" t="n">
        <f aca="false">IFERROR(__xludf.dummyfunction("""COMPUTED_VALUE"""),3313)</f>
        <v>3313</v>
      </c>
      <c r="O30" s="41" t="n">
        <f aca="false">IFERROR(__xludf.dummyfunction("""COMPUTED_VALUE"""),166632)</f>
        <v>166632</v>
      </c>
      <c r="P30" s="41"/>
      <c r="Q30" s="41" t="n">
        <f aca="false">IFERROR(__xludf.dummyfunction("""COMPUTED_VALUE"""),8010)</f>
        <v>8010</v>
      </c>
      <c r="R30" s="41"/>
      <c r="S30" s="41"/>
      <c r="T30" s="41" t="n">
        <f aca="false">IFERROR(__xludf.dummyfunction("""COMPUTED_VALUE"""),8011)</f>
        <v>8011</v>
      </c>
      <c r="U30" s="41" t="n">
        <f aca="false">IFERROR(__xludf.dummyfunction("""COMPUTED_VALUE"""),23107)</f>
        <v>23107</v>
      </c>
      <c r="V30" s="40" t="n">
        <f aca="false">IFERROR(__xludf.dummyfunction("""COMPUTED_VALUE"""),46175)</f>
        <v>46175</v>
      </c>
      <c r="W30" s="39" t="str">
        <f aca="false">IFERROR(__xludf.dummyfunction("""COMPUTED_VALUE"""),"Hoàn thành XB")</f>
        <v>Hoàn thành XB</v>
      </c>
      <c r="X30" s="41" t="str">
        <f aca="false">IFERROR(__xludf.dummyfunction("""COMPUTED_VALUE"""),"Huent7")</f>
        <v>Huent7</v>
      </c>
      <c r="Y30" s="44"/>
      <c r="Z30" s="57"/>
      <c r="AA30" s="57"/>
      <c r="AB30" s="41" t="n">
        <f aca="false">IFERROR(__xludf.dummyfunction("""COMPUTED_VALUE"""),6)</f>
        <v>6</v>
      </c>
      <c r="AC30" s="57" t="str">
        <f aca="false">IFERROR(__xludf.dummyfunction("""COMPUTED_VALUE"""),"Sai intro =&gt; Đã báo phía xbbg")</f>
        <v>Sai intro =&gt; Đã báo phía xbbg</v>
      </c>
      <c r="AD30" s="46"/>
      <c r="AE30" s="46"/>
      <c r="AF30" s="47" t="str">
        <f aca="false">IFERROR(__xludf.dummyfunction("""COMPUTED_VALUE"""),"lophoctoan-946175")</f>
        <v>lophoctoan-946175</v>
      </c>
      <c r="AG30" s="46" t="str">
        <f aca="false">IFERROR(__xludf.dummyfunction("""COMPUTED_VALUE"""),"")</f>
        <v/>
      </c>
      <c r="AH30" s="53" t="b">
        <f aca="false">IFERROR(__xludf.dummyfunction("""COMPUTED_VALUE"""),TRUE())</f>
        <v>1</v>
      </c>
      <c r="AI30" s="35"/>
      <c r="AJ30" s="35"/>
      <c r="AK30" s="35"/>
      <c r="AL30" s="35"/>
      <c r="AM30" s="35"/>
      <c r="AN30" s="35"/>
      <c r="AO30" s="46"/>
    </row>
    <row r="31" customFormat="false" ht="15.75" hidden="false" customHeight="true" outlineLevel="0" collapsed="false">
      <c r="A31" s="37" t="str">
        <f aca="false">IFERROR(__xludf.dummyfunction("""COMPUTED_VALUE"""),"Toán")</f>
        <v>Toán</v>
      </c>
      <c r="B31" s="37" t="str">
        <f aca="false">IFERROR(__xludf.dummyfunction("""COMPUTED_VALUE"""),"NT_T_20")</f>
        <v>NT_T_20</v>
      </c>
      <c r="C31" s="38" t="str">
        <f aca="false">IFERROR(__xludf.dummyfunction("""COMPUTED_VALUE"""),"Ứng dụng hàm số trong các bài toán thực tế (P1)")</f>
        <v>Ứng dụng hàm số trong các bài toán thực tế (P1)</v>
      </c>
      <c r="D31" s="39" t="str">
        <f aca="false">IFERROR(__xludf.dummyfunction("""COMPUTED_VALUE"""),"Nguyễn Thanh Tùng")</f>
        <v>Nguyễn Thanh Tùng</v>
      </c>
      <c r="E31" s="40" t="n">
        <f aca="false">IFERROR(__xludf.dummyfunction("""COMPUTED_VALUE"""),46176)</f>
        <v>46176</v>
      </c>
      <c r="F31" s="41" t="n">
        <f aca="false">IFERROR(__xludf.dummyfunction("""COMPUTED_VALUE"""),4)</f>
        <v>4</v>
      </c>
      <c r="G31" s="37" t="str">
        <f aca="false">IFERROR(__xludf.dummyfunction("""COMPUTED_VALUE"""),"20:00-22:00")</f>
        <v>20:00-22:00</v>
      </c>
      <c r="H31" s="42" t="str">
        <f aca="false">IFERROR(__xludf.dummyfunction("""COMPUTED_VALUE"""),"https://hocmai.vn/mod/scorm/view_file.php?id=180213")</f>
        <v>https://hocmai.vn/mod/scorm/view_file.php?id=180213</v>
      </c>
      <c r="I31" s="42" t="str">
        <f aca="false">IFERROR(__xludf.dummyfunction("""COMPUTED_VALUE"""),"https://hocmai.vn/mod/scorm/view_file.php?id=180221")</f>
        <v>https://hocmai.vn/mod/scorm/view_file.php?id=180221</v>
      </c>
      <c r="J31" s="55" t="str">
        <f aca="false">IFERROR(__xludf.dummyfunction("""COMPUTED_VALUE"""),"https://drive.google.com/drive/folders/1fC7WWo7u0zywx8D7ZBiJYdZxL3gN7Mjk?usp=drive_link")</f>
        <v>https://drive.google.com/drive/folders/1fC7WWo7u0zywx8D7ZBiJYdZxL3gN7Mjk?usp=drive_link</v>
      </c>
      <c r="K31" s="37" t="str">
        <f aca="false">IFERROR(__xludf.dummyfunction("""COMPUTED_VALUE"""),"Chientd2")</f>
        <v>Chientd2</v>
      </c>
      <c r="L31" s="37" t="str">
        <f aca="false">IFERROR(__xludf.dummyfunction("""COMPUTED_VALUE"""),"Tưởng Thị Huyền Trang")</f>
        <v>Tưởng Thị Huyền Trang</v>
      </c>
      <c r="M31" s="43" t="str">
        <f aca="false">IFERROR(__xludf.dummyfunction("""COMPUTED_VALUE"""),"https://hocmai.sharepoint.com/Education_Development/Lists/San_xuat_video/DispForm.aspx?ID=12159")</f>
        <v>https://hocmai.sharepoint.com/Education_Development/Lists/San_xuat_video/DispForm.aspx?ID=12159</v>
      </c>
      <c r="N31" s="41" t="n">
        <f aca="false">IFERROR(__xludf.dummyfunction("""COMPUTED_VALUE"""),3312)</f>
        <v>3312</v>
      </c>
      <c r="O31" s="41" t="n">
        <f aca="false">IFERROR(__xludf.dummyfunction("""COMPUTED_VALUE"""),166553)</f>
        <v>166553</v>
      </c>
      <c r="P31" s="41"/>
      <c r="Q31" s="41" t="n">
        <f aca="false">IFERROR(__xludf.dummyfunction("""COMPUTED_VALUE"""),7920)</f>
        <v>7920</v>
      </c>
      <c r="R31" s="41"/>
      <c r="S31" s="41"/>
      <c r="T31" s="41" t="n">
        <f aca="false">IFERROR(__xludf.dummyfunction("""COMPUTED_VALUE"""),7921)</f>
        <v>7921</v>
      </c>
      <c r="U31" s="41" t="n">
        <f aca="false">IFERROR(__xludf.dummyfunction("""COMPUTED_VALUE"""),23116)</f>
        <v>23116</v>
      </c>
      <c r="V31" s="40" t="n">
        <f aca="false">IFERROR(__xludf.dummyfunction("""COMPUTED_VALUE"""),46179)</f>
        <v>46179</v>
      </c>
      <c r="W31" s="39" t="str">
        <f aca="false">IFERROR(__xludf.dummyfunction("""COMPUTED_VALUE"""),"Hoàn thành XB")</f>
        <v>Hoàn thành XB</v>
      </c>
      <c r="X31" s="41" t="str">
        <f aca="false">IFERROR(__xludf.dummyfunction("""COMPUTED_VALUE"""),"Huent7")</f>
        <v>Huent7</v>
      </c>
      <c r="Y31" s="44"/>
      <c r="Z31" s="57"/>
      <c r="AA31" s="57"/>
      <c r="AB31" s="41" t="n">
        <f aca="false">IFERROR(__xludf.dummyfunction("""COMPUTED_VALUE"""),6)</f>
        <v>6</v>
      </c>
      <c r="AC31" s="57"/>
      <c r="AD31" s="46" t="str">
        <f aca="false">IFERROR(__xludf.dummyfunction("""COMPUTED_VALUE"""),"Ko có intro")</f>
        <v>Ko có intro</v>
      </c>
      <c r="AE31" s="46"/>
      <c r="AF31" s="47" t="str">
        <f aca="false">IFERROR(__xludf.dummyfunction("""COMPUTED_VALUE"""),"lophoctoan-946176")</f>
        <v>lophoctoan-946176</v>
      </c>
      <c r="AG31" s="46" t="str">
        <f aca="false">IFERROR(__xludf.dummyfunction("""COMPUTED_VALUE"""),"")</f>
        <v/>
      </c>
      <c r="AH31" s="53" t="b">
        <f aca="false">IFERROR(__xludf.dummyfunction("""COMPUTED_VALUE"""),TRUE())</f>
        <v>1</v>
      </c>
      <c r="AI31" s="35"/>
      <c r="AJ31" s="35"/>
      <c r="AK31" s="35"/>
      <c r="AL31" s="35"/>
      <c r="AM31" s="35"/>
      <c r="AN31" s="35"/>
      <c r="AO31" s="46"/>
    </row>
    <row r="32" customFormat="false" ht="15.75" hidden="false" customHeight="true" outlineLevel="0" collapsed="false">
      <c r="A32" s="37" t="str">
        <f aca="false">IFERROR(__xludf.dummyfunction("""COMPUTED_VALUE"""),"Toán")</f>
        <v>Toán</v>
      </c>
      <c r="B32" s="37" t="str">
        <f aca="false">IFERROR(__xludf.dummyfunction("""COMPUTED_VALUE"""),"NT_T_21")</f>
        <v>NT_T_21</v>
      </c>
      <c r="C32" s="38" t="str">
        <f aca="false">IFERROR(__xludf.dummyfunction("""COMPUTED_VALUE"""),"Vectơ trong không gian")</f>
        <v>Vectơ trong không gian</v>
      </c>
      <c r="D32" s="39" t="str">
        <f aca="false">IFERROR(__xludf.dummyfunction("""COMPUTED_VALUE"""),"Nguyễn Thanh Tùng")</f>
        <v>Nguyễn Thanh Tùng</v>
      </c>
      <c r="E32" s="40" t="n">
        <f aca="false">IFERROR(__xludf.dummyfunction("""COMPUTED_VALUE"""),46179)</f>
        <v>46179</v>
      </c>
      <c r="F32" s="41" t="n">
        <f aca="false">IFERROR(__xludf.dummyfunction("""COMPUTED_VALUE"""),7)</f>
        <v>7</v>
      </c>
      <c r="G32" s="37" t="str">
        <f aca="false">IFERROR(__xludf.dummyfunction("""COMPUTED_VALUE"""),"20:00-22:00")</f>
        <v>20:00-22:00</v>
      </c>
      <c r="H32" s="42" t="str">
        <f aca="false">IFERROR(__xludf.dummyfunction("""COMPUTED_VALUE"""),"https://hocmai.vn/mod/scorm/view_file.php?id=180219")</f>
        <v>https://hocmai.vn/mod/scorm/view_file.php?id=180219</v>
      </c>
      <c r="I32" s="42" t="str">
        <f aca="false">IFERROR(__xludf.dummyfunction("""COMPUTED_VALUE"""),"https://hocmai.vn/mod/scorm/view_file.php?id=180561")</f>
        <v>https://hocmai.vn/mod/scorm/view_file.php?id=180561</v>
      </c>
      <c r="J32" s="55" t="str">
        <f aca="false">IFERROR(__xludf.dummyfunction("""COMPUTED_VALUE"""),"https://drive.google.com/drive/folders/1DuybJH7F16nah89d-R8umD-8S1Z8LalM?usp=drive_link")</f>
        <v>https://drive.google.com/drive/folders/1DuybJH7F16nah89d-R8umD-8S1Z8LalM?usp=drive_link</v>
      </c>
      <c r="K32" s="37" t="str">
        <f aca="false">IFERROR(__xludf.dummyfunction("""COMPUTED_VALUE"""),"Chientd2")</f>
        <v>Chientd2</v>
      </c>
      <c r="L32" s="37" t="str">
        <f aca="false">IFERROR(__xludf.dummyfunction("""COMPUTED_VALUE"""),"Tưởng Thị Huyền Trang")</f>
        <v>Tưởng Thị Huyền Trang</v>
      </c>
      <c r="M32" s="43" t="str">
        <f aca="false">IFERROR(__xludf.dummyfunction("""COMPUTED_VALUE"""),"https://hocmai.sharepoint.com/Education_Development/Lists/San_xuat_video/DispForm.aspx?ID=12160")</f>
        <v>https://hocmai.sharepoint.com/Education_Development/Lists/San_xuat_video/DispForm.aspx?ID=12160</v>
      </c>
      <c r="N32" s="41" t="n">
        <f aca="false">IFERROR(__xludf.dummyfunction("""COMPUTED_VALUE"""),3312)</f>
        <v>3312</v>
      </c>
      <c r="O32" s="41" t="n">
        <f aca="false">IFERROR(__xludf.dummyfunction("""COMPUTED_VALUE"""),166554)</f>
        <v>166554</v>
      </c>
      <c r="P32" s="41"/>
      <c r="Q32" s="41" t="n">
        <f aca="false">IFERROR(__xludf.dummyfunction("""COMPUTED_VALUE"""),7923)</f>
        <v>7923</v>
      </c>
      <c r="R32" s="41"/>
      <c r="S32" s="41"/>
      <c r="T32" s="41" t="n">
        <f aca="false">IFERROR(__xludf.dummyfunction("""COMPUTED_VALUE"""),7924)</f>
        <v>7924</v>
      </c>
      <c r="U32" s="41" t="n">
        <f aca="false">IFERROR(__xludf.dummyfunction("""COMPUTED_VALUE"""),23118)</f>
        <v>23118</v>
      </c>
      <c r="V32" s="40" t="n">
        <f aca="false">IFERROR(__xludf.dummyfunction("""COMPUTED_VALUE"""),46182)</f>
        <v>46182</v>
      </c>
      <c r="W32" s="39" t="str">
        <f aca="false">IFERROR(__xludf.dummyfunction("""COMPUTED_VALUE"""),"Hoàn thành XB")</f>
        <v>Hoàn thành XB</v>
      </c>
      <c r="X32" s="41" t="str">
        <f aca="false">IFERROR(__xludf.dummyfunction("""COMPUTED_VALUE"""),"Huent7")</f>
        <v>Huent7</v>
      </c>
      <c r="Y32" s="44"/>
      <c r="Z32" s="57"/>
      <c r="AA32" s="57"/>
      <c r="AB32" s="41" t="n">
        <f aca="false">IFERROR(__xludf.dummyfunction("""COMPUTED_VALUE"""),6)</f>
        <v>6</v>
      </c>
      <c r="AC32" s="57"/>
      <c r="AD32" s="46"/>
      <c r="AE32" s="46"/>
      <c r="AF32" s="47" t="str">
        <f aca="false">IFERROR(__xludf.dummyfunction("""COMPUTED_VALUE"""),"lophoctoan-946179")</f>
        <v>lophoctoan-946179</v>
      </c>
      <c r="AG32" s="46" t="str">
        <f aca="false">IFERROR(__xludf.dummyfunction("""COMPUTED_VALUE"""),"")</f>
        <v/>
      </c>
      <c r="AH32" s="53" t="b">
        <f aca="false">IFERROR(__xludf.dummyfunction("""COMPUTED_VALUE"""),TRUE())</f>
        <v>1</v>
      </c>
      <c r="AI32" s="35"/>
      <c r="AJ32" s="35"/>
      <c r="AK32" s="35"/>
      <c r="AL32" s="35"/>
      <c r="AM32" s="35"/>
      <c r="AN32" s="35"/>
      <c r="AO32" s="46"/>
    </row>
    <row r="33" customFormat="false" ht="15.75" hidden="false" customHeight="true" outlineLevel="0" collapsed="false">
      <c r="A33" s="37" t="str">
        <f aca="false">IFERROR(__xludf.dummyfunction("""COMPUTED_VALUE"""),"Toán")</f>
        <v>Toán</v>
      </c>
      <c r="B33" s="37" t="str">
        <f aca="false">IFERROR(__xludf.dummyfunction("""COMPUTED_VALUE"""),"NT_T_22")</f>
        <v>NT_T_22</v>
      </c>
      <c r="C33" s="59" t="str">
        <f aca="false">IFERROR(__xludf.dummyfunction("""COMPUTED_VALUE"""),"Hệ trục tọa độ Oxyz (P1)")</f>
        <v>Hệ trục tọa độ Oxyz (P1)</v>
      </c>
      <c r="D33" s="39" t="str">
        <f aca="false">IFERROR(__xludf.dummyfunction("""COMPUTED_VALUE"""),"Nguyễn Thanh Tùng")</f>
        <v>Nguyễn Thanh Tùng</v>
      </c>
      <c r="E33" s="40" t="n">
        <f aca="false">IFERROR(__xludf.dummyfunction("""COMPUTED_VALUE"""),46180)</f>
        <v>46180</v>
      </c>
      <c r="F33" s="41" t="str">
        <f aca="false">IFERROR(__xludf.dummyfunction("""COMPUTED_VALUE"""),"CN")</f>
        <v>CN</v>
      </c>
      <c r="G33" s="37" t="str">
        <f aca="false">IFERROR(__xludf.dummyfunction("""COMPUTED_VALUE"""),"18:00-20:00")</f>
        <v>18:00-20:00</v>
      </c>
      <c r="H33" s="42" t="str">
        <f aca="false">IFERROR(__xludf.dummyfunction("""COMPUTED_VALUE"""),"https://hocmai.vn/mod/scorm/view_file.php?id=180559")</f>
        <v>https://hocmai.vn/mod/scorm/view_file.php?id=180559</v>
      </c>
      <c r="I33" s="42" t="str">
        <f aca="false">IFERROR(__xludf.dummyfunction("""COMPUTED_VALUE"""),"https://hocmai.vn/mod/scorm/view_file.php?id=180563")</f>
        <v>https://hocmai.vn/mod/scorm/view_file.php?id=180563</v>
      </c>
      <c r="J33" s="55" t="str">
        <f aca="false">IFERROR(__xludf.dummyfunction("""COMPUTED_VALUE"""),"https://drive.google.com/drive/folders/1lP4XtE84d_aRaZDjqqioXTmxOmWZwzra?usp=drive_link")</f>
        <v>https://drive.google.com/drive/folders/1lP4XtE84d_aRaZDjqqioXTmxOmWZwzra?usp=drive_link</v>
      </c>
      <c r="K33" s="37" t="str">
        <f aca="false">IFERROR(__xludf.dummyfunction("""COMPUTED_VALUE"""),"Chientd2")</f>
        <v>Chientd2</v>
      </c>
      <c r="L33" s="37" t="str">
        <f aca="false">IFERROR(__xludf.dummyfunction("""COMPUTED_VALUE"""),"Tưởng Thị Huyền Trang")</f>
        <v>Tưởng Thị Huyền Trang</v>
      </c>
      <c r="M33" s="43" t="str">
        <f aca="false">IFERROR(__xludf.dummyfunction("""COMPUTED_VALUE"""),"https://hocmai.sharepoint.com/Education_Development/Lists/San_xuat_video/DispForm.aspx?ID=12161")</f>
        <v>https://hocmai.sharepoint.com/Education_Development/Lists/San_xuat_video/DispForm.aspx?ID=12161</v>
      </c>
      <c r="N33" s="41" t="n">
        <f aca="false">IFERROR(__xludf.dummyfunction("""COMPUTED_VALUE"""),3312)</f>
        <v>3312</v>
      </c>
      <c r="O33" s="41" t="n">
        <f aca="false">IFERROR(__xludf.dummyfunction("""COMPUTED_VALUE"""),166555)</f>
        <v>166555</v>
      </c>
      <c r="P33" s="41"/>
      <c r="Q33" s="41" t="n">
        <f aca="false">IFERROR(__xludf.dummyfunction("""COMPUTED_VALUE"""),7925)</f>
        <v>7925</v>
      </c>
      <c r="R33" s="41"/>
      <c r="S33" s="41"/>
      <c r="T33" s="41" t="n">
        <f aca="false">IFERROR(__xludf.dummyfunction("""COMPUTED_VALUE"""),7926)</f>
        <v>7926</v>
      </c>
      <c r="U33" s="41" t="n">
        <f aca="false">IFERROR(__xludf.dummyfunction("""COMPUTED_VALUE"""),23119)</f>
        <v>23119</v>
      </c>
      <c r="V33" s="40" t="n">
        <f aca="false">IFERROR(__xludf.dummyfunction("""COMPUTED_VALUE"""),46183)</f>
        <v>46183</v>
      </c>
      <c r="W33" s="39" t="str">
        <f aca="false">IFERROR(__xludf.dummyfunction("""COMPUTED_VALUE"""),"Hoàn thành XB")</f>
        <v>Hoàn thành XB</v>
      </c>
      <c r="X33" s="41" t="str">
        <f aca="false">IFERROR(__xludf.dummyfunction("""COMPUTED_VALUE"""),"Huent7")</f>
        <v>Huent7</v>
      </c>
      <c r="Y33" s="44"/>
      <c r="Z33" s="57"/>
      <c r="AA33" s="57"/>
      <c r="AB33" s="41" t="n">
        <f aca="false">IFERROR(__xludf.dummyfunction("""COMPUTED_VALUE"""),6)</f>
        <v>6</v>
      </c>
      <c r="AC33" s="57"/>
      <c r="AD33" s="46"/>
      <c r="AE33" s="46"/>
      <c r="AF33" s="47" t="str">
        <f aca="false">IFERROR(__xludf.dummyfunction("""COMPUTED_VALUE"""),"lophoctoan-946180")</f>
        <v>lophoctoan-946180</v>
      </c>
      <c r="AG33" s="46" t="str">
        <f aca="false">IFERROR(__xludf.dummyfunction("""COMPUTED_VALUE"""),"")</f>
        <v/>
      </c>
      <c r="AH33" s="53" t="b">
        <f aca="false">IFERROR(__xludf.dummyfunction("""COMPUTED_VALUE"""),TRUE())</f>
        <v>1</v>
      </c>
      <c r="AI33" s="35"/>
      <c r="AJ33" s="35"/>
      <c r="AK33" s="35"/>
      <c r="AL33" s="35"/>
      <c r="AM33" s="35"/>
      <c r="AN33" s="35"/>
      <c r="AO33" s="46"/>
    </row>
    <row r="34" customFormat="false" ht="15.75" hidden="false" customHeight="true" outlineLevel="0" collapsed="false">
      <c r="A34" s="37" t="str">
        <f aca="false">IFERROR(__xludf.dummyfunction("""COMPUTED_VALUE"""),"Toán")</f>
        <v>Toán</v>
      </c>
      <c r="B34" s="37" t="str">
        <f aca="false">IFERROR(__xludf.dummyfunction("""COMPUTED_VALUE"""),"NT_N_08")</f>
        <v>NT_N_08</v>
      </c>
      <c r="C34" s="38" t="str">
        <f aca="false">IFERROR(__xludf.dummyfunction("""COMPUTED_VALUE"""),"Cực trị của hàm số (P2)")</f>
        <v>Cực trị của hàm số (P2)</v>
      </c>
      <c r="D34" s="39" t="str">
        <f aca="false">IFERROR(__xludf.dummyfunction("""COMPUTED_VALUE"""),"Nguyễn Hoài Nam")</f>
        <v>Nguyễn Hoài Nam</v>
      </c>
      <c r="E34" s="40" t="n">
        <f aca="false">IFERROR(__xludf.dummyfunction("""COMPUTED_VALUE"""),46182)</f>
        <v>46182</v>
      </c>
      <c r="F34" s="41" t="n">
        <f aca="false">IFERROR(__xludf.dummyfunction("""COMPUTED_VALUE"""),3)</f>
        <v>3</v>
      </c>
      <c r="G34" s="37" t="str">
        <f aca="false">IFERROR(__xludf.dummyfunction("""COMPUTED_VALUE"""),"21:00-22:30")</f>
        <v>21:00-22:30</v>
      </c>
      <c r="H34" s="42" t="str">
        <f aca="false">IFERROR(__xludf.dummyfunction("""COMPUTED_VALUE"""),"https://hocmai.vn/mod/scorm/view_file.php?inpopup=true&amp;id=180565")</f>
        <v>https://hocmai.vn/mod/scorm/view_file.php?inpopup=true&amp;id=180565</v>
      </c>
      <c r="I34" s="42" t="str">
        <f aca="false">IFERROR(__xludf.dummyfunction("""COMPUTED_VALUE"""),"https://hocmai.vn/mod/scorm/view_file.php?inpopup=true&amp;id=180568")</f>
        <v>https://hocmai.vn/mod/scorm/view_file.php?inpopup=true&amp;id=180568</v>
      </c>
      <c r="J34" s="42" t="str">
        <f aca="false">IFERROR(__xludf.dummyfunction("""COMPUTED_VALUE"""),"https://drive.google.com/drive/folders/1uQJIAcYibQZh_DS3p1MVsVXJY00XCjQ2?usp=drive_link")</f>
        <v>https://drive.google.com/drive/folders/1uQJIAcYibQZh_DS3p1MVsVXJY00XCjQ2?usp=drive_link</v>
      </c>
      <c r="K34" s="37" t="str">
        <f aca="false">IFERROR(__xludf.dummyfunction("""COMPUTED_VALUE"""),"lent")</f>
        <v>lent</v>
      </c>
      <c r="L34" s="37" t="str">
        <f aca="false">IFERROR(__xludf.dummyfunction("""COMPUTED_VALUE"""),"Lê Quốc Việt")</f>
        <v>Lê Quốc Việt</v>
      </c>
      <c r="M34" s="43" t="str">
        <f aca="false">IFERROR(__xludf.dummyfunction("""COMPUTED_VALUE"""),"https://hocmai.sharepoint.com/Education_Development/Lists/San_xuat_video/DispForm.aspx?ID=12195")</f>
        <v>https://hocmai.sharepoint.com/Education_Development/Lists/San_xuat_video/DispForm.aspx?ID=12195</v>
      </c>
      <c r="N34" s="58" t="n">
        <f aca="false">IFERROR(__xludf.dummyfunction("""COMPUTED_VALUE"""),3313)</f>
        <v>3313</v>
      </c>
      <c r="O34" s="41" t="n">
        <f aca="false">IFERROR(__xludf.dummyfunction("""COMPUTED_VALUE"""),166633)</f>
        <v>166633</v>
      </c>
      <c r="P34" s="41"/>
      <c r="Q34" s="41" t="n">
        <f aca="false">IFERROR(__xludf.dummyfunction("""COMPUTED_VALUE"""),8012)</f>
        <v>8012</v>
      </c>
      <c r="R34" s="41"/>
      <c r="S34" s="41"/>
      <c r="T34" s="41" t="n">
        <f aca="false">IFERROR(__xludf.dummyfunction("""COMPUTED_VALUE"""),8013)</f>
        <v>8013</v>
      </c>
      <c r="U34" s="41" t="n">
        <f aca="false">IFERROR(__xludf.dummyfunction("""COMPUTED_VALUE"""),23117)</f>
        <v>23117</v>
      </c>
      <c r="V34" s="40" t="n">
        <f aca="false">IFERROR(__xludf.dummyfunction("""COMPUTED_VALUE"""),46182)</f>
        <v>46182</v>
      </c>
      <c r="W34" s="39" t="str">
        <f aca="false">IFERROR(__xludf.dummyfunction("""COMPUTED_VALUE"""),"Hoàn thành XB")</f>
        <v>Hoàn thành XB</v>
      </c>
      <c r="X34" s="41" t="str">
        <f aca="false">IFERROR(__xludf.dummyfunction("""COMPUTED_VALUE"""),"Huent7")</f>
        <v>Huent7</v>
      </c>
      <c r="Y34" s="44"/>
      <c r="Z34" s="57"/>
      <c r="AA34" s="57"/>
      <c r="AB34" s="41" t="n">
        <f aca="false">IFERROR(__xludf.dummyfunction("""COMPUTED_VALUE"""),6)</f>
        <v>6</v>
      </c>
      <c r="AC34" s="57"/>
      <c r="AD34" s="46"/>
      <c r="AE34" s="46"/>
      <c r="AF34" s="47" t="str">
        <f aca="false">IFERROR(__xludf.dummyfunction("""COMPUTED_VALUE"""),"lophoctoan-946182")</f>
        <v>lophoctoan-946182</v>
      </c>
      <c r="AG34" s="46" t="str">
        <f aca="false">IFERROR(__xludf.dummyfunction("""COMPUTED_VALUE"""),"")</f>
        <v/>
      </c>
      <c r="AH34" s="53" t="b">
        <f aca="false">IFERROR(__xludf.dummyfunction("""COMPUTED_VALUE"""),TRUE())</f>
        <v>1</v>
      </c>
      <c r="AI34" s="35"/>
      <c r="AJ34" s="35"/>
      <c r="AK34" s="35"/>
      <c r="AL34" s="35"/>
      <c r="AM34" s="35"/>
      <c r="AN34" s="35"/>
      <c r="AO34" s="46"/>
    </row>
    <row r="35" customFormat="false" ht="15.75" hidden="false" customHeight="true" outlineLevel="0" collapsed="false">
      <c r="A35" s="37" t="str">
        <f aca="false">IFERROR(__xludf.dummyfunction("""COMPUTED_VALUE"""),"Toán")</f>
        <v>Toán</v>
      </c>
      <c r="B35" s="37" t="str">
        <f aca="false">IFERROR(__xludf.dummyfunction("""COMPUTED_VALUE"""),"NT_T_23")</f>
        <v>NT_T_23</v>
      </c>
      <c r="C35" s="38" t="str">
        <f aca="false">IFERROR(__xludf.dummyfunction("""COMPUTED_VALUE"""),"Hệ trục tọa độ Oxyz (P2)")</f>
        <v>Hệ trục tọa độ Oxyz (P2)</v>
      </c>
      <c r="D35" s="39" t="str">
        <f aca="false">IFERROR(__xludf.dummyfunction("""COMPUTED_VALUE"""),"Nguyễn Thanh Tùng")</f>
        <v>Nguyễn Thanh Tùng</v>
      </c>
      <c r="E35" s="40" t="n">
        <f aca="false">IFERROR(__xludf.dummyfunction("""COMPUTED_VALUE"""),46183)</f>
        <v>46183</v>
      </c>
      <c r="F35" s="41" t="n">
        <f aca="false">IFERROR(__xludf.dummyfunction("""COMPUTED_VALUE"""),4)</f>
        <v>4</v>
      </c>
      <c r="G35" s="37" t="str">
        <f aca="false">IFERROR(__xludf.dummyfunction("""COMPUTED_VALUE"""),"20:00-22:00")</f>
        <v>20:00-22:00</v>
      </c>
      <c r="H35" s="42" t="str">
        <f aca="false">IFERROR(__xludf.dummyfunction("""COMPUTED_VALUE"""),"https://hocmai.vn/mod/scorm/view_file.php?id=180560")</f>
        <v>https://hocmai.vn/mod/scorm/view_file.php?id=180560</v>
      </c>
      <c r="I35" s="42" t="str">
        <f aca="false">IFERROR(__xludf.dummyfunction("""COMPUTED_VALUE"""),"https://hocmai.vn/mod/scorm/view_file.php?id=180942")</f>
        <v>https://hocmai.vn/mod/scorm/view_file.php?id=180942</v>
      </c>
      <c r="J35" s="55" t="str">
        <f aca="false">IFERROR(__xludf.dummyfunction("""COMPUTED_VALUE"""),"https://drive.google.com/drive/folders/11T-F4N5lJjdVw3OviiJyNdn00NroY9bR?usp=drive_link")</f>
        <v>https://drive.google.com/drive/folders/11T-F4N5lJjdVw3OviiJyNdn00NroY9bR?usp=drive_link</v>
      </c>
      <c r="K35" s="37" t="str">
        <f aca="false">IFERROR(__xludf.dummyfunction("""COMPUTED_VALUE"""),"Chientd2")</f>
        <v>Chientd2</v>
      </c>
      <c r="L35" s="37" t="str">
        <f aca="false">IFERROR(__xludf.dummyfunction("""COMPUTED_VALUE"""),"Tưởng Thị Huyền Trang")</f>
        <v>Tưởng Thị Huyền Trang</v>
      </c>
      <c r="M35" s="43" t="str">
        <f aca="false">IFERROR(__xludf.dummyfunction("""COMPUTED_VALUE"""),"https://hocmai.sharepoint.com/Education_Development/Lists/San_xuat_video/DispForm.aspx?ID=12162")</f>
        <v>https://hocmai.sharepoint.com/Education_Development/Lists/San_xuat_video/DispForm.aspx?ID=12162</v>
      </c>
      <c r="N35" s="41" t="n">
        <f aca="false">IFERROR(__xludf.dummyfunction("""COMPUTED_VALUE"""),3312)</f>
        <v>3312</v>
      </c>
      <c r="O35" s="41" t="n">
        <f aca="false">IFERROR(__xludf.dummyfunction("""COMPUTED_VALUE"""),166556)</f>
        <v>166556</v>
      </c>
      <c r="P35" s="41"/>
      <c r="Q35" s="41" t="n">
        <f aca="false">IFERROR(__xludf.dummyfunction("""COMPUTED_VALUE"""),7927)</f>
        <v>7927</v>
      </c>
      <c r="R35" s="41"/>
      <c r="S35" s="41"/>
      <c r="T35" s="41" t="n">
        <f aca="false">IFERROR(__xludf.dummyfunction("""COMPUTED_VALUE"""),7928)</f>
        <v>7928</v>
      </c>
      <c r="U35" s="41" t="n">
        <f aca="false">IFERROR(__xludf.dummyfunction("""COMPUTED_VALUE"""),23412)</f>
        <v>23412</v>
      </c>
      <c r="V35" s="40" t="n">
        <f aca="false">IFERROR(__xludf.dummyfunction("""COMPUTED_VALUE"""),46186)</f>
        <v>46186</v>
      </c>
      <c r="W35" s="39" t="str">
        <f aca="false">IFERROR(__xludf.dummyfunction("""COMPUTED_VALUE"""),"Hoàn thành XB")</f>
        <v>Hoàn thành XB</v>
      </c>
      <c r="X35" s="41" t="str">
        <f aca="false">IFERROR(__xludf.dummyfunction("""COMPUTED_VALUE"""),"Huent7")</f>
        <v>Huent7</v>
      </c>
      <c r="Y35" s="44"/>
      <c r="Z35" s="57"/>
      <c r="AA35" s="57"/>
      <c r="AB35" s="41" t="n">
        <f aca="false">IFERROR(__xludf.dummyfunction("""COMPUTED_VALUE"""),6)</f>
        <v>6</v>
      </c>
      <c r="AC35" s="57"/>
      <c r="AD35" s="46" t="str">
        <f aca="false">IFERROR(__xludf.dummyfunction("""COMPUTED_VALUE"""),"Ko có intro, outro, link API sx không đúng thứ tự mà bài giảng vẫn chạy =&gt; Đã báo kĩ thuật")</f>
        <v>Ko có intro, outro, link API sx không đúng thứ tự mà bài giảng vẫn chạy =&gt; Đã báo kĩ thuật</v>
      </c>
      <c r="AE35" s="46"/>
      <c r="AF35" s="47" t="str">
        <f aca="false">IFERROR(__xludf.dummyfunction("""COMPUTED_VALUE"""),"lophoctoan-946183")</f>
        <v>lophoctoan-946183</v>
      </c>
      <c r="AG35" s="46" t="str">
        <f aca="false">IFERROR(__xludf.dummyfunction("""COMPUTED_VALUE"""),"")</f>
        <v/>
      </c>
      <c r="AH35" s="53" t="b">
        <f aca="false">IFERROR(__xludf.dummyfunction("""COMPUTED_VALUE"""),TRUE())</f>
        <v>1</v>
      </c>
      <c r="AI35" s="35"/>
      <c r="AJ35" s="35"/>
      <c r="AK35" s="35"/>
      <c r="AL35" s="35"/>
      <c r="AM35" s="35"/>
      <c r="AN35" s="35"/>
      <c r="AO35" s="46"/>
    </row>
    <row r="36" customFormat="false" ht="15.75" hidden="false" customHeight="true" outlineLevel="0" collapsed="false">
      <c r="A36" s="37" t="str">
        <f aca="false">IFERROR(__xludf.dummyfunction("""COMPUTED_VALUE"""),"Toán")</f>
        <v>Toán</v>
      </c>
      <c r="B36" s="37" t="str">
        <f aca="false">IFERROR(__xludf.dummyfunction("""COMPUTED_VALUE"""),"NT_T_24")</f>
        <v>NT_T_24</v>
      </c>
      <c r="C36" s="59" t="str">
        <f aca="false">IFERROR(__xludf.dummyfunction("""COMPUTED_VALUE"""),"Ứng dụng vectơ và hệ tọa độ trong các bài toán thực tế")</f>
        <v>Ứng dụng vectơ và hệ tọa độ trong các bài toán thực tế</v>
      </c>
      <c r="D36" s="39" t="str">
        <f aca="false">IFERROR(__xludf.dummyfunction("""COMPUTED_VALUE"""),"Nguyễn Thanh Tùng")</f>
        <v>Nguyễn Thanh Tùng</v>
      </c>
      <c r="E36" s="40" t="n">
        <f aca="false">IFERROR(__xludf.dummyfunction("""COMPUTED_VALUE"""),46186)</f>
        <v>46186</v>
      </c>
      <c r="F36" s="41" t="n">
        <f aca="false">IFERROR(__xludf.dummyfunction("""COMPUTED_VALUE"""),7)</f>
        <v>7</v>
      </c>
      <c r="G36" s="37" t="str">
        <f aca="false">IFERROR(__xludf.dummyfunction("""COMPUTED_VALUE"""),"20:00-22:00")</f>
        <v>20:00-22:00</v>
      </c>
      <c r="H36" s="42" t="str">
        <f aca="false">IFERROR(__xludf.dummyfunction("""COMPUTED_VALUE"""),"https://hocmai.vn/mod/scorm/view_file.php?id=180921")</f>
        <v>https://hocmai.vn/mod/scorm/view_file.php?id=180921</v>
      </c>
      <c r="I36" s="42" t="str">
        <f aca="false">IFERROR(__xludf.dummyfunction("""COMPUTED_VALUE"""),"https://hocmai.vn/mod/scorm/view_file.php?id=180979")</f>
        <v>https://hocmai.vn/mod/scorm/view_file.php?id=180979</v>
      </c>
      <c r="J36" s="55" t="str">
        <f aca="false">IFERROR(__xludf.dummyfunction("""COMPUTED_VALUE"""),"https://drive.google.com/drive/folders/1-h4iYOvBqYXrsAGl4TjolBwLq6MDhzWY?usp=drive_link")</f>
        <v>https://drive.google.com/drive/folders/1-h4iYOvBqYXrsAGl4TjolBwLq6MDhzWY?usp=drive_link</v>
      </c>
      <c r="K36" s="37" t="str">
        <f aca="false">IFERROR(__xludf.dummyfunction("""COMPUTED_VALUE"""),"Chientd2")</f>
        <v>Chientd2</v>
      </c>
      <c r="L36" s="37" t="str">
        <f aca="false">IFERROR(__xludf.dummyfunction("""COMPUTED_VALUE"""),"Tưởng Thị Huyền Trang")</f>
        <v>Tưởng Thị Huyền Trang</v>
      </c>
      <c r="M36" s="43" t="str">
        <f aca="false">IFERROR(__xludf.dummyfunction("""COMPUTED_VALUE"""),"https://hocmai.sharepoint.com/Education_Development/Lists/San_xuat_video/DispForm.aspx?ID=12163")</f>
        <v>https://hocmai.sharepoint.com/Education_Development/Lists/San_xuat_video/DispForm.aspx?ID=12163</v>
      </c>
      <c r="N36" s="41" t="n">
        <f aca="false">IFERROR(__xludf.dummyfunction("""COMPUTED_VALUE"""),3312)</f>
        <v>3312</v>
      </c>
      <c r="O36" s="41" t="n">
        <f aca="false">IFERROR(__xludf.dummyfunction("""COMPUTED_VALUE"""),166557)</f>
        <v>166557</v>
      </c>
      <c r="P36" s="41"/>
      <c r="Q36" s="41" t="n">
        <f aca="false">IFERROR(__xludf.dummyfunction("""COMPUTED_VALUE"""),7929)</f>
        <v>7929</v>
      </c>
      <c r="R36" s="41"/>
      <c r="S36" s="41"/>
      <c r="T36" s="41" t="n">
        <f aca="false">IFERROR(__xludf.dummyfunction("""COMPUTED_VALUE"""),7930)</f>
        <v>7930</v>
      </c>
      <c r="U36" s="41" t="n">
        <f aca="false">IFERROR(__xludf.dummyfunction("""COMPUTED_VALUE"""),23451)</f>
        <v>23451</v>
      </c>
      <c r="V36" s="40" t="n">
        <f aca="false">IFERROR(__xludf.dummyfunction("""COMPUTED_VALUE"""),46189)</f>
        <v>46189</v>
      </c>
      <c r="W36" s="39" t="str">
        <f aca="false">IFERROR(__xludf.dummyfunction("""COMPUTED_VALUE"""),"Hoàn thành XB")</f>
        <v>Hoàn thành XB</v>
      </c>
      <c r="X36" s="41" t="str">
        <f aca="false">IFERROR(__xludf.dummyfunction("""COMPUTED_VALUE"""),"Huent7")</f>
        <v>Huent7</v>
      </c>
      <c r="Y36" s="44"/>
      <c r="Z36" s="57"/>
      <c r="AA36" s="57"/>
      <c r="AB36" s="41" t="n">
        <f aca="false">IFERROR(__xludf.dummyfunction("""COMPUTED_VALUE"""),6)</f>
        <v>6</v>
      </c>
      <c r="AC36" s="57"/>
      <c r="AD36" s="46" t="str">
        <f aca="false">IFERROR(__xludf.dummyfunction("""COMPUTED_VALUE"""),"Ko có intro,")</f>
        <v>Ko có intro,</v>
      </c>
      <c r="AE36" s="46"/>
      <c r="AF36" s="47" t="str">
        <f aca="false">IFERROR(__xludf.dummyfunction("""COMPUTED_VALUE"""),"lophoctoan-946186")</f>
        <v>lophoctoan-946186</v>
      </c>
      <c r="AG36" s="46" t="str">
        <f aca="false">IFERROR(__xludf.dummyfunction("""COMPUTED_VALUE"""),"")</f>
        <v/>
      </c>
      <c r="AH36" s="53" t="b">
        <f aca="false">IFERROR(__xludf.dummyfunction("""COMPUTED_VALUE"""),TRUE())</f>
        <v>1</v>
      </c>
      <c r="AI36" s="35"/>
      <c r="AJ36" s="35"/>
      <c r="AK36" s="35"/>
      <c r="AL36" s="35"/>
      <c r="AM36" s="35"/>
      <c r="AN36" s="35"/>
      <c r="AO36" s="46"/>
    </row>
    <row r="37" customFormat="false" ht="15.75" hidden="false" customHeight="true" outlineLevel="0" collapsed="false">
      <c r="A37" s="37" t="str">
        <f aca="false">IFERROR(__xludf.dummyfunction("""COMPUTED_VALUE"""),"Toán")</f>
        <v>Toán</v>
      </c>
      <c r="B37" s="37" t="str">
        <f aca="false">IFERROR(__xludf.dummyfunction("""COMPUTED_VALUE"""),"NT_N_09")</f>
        <v>NT_N_09</v>
      </c>
      <c r="C37" s="39" t="str">
        <f aca="false">IFERROR(__xludf.dummyfunction("""COMPUTED_VALUE"""),"Min – max của hàm số")</f>
        <v>Min – max của hàm số</v>
      </c>
      <c r="D37" s="39" t="str">
        <f aca="false">IFERROR(__xludf.dummyfunction("""COMPUTED_VALUE"""),"Nguyễn Hoài Nam")</f>
        <v>Nguyễn Hoài Nam</v>
      </c>
      <c r="E37" s="40" t="n">
        <f aca="false">IFERROR(__xludf.dummyfunction("""COMPUTED_VALUE"""),46187)</f>
        <v>46187</v>
      </c>
      <c r="F37" s="41" t="str">
        <f aca="false">IFERROR(__xludf.dummyfunction("""COMPUTED_VALUE"""),"CN")</f>
        <v>CN</v>
      </c>
      <c r="G37" s="37" t="str">
        <f aca="false">IFERROR(__xludf.dummyfunction("""COMPUTED_VALUE"""),"21:00-22:30")</f>
        <v>21:00-22:30</v>
      </c>
      <c r="H37" s="42" t="str">
        <f aca="false">IFERROR(__xludf.dummyfunction("""COMPUTED_VALUE"""),"https://hocmai.vn/mod/scorm/view_file.php?inpopup=true&amp;id=180926")</f>
        <v>https://hocmai.vn/mod/scorm/view_file.php?inpopup=true&amp;id=180926</v>
      </c>
      <c r="I37" s="42" t="str">
        <f aca="false">IFERROR(__xludf.dummyfunction("""COMPUTED_VALUE"""),"https://hocmai.vn/mod/scorm/view_file.php?inpopup=true&amp;id=180927")</f>
        <v>https://hocmai.vn/mod/scorm/view_file.php?inpopup=true&amp;id=180927</v>
      </c>
      <c r="J37" s="42" t="str">
        <f aca="false">IFERROR(__xludf.dummyfunction("""COMPUTED_VALUE"""),"https://drive.google.com/drive/folders/1NG8TCHJCwEcbGNufeRUQEeedUv_i2bxl?usp=drive_link")</f>
        <v>https://drive.google.com/drive/folders/1NG8TCHJCwEcbGNufeRUQEeedUv_i2bxl?usp=drive_link</v>
      </c>
      <c r="K37" s="37" t="str">
        <f aca="false">IFERROR(__xludf.dummyfunction("""COMPUTED_VALUE"""),"lent")</f>
        <v>lent</v>
      </c>
      <c r="L37" s="37" t="str">
        <f aca="false">IFERROR(__xludf.dummyfunction("""COMPUTED_VALUE"""),"Tưởng Thị Huyền Trang")</f>
        <v>Tưởng Thị Huyền Trang</v>
      </c>
      <c r="M37" s="43" t="str">
        <f aca="false">IFERROR(__xludf.dummyfunction("""COMPUTED_VALUE"""),"https://hocmai.sharepoint.com/Education_Development/Lists/San_xuat_video/DispForm.aspx?ID=12196")</f>
        <v>https://hocmai.sharepoint.com/Education_Development/Lists/San_xuat_video/DispForm.aspx?ID=12196</v>
      </c>
      <c r="N37" s="58" t="n">
        <f aca="false">IFERROR(__xludf.dummyfunction("""COMPUTED_VALUE"""),3313)</f>
        <v>3313</v>
      </c>
      <c r="O37" s="41" t="n">
        <f aca="false">IFERROR(__xludf.dummyfunction("""COMPUTED_VALUE"""),166634)</f>
        <v>166634</v>
      </c>
      <c r="P37" s="41"/>
      <c r="Q37" s="41" t="n">
        <f aca="false">IFERROR(__xludf.dummyfunction("""COMPUTED_VALUE"""),8014)</f>
        <v>8014</v>
      </c>
      <c r="R37" s="41"/>
      <c r="S37" s="41"/>
      <c r="T37" s="41" t="n">
        <f aca="false">IFERROR(__xludf.dummyfunction("""COMPUTED_VALUE"""),8015)</f>
        <v>8015</v>
      </c>
      <c r="U37" s="41" t="n">
        <f aca="false">IFERROR(__xludf.dummyfunction("""COMPUTED_VALUE"""),23415)</f>
        <v>23415</v>
      </c>
      <c r="V37" s="40" t="n">
        <f aca="false">IFERROR(__xludf.dummyfunction("""COMPUTED_VALUE"""),46189)</f>
        <v>46189</v>
      </c>
      <c r="W37" s="39" t="str">
        <f aca="false">IFERROR(__xludf.dummyfunction("""COMPUTED_VALUE"""),"Hoàn thành XB")</f>
        <v>Hoàn thành XB</v>
      </c>
      <c r="X37" s="41" t="str">
        <f aca="false">IFERROR(__xludf.dummyfunction("""COMPUTED_VALUE"""),"Huent7")</f>
        <v>Huent7</v>
      </c>
      <c r="Y37" s="44"/>
      <c r="Z37" s="57"/>
      <c r="AA37" s="57"/>
      <c r="AB37" s="41" t="n">
        <f aca="false">IFERROR(__xludf.dummyfunction("""COMPUTED_VALUE"""),6)</f>
        <v>6</v>
      </c>
      <c r="AC37" s="57" t="str">
        <f aca="false">IFERROR(__xludf.dummyfunction("""COMPUTED_VALUE"""),"Ko có intro =&gt; Đã báo")</f>
        <v>Ko có intro =&gt; Đã báo</v>
      </c>
      <c r="AD37" s="46"/>
      <c r="AE37" s="46"/>
      <c r="AF37" s="47" t="str">
        <f aca="false">IFERROR(__xludf.dummyfunction("""COMPUTED_VALUE"""),"lophoctoan-946187")</f>
        <v>lophoctoan-946187</v>
      </c>
      <c r="AG37" s="46" t="str">
        <f aca="false">IFERROR(__xludf.dummyfunction("""COMPUTED_VALUE"""),"")</f>
        <v/>
      </c>
      <c r="AH37" s="53" t="b">
        <f aca="false">IFERROR(__xludf.dummyfunction("""COMPUTED_VALUE"""),TRUE())</f>
        <v>1</v>
      </c>
      <c r="AI37" s="35"/>
      <c r="AJ37" s="35"/>
      <c r="AK37" s="35"/>
      <c r="AL37" s="35"/>
      <c r="AM37" s="35"/>
      <c r="AN37" s="35"/>
      <c r="AO37" s="46"/>
    </row>
    <row r="38" customFormat="false" ht="15.75" hidden="false" customHeight="true" outlineLevel="0" collapsed="false">
      <c r="A38" s="37" t="str">
        <f aca="false">IFERROR(__xludf.dummyfunction("""COMPUTED_VALUE"""),"Toán")</f>
        <v>Toán</v>
      </c>
      <c r="B38" s="37" t="str">
        <f aca="false">IFERROR(__xludf.dummyfunction("""COMPUTED_VALUE"""),"NT_T_25")</f>
        <v>NT_T_25</v>
      </c>
      <c r="C38" s="59" t="str">
        <f aca="false">IFERROR(__xludf.dummyfunction("""COMPUTED_VALUE"""),"Tổng quan về nguyên hàm")</f>
        <v>Tổng quan về nguyên hàm</v>
      </c>
      <c r="D38" s="39" t="str">
        <f aca="false">IFERROR(__xludf.dummyfunction("""COMPUTED_VALUE"""),"Nguyễn Thanh Tùng")</f>
        <v>Nguyễn Thanh Tùng</v>
      </c>
      <c r="E38" s="40" t="n">
        <f aca="false">IFERROR(__xludf.dummyfunction("""COMPUTED_VALUE"""),46187)</f>
        <v>46187</v>
      </c>
      <c r="F38" s="41" t="str">
        <f aca="false">IFERROR(__xludf.dummyfunction("""COMPUTED_VALUE"""),"CN")</f>
        <v>CN</v>
      </c>
      <c r="G38" s="37" t="str">
        <f aca="false">IFERROR(__xludf.dummyfunction("""COMPUTED_VALUE"""),"18:00-20:00")</f>
        <v>18:00-20:00</v>
      </c>
      <c r="H38" s="42" t="str">
        <f aca="false">IFERROR(__xludf.dummyfunction("""COMPUTED_VALUE"""),"https://hocmai.vn/mod/scorm/view_file.php?id=180922")</f>
        <v>https://hocmai.vn/mod/scorm/view_file.php?id=180922</v>
      </c>
      <c r="I38" s="42" t="str">
        <f aca="false">IFERROR(__xludf.dummyfunction("""COMPUTED_VALUE"""),"https://hocmai.vn/mod/scorm/view_file.php?id=180987")</f>
        <v>https://hocmai.vn/mod/scorm/view_file.php?id=180987</v>
      </c>
      <c r="J38" s="42" t="str">
        <f aca="false">IFERROR(__xludf.dummyfunction("""COMPUTED_VALUE"""),"https://drive.google.com/drive/folders/1c6ls30QeA9CZ9XM67E8QYPIJhUgUVdmU?usp=drive_link")</f>
        <v>https://drive.google.com/drive/folders/1c6ls30QeA9CZ9XM67E8QYPIJhUgUVdmU?usp=drive_link</v>
      </c>
      <c r="K38" s="68" t="str">
        <f aca="false">IFERROR(__xludf.dummyfunction("""COMPUTED_VALUE"""),"Chientd2")</f>
        <v>Chientd2</v>
      </c>
      <c r="L38" s="68" t="str">
        <f aca="false">IFERROR(__xludf.dummyfunction("""COMPUTED_VALUE"""),"Tưởng Thị Huyền Trang")</f>
        <v>Tưởng Thị Huyền Trang</v>
      </c>
      <c r="M38" s="69" t="str">
        <f aca="false">IFERROR(__xludf.dummyfunction("""COMPUTED_VALUE"""),"https://hocmai.sharepoint.com/Education_Development/Lists/San_xuat_video/DispForm.aspx?ID=12164")</f>
        <v>https://hocmai.sharepoint.com/Education_Development/Lists/San_xuat_video/DispForm.aspx?ID=12164</v>
      </c>
      <c r="N38" s="41" t="n">
        <f aca="false">IFERROR(__xludf.dummyfunction("""COMPUTED_VALUE"""),3312)</f>
        <v>3312</v>
      </c>
      <c r="O38" s="63" t="n">
        <f aca="false">IFERROR(__xludf.dummyfunction("""COMPUTED_VALUE"""),166558)</f>
        <v>166558</v>
      </c>
      <c r="P38" s="63"/>
      <c r="Q38" s="63" t="n">
        <f aca="false">IFERROR(__xludf.dummyfunction("""COMPUTED_VALUE"""),7932)</f>
        <v>7932</v>
      </c>
      <c r="R38" s="41"/>
      <c r="S38" s="41"/>
      <c r="T38" s="63" t="n">
        <f aca="false">IFERROR(__xludf.dummyfunction("""COMPUTED_VALUE"""),7933)</f>
        <v>7933</v>
      </c>
      <c r="U38" s="63" t="n">
        <f aca="false">IFERROR(__xludf.dummyfunction("""COMPUTED_VALUE"""),23513)</f>
        <v>23513</v>
      </c>
      <c r="V38" s="70" t="n">
        <f aca="false">IFERROR(__xludf.dummyfunction("""COMPUTED_VALUE"""),46190)</f>
        <v>46190</v>
      </c>
      <c r="W38" s="39" t="str">
        <f aca="false">IFERROR(__xludf.dummyfunction("""COMPUTED_VALUE"""),"Hoàn thành XB")</f>
        <v>Hoàn thành XB</v>
      </c>
      <c r="X38" s="41" t="str">
        <f aca="false">IFERROR(__xludf.dummyfunction("""COMPUTED_VALUE"""),"Huent7")</f>
        <v>Huent7</v>
      </c>
      <c r="Y38" s="44"/>
      <c r="Z38" s="57"/>
      <c r="AA38" s="57"/>
      <c r="AB38" s="41" t="n">
        <f aca="false">IFERROR(__xludf.dummyfunction("""COMPUTED_VALUE"""),6)</f>
        <v>6</v>
      </c>
      <c r="AC38" s="57"/>
      <c r="AD38" s="46" t="str">
        <f aca="false">IFERROR(__xludf.dummyfunction("""COMPUTED_VALUE"""),"Ko có intro,")</f>
        <v>Ko có intro,</v>
      </c>
      <c r="AE38" s="46"/>
      <c r="AF38" s="47" t="str">
        <f aca="false">IFERROR(__xludf.dummyfunction("""COMPUTED_VALUE"""),"lophoctoan-946187")</f>
        <v>lophoctoan-946187</v>
      </c>
      <c r="AG38" s="46" t="str">
        <f aca="false">IFERROR(__xludf.dummyfunction("""COMPUTED_VALUE"""),"")</f>
        <v/>
      </c>
      <c r="AH38" s="53" t="b">
        <f aca="false">IFERROR(__xludf.dummyfunction("""COMPUTED_VALUE"""),TRUE())</f>
        <v>1</v>
      </c>
      <c r="AI38" s="35"/>
      <c r="AJ38" s="35"/>
      <c r="AK38" s="35"/>
      <c r="AL38" s="35"/>
      <c r="AM38" s="35"/>
      <c r="AN38" s="35"/>
      <c r="AO38" s="46"/>
    </row>
    <row r="39" customFormat="false" ht="15.75" hidden="false" customHeight="true" outlineLevel="0" collapsed="false">
      <c r="A39" s="37" t="str">
        <f aca="false">IFERROR(__xludf.dummyfunction("""COMPUTED_VALUE"""),"Đọc hiểu")</f>
        <v>Đọc hiểu</v>
      </c>
      <c r="B39" s="37" t="str">
        <f aca="false">IFERROR(__xludf.dummyfunction("""COMPUTED_VALUE"""),"TOV_TSA_DH01")</f>
        <v>TOV_TSA_DH01</v>
      </c>
      <c r="C39" s="59" t="str">
        <f aca="false">IFERROR(__xludf.dummyfunction("""COMPUTED_VALUE"""),"Một số mô hình tiếp nhận văn bản dài")</f>
        <v>Một số mô hình tiếp nhận văn bản dài</v>
      </c>
      <c r="D39" s="39" t="str">
        <f aca="false">IFERROR(__xludf.dummyfunction("""COMPUTED_VALUE"""),"Vũ Khắc Ngọc")</f>
        <v>Vũ Khắc Ngọc</v>
      </c>
      <c r="E39" s="40" t="n">
        <f aca="false">IFERROR(__xludf.dummyfunction("""COMPUTED_VALUE"""),46188)</f>
        <v>46188</v>
      </c>
      <c r="F39" s="41" t="n">
        <f aca="false">IFERROR(__xludf.dummyfunction("""COMPUTED_VALUE"""),2)</f>
        <v>2</v>
      </c>
      <c r="G39" s="37" t="str">
        <f aca="false">IFERROR(__xludf.dummyfunction("""COMPUTED_VALUE"""),"21:30-23:30")</f>
        <v>21:30-23:30</v>
      </c>
      <c r="H39" s="42" t="str">
        <f aca="false">IFERROR(__xludf.dummyfunction("""COMPUTED_VALUE"""),"https://hocmai.vn/mod/scorm/view_file.php?inpopup=true&amp;id=180946")</f>
        <v>https://hocmai.vn/mod/scorm/view_file.php?inpopup=true&amp;id=180946</v>
      </c>
      <c r="I39" s="42" t="str">
        <f aca="false">IFERROR(__xludf.dummyfunction("""COMPUTED_VALUE"""),"https://hocmai.vn/mod/scorm/view_file.php?inpopup=true&amp;id=180998")</f>
        <v>https://hocmai.vn/mod/scorm/view_file.php?inpopup=true&amp;id=180998</v>
      </c>
      <c r="J39" s="42" t="str">
        <f aca="false">IFERROR(__xludf.dummyfunction("""COMPUTED_VALUE"""),"https://drive.google.com/file/d/1MfxiPWY3wgiBfuRXDBDY-P5zUnveUufT/view?usp=drive_link")</f>
        <v>https://drive.google.com/file/d/1MfxiPWY3wgiBfuRXDBDY-P5zUnveUufT/view?usp=drive_link</v>
      </c>
      <c r="K39" s="68" t="str">
        <f aca="false">IFERROR(__xludf.dummyfunction("""COMPUTED_VALUE"""),"Hangvt3")</f>
        <v>Hangvt3</v>
      </c>
      <c r="L39" s="68" t="str">
        <f aca="false">IFERROR(__xludf.dummyfunction("""COMPUTED_VALUE"""),"Phan Đức Kiên")</f>
        <v>Phan Đức Kiên</v>
      </c>
      <c r="M39" s="71"/>
      <c r="N39" s="72" t="str">
        <f aca="false">IFERROR(__xludf.dummyfunction("""COMPUTED_VALUE"""),"3109")</f>
        <v>3109</v>
      </c>
      <c r="O39" s="63" t="n">
        <f aca="false">IFERROR(__xludf.dummyfunction("""COMPUTED_VALUE"""),167224)</f>
        <v>167224</v>
      </c>
      <c r="P39" s="63"/>
      <c r="Q39" s="63"/>
      <c r="R39" s="41"/>
      <c r="S39" s="41"/>
      <c r="T39" s="63"/>
      <c r="U39" s="63"/>
      <c r="V39" s="70" t="n">
        <f aca="false">IFERROR(__xludf.dummyfunction("""COMPUTED_VALUE"""),46191)</f>
        <v>46191</v>
      </c>
      <c r="W39" s="39" t="str">
        <f aca="false">IFERROR(__xludf.dummyfunction("""COMPUTED_VALUE"""),"Hoàn thành XB")</f>
        <v>Hoàn thành XB</v>
      </c>
      <c r="X39" s="41" t="str">
        <f aca="false">IFERROR(__xludf.dummyfunction("""COMPUTED_VALUE"""),"Hoantt")</f>
        <v>Hoantt</v>
      </c>
      <c r="Y39" s="44" t="str">
        <f aca="false">IFERROR(__xludf.dummyfunction("""COMPUTED_VALUE"""),"done")</f>
        <v>done</v>
      </c>
      <c r="Z39" s="57" t="str">
        <f aca="false">IFERROR(__xludf.dummyfunction("""COMPUTED_VALUE"""),"#N/A")</f>
        <v>#N/A</v>
      </c>
      <c r="AA39" s="57"/>
      <c r="AB39" s="41" t="n">
        <f aca="false">IFERROR(__xludf.dummyfunction("""COMPUTED_VALUE"""),6)</f>
        <v>6</v>
      </c>
      <c r="AC39" s="57" t="str">
        <f aca="false">IFERROR(__xludf.dummyfunction("""COMPUTED_VALUE"""),"gv.ngocvk@hocmai.edu.vn")</f>
        <v>gv.ngocvk@hocmai.edu.vn</v>
      </c>
      <c r="AD39" s="46" t="str">
        <f aca="false">IFERROR(__xludf.dummyfunction("""COMPUTED_VALUE"""),"duckien010607@gmail.com")</f>
        <v>duckien010607@gmail.com</v>
      </c>
      <c r="AE39" s="46"/>
      <c r="AF39" s="47" t="str">
        <f aca="false">IFERROR(__xludf.dummyfunction("""COMPUTED_VALUE"""),"lophoctoan-946188")</f>
        <v>lophoctoan-946188</v>
      </c>
      <c r="AG39" s="46" t="str">
        <f aca="false">IFERROR(__xludf.dummyfunction("""COMPUTED_VALUE"""),"")</f>
        <v/>
      </c>
      <c r="AH39" s="35"/>
      <c r="AI39" s="53" t="b">
        <f aca="false">IFERROR(__xludf.dummyfunction("""COMPUTED_VALUE"""),TRUE())</f>
        <v>1</v>
      </c>
      <c r="AJ39" s="35"/>
      <c r="AK39" s="35"/>
      <c r="AL39" s="35"/>
      <c r="AM39" s="35"/>
      <c r="AN39" s="35"/>
      <c r="AO39" s="46"/>
    </row>
    <row r="40" customFormat="false" ht="15.75" hidden="false" customHeight="true" outlineLevel="0" collapsed="false">
      <c r="A40" s="37" t="str">
        <f aca="false">IFERROR(__xludf.dummyfunction("""COMPUTED_VALUE"""),"Tiếng Anh")</f>
        <v>Tiếng Anh</v>
      </c>
      <c r="B40" s="37" t="str">
        <f aca="false">IFERROR(__xludf.dummyfunction("""COMPUTED_VALUE"""),"TOV_HV_TA01")</f>
        <v>TOV_HV_TA01</v>
      </c>
      <c r="C40" s="59" t="str">
        <f aca="false">IFERROR(__xludf.dummyfunction("""COMPUTED_VALUE"""),"Thì - Sự phối hợp thì - Hoà hợp chủ ngữ và động từ")</f>
        <v>Thì - Sự phối hợp thì - Hoà hợp chủ ngữ và động từ</v>
      </c>
      <c r="D40" s="39" t="str">
        <f aca="false">IFERROR(__xludf.dummyfunction("""COMPUTED_VALUE"""),"Nguyễn Thanh Hương")</f>
        <v>Nguyễn Thanh Hương</v>
      </c>
      <c r="E40" s="40" t="n">
        <f aca="false">IFERROR(__xludf.dummyfunction("""COMPUTED_VALUE"""),46188)</f>
        <v>46188</v>
      </c>
      <c r="F40" s="41" t="n">
        <f aca="false">IFERROR(__xludf.dummyfunction("""COMPUTED_VALUE"""),2)</f>
        <v>2</v>
      </c>
      <c r="G40" s="37" t="str">
        <f aca="false">IFERROR(__xludf.dummyfunction("""COMPUTED_VALUE"""),"20:00-22:00")</f>
        <v>20:00-22:00</v>
      </c>
      <c r="H40" s="42" t="str">
        <f aca="false">IFERROR(__xludf.dummyfunction("""COMPUTED_VALUE"""),"https://hocmai.vn/mod/scorm/view_file.php?inpopup=true&amp;id=180924")</f>
        <v>https://hocmai.vn/mod/scorm/view_file.php?inpopup=true&amp;id=180924</v>
      </c>
      <c r="I40" s="42" t="str">
        <f aca="false">IFERROR(__xludf.dummyfunction("""COMPUTED_VALUE"""),"https://hocmai.vn/mod/scorm/view_file.php?inpopup=true&amp;id=180982")</f>
        <v>https://hocmai.vn/mod/scorm/view_file.php?inpopup=true&amp;id=180982</v>
      </c>
      <c r="J40" s="42" t="str">
        <f aca="false">IFERROR(__xludf.dummyfunction("""COMPUTED_VALUE"""),"https://drive.google.com/file/d/1SPCCaOuv0GuSyB5YxIzi-xO3_bA7ub4c/view?usp=drive_link")</f>
        <v>https://drive.google.com/file/d/1SPCCaOuv0GuSyB5YxIzi-xO3_bA7ub4c/view?usp=drive_link</v>
      </c>
      <c r="K40" s="68" t="str">
        <f aca="false">IFERROR(__xludf.dummyfunction("""COMPUTED_VALUE"""),"Dienlt")</f>
        <v>Dienlt</v>
      </c>
      <c r="L40" s="68" t="str">
        <f aca="false">IFERROR(__xludf.dummyfunction("""COMPUTED_VALUE"""),"Nguyễn Lê Thụy Quyên ")</f>
        <v>Nguyễn Lê Thụy Quyên </v>
      </c>
      <c r="M40" s="71"/>
      <c r="N40" s="72" t="str">
        <f aca="false">IFERROR(__xludf.dummyfunction("""COMPUTED_VALUE"""),"3140,3165")</f>
        <v>3140,3165</v>
      </c>
      <c r="O40" s="73" t="n">
        <f aca="false">IFERROR(__xludf.dummyfunction("""COMPUTED_VALUE"""),167537.167605)</f>
        <v>167537.167605</v>
      </c>
      <c r="P40" s="63" t="str">
        <f aca="false">IFERROR(__xludf.dummyfunction("""COMPUTED_VALUE"""),"9030,9038,9047")</f>
        <v>9030,9038,9047</v>
      </c>
      <c r="Q40" s="63"/>
      <c r="R40" s="41"/>
      <c r="S40" s="41"/>
      <c r="T40" s="63"/>
      <c r="U40" s="63"/>
      <c r="V40" s="70" t="n">
        <f aca="false">IFERROR(__xludf.dummyfunction("""COMPUTED_VALUE"""),46191)</f>
        <v>46191</v>
      </c>
      <c r="W40" s="39" t="str">
        <f aca="false">IFERROR(__xludf.dummyfunction("""COMPUTED_VALUE"""),"Hoàn thành XB")</f>
        <v>Hoàn thành XB</v>
      </c>
      <c r="X40" s="41" t="str">
        <f aca="false">IFERROR(__xludf.dummyfunction("""COMPUTED_VALUE"""),"Dienlt")</f>
        <v>Dienlt</v>
      </c>
      <c r="Y40" s="44" t="str">
        <f aca="false">IFERROR(__xludf.dummyfunction("""COMPUTED_VALUE"""),"done")</f>
        <v>done</v>
      </c>
      <c r="Z40" s="57" t="str">
        <f aca="false">IFERROR(__xludf.dummyfunction("""COMPUTED_VALUE"""),"#N/A")</f>
        <v>#N/A</v>
      </c>
      <c r="AA40" s="57"/>
      <c r="AB40" s="41" t="n">
        <f aca="false">IFERROR(__xludf.dummyfunction("""COMPUTED_VALUE"""),6)</f>
        <v>6</v>
      </c>
      <c r="AC40" s="57" t="str">
        <f aca="false">IFERROR(__xludf.dummyfunction("""COMPUTED_VALUE"""),"gv.huongnt@hocmai.edu.vn ")</f>
        <v>gv.huongnt@hocmai.edu.vn </v>
      </c>
      <c r="AD40" s="46" t="str">
        <f aca="false">IFERROR(__xludf.dummyfunction("""COMPUTED_VALUE"""),"nguyenlethuyquyencp@gmail.com")</f>
        <v>nguyenlethuyquyencp@gmail.com</v>
      </c>
      <c r="AE40" s="46"/>
      <c r="AF40" s="47" t="str">
        <f aca="false">IFERROR(__xludf.dummyfunction("""COMPUTED_VALUE"""),"lophoctienganh46188")</f>
        <v>lophoctienganh46188</v>
      </c>
      <c r="AG40" s="46" t="str">
        <f aca="false">IFERROR(__xludf.dummyfunction("""COMPUTED_VALUE"""),"")</f>
        <v/>
      </c>
      <c r="AH40" s="35"/>
      <c r="AI40" s="35"/>
      <c r="AJ40" s="53" t="b">
        <f aca="false">IFERROR(__xludf.dummyfunction("""COMPUTED_VALUE"""),TRUE())</f>
        <v>1</v>
      </c>
      <c r="AK40" s="53" t="b">
        <f aca="false">IFERROR(__xludf.dummyfunction("""COMPUTED_VALUE"""),TRUE())</f>
        <v>1</v>
      </c>
      <c r="AL40" s="35"/>
      <c r="AM40" s="53" t="b">
        <f aca="false">IFERROR(__xludf.dummyfunction("""COMPUTED_VALUE"""),TRUE())</f>
        <v>1</v>
      </c>
      <c r="AN40" s="35"/>
      <c r="AO40" s="46"/>
    </row>
    <row r="41" customFormat="false" ht="15.75" hidden="false" customHeight="true" outlineLevel="0" collapsed="false">
      <c r="A41" s="42" t="str">
        <f aca="false">IFERROR(__xludf.dummyfunction("""COMPUTED_VALUE"""),"Hóa học")</f>
        <v>Hóa học</v>
      </c>
      <c r="B41" s="37" t="str">
        <f aca="false">IFERROR(__xludf.dummyfunction("""COMPUTED_VALUE"""),"TOV_HSA_HH01")</f>
        <v>TOV_HSA_HH01</v>
      </c>
      <c r="C41" s="59" t="str">
        <f aca="false">IFERROR(__xludf.dummyfunction("""COMPUTED_VALUE"""),"Cấu tạo nguyên tử")</f>
        <v>Cấu tạo nguyên tử</v>
      </c>
      <c r="D41" s="39" t="str">
        <f aca="false">IFERROR(__xludf.dummyfunction("""COMPUTED_VALUE"""),"Chu Hải Long")</f>
        <v>Chu Hải Long</v>
      </c>
      <c r="E41" s="40" t="n">
        <f aca="false">IFERROR(__xludf.dummyfunction("""COMPUTED_VALUE"""),46188)</f>
        <v>46188</v>
      </c>
      <c r="F41" s="41" t="n">
        <f aca="false">IFERROR(__xludf.dummyfunction("""COMPUTED_VALUE"""),2)</f>
        <v>2</v>
      </c>
      <c r="G41" s="37" t="str">
        <f aca="false">IFERROR(__xludf.dummyfunction("""COMPUTED_VALUE"""),"20:00-22:00")</f>
        <v>20:00-22:00</v>
      </c>
      <c r="H41" s="42" t="str">
        <f aca="false">IFERROR(__xludf.dummyfunction("""COMPUTED_VALUE"""),"https://hocmai.vn/mod/scorm/view_file.php?id=180576")</f>
        <v>https://hocmai.vn/mod/scorm/view_file.php?id=180576</v>
      </c>
      <c r="I41" s="42" t="str">
        <f aca="false">IFERROR(__xludf.dummyfunction("""COMPUTED_VALUE"""),"https://hocmai.vn/mod/scorm/view_file.php?id=181009")</f>
        <v>https://hocmai.vn/mod/scorm/view_file.php?id=181009</v>
      </c>
      <c r="J41" s="42" t="str">
        <f aca="false">IFERROR(__xludf.dummyfunction("""COMPUTED_VALUE"""),"1. TOV_HSA_HH01 – CẤU TẠO NGUYÊN TỬ")</f>
        <v>1. TOV_HSA_HH01 – CẤU TẠO NGUYÊN TỬ</v>
      </c>
      <c r="K41" s="68" t="str">
        <f aca="false">IFERROR(__xludf.dummyfunction("""COMPUTED_VALUE"""),"Huebt")</f>
        <v>Huebt</v>
      </c>
      <c r="L41" s="68" t="str">
        <f aca="false">IFERROR(__xludf.dummyfunction("""COMPUTED_VALUE"""),"Võ Hương Giang")</f>
        <v>Võ Hương Giang</v>
      </c>
      <c r="M41" s="71"/>
      <c r="N41" s="72" t="str">
        <f aca="false">IFERROR(__xludf.dummyfunction("""COMPUTED_VALUE"""),"3120")</f>
        <v>3120</v>
      </c>
      <c r="O41" s="63" t="n">
        <f aca="false">IFERROR(__xludf.dummyfunction("""COMPUTED_VALUE"""),167425)</f>
        <v>167425</v>
      </c>
      <c r="P41" s="63"/>
      <c r="Q41" s="63"/>
      <c r="R41" s="41"/>
      <c r="S41" s="41"/>
      <c r="T41" s="63" t="n">
        <f aca="false">IFERROR(__xludf.dummyfunction("""COMPUTED_VALUE"""),23524)</f>
        <v>23524</v>
      </c>
      <c r="U41" s="63" t="n">
        <f aca="false">IFERROR(__xludf.dummyfunction("""COMPUTED_VALUE"""),10478)</f>
        <v>10478</v>
      </c>
      <c r="V41" s="70" t="n">
        <f aca="false">IFERROR(__xludf.dummyfunction("""COMPUTED_VALUE"""),46191)</f>
        <v>46191</v>
      </c>
      <c r="W41" s="39" t="str">
        <f aca="false">IFERROR(__xludf.dummyfunction("""COMPUTED_VALUE"""),"Hoàn thành XB")</f>
        <v>Hoàn thành XB</v>
      </c>
      <c r="X41" s="41" t="str">
        <f aca="false">IFERROR(__xludf.dummyfunction("""COMPUTED_VALUE"""),"Huebt")</f>
        <v>Huebt</v>
      </c>
      <c r="Y41" s="44" t="str">
        <f aca="false">IFERROR(__xludf.dummyfunction("""COMPUTED_VALUE"""),"done")</f>
        <v>done</v>
      </c>
      <c r="Z41" s="57" t="str">
        <f aca="false">IFERROR(__xludf.dummyfunction("""COMPUTED_VALUE"""),"#N/A")</f>
        <v>#N/A</v>
      </c>
      <c r="AA41" s="57"/>
      <c r="AB41" s="41" t="n">
        <f aca="false">IFERROR(__xludf.dummyfunction("""COMPUTED_VALUE"""),6)</f>
        <v>6</v>
      </c>
      <c r="AC41" s="57" t="str">
        <f aca="false">IFERROR(__xludf.dummyfunction("""COMPUTED_VALUE"""),"gv.longch@hocmai.edu.vn")</f>
        <v>gv.longch@hocmai.edu.vn</v>
      </c>
      <c r="AD41" s="46" t="str">
        <f aca="false">IFERROR(__xludf.dummyfunction("""COMPUTED_VALUE"""),"giangvh@ctv.hocmai.vn")</f>
        <v>giangvh@ctv.hocmai.vn</v>
      </c>
      <c r="AE41" s="46"/>
      <c r="AF41" s="74" t="b">
        <f aca="false">IFERROR(__xludf.dummyfunction("""COMPUTED_VALUE"""),FALSE())</f>
        <v>0</v>
      </c>
      <c r="AG41" s="46" t="str">
        <f aca="false">IFERROR(__xludf.dummyfunction("""COMPUTED_VALUE"""),"")</f>
        <v/>
      </c>
      <c r="AH41" s="35"/>
      <c r="AI41" s="35"/>
      <c r="AJ41" s="53" t="b">
        <f aca="false">IFERROR(__xludf.dummyfunction("""COMPUTED_VALUE"""),TRUE())</f>
        <v>1</v>
      </c>
      <c r="AK41" s="53" t="b">
        <f aca="false">IFERROR(__xludf.dummyfunction("""COMPUTED_VALUE"""),TRUE())</f>
        <v>1</v>
      </c>
      <c r="AL41" s="35"/>
      <c r="AM41" s="35"/>
      <c r="AN41" s="35"/>
      <c r="AO41" s="46"/>
    </row>
    <row r="42" customFormat="false" ht="15.75" hidden="false" customHeight="true" outlineLevel="0" collapsed="false">
      <c r="A42" s="37" t="str">
        <f aca="false">IFERROR(__xludf.dummyfunction("""COMPUTED_VALUE"""),"Toán")</f>
        <v>Toán</v>
      </c>
      <c r="B42" s="37" t="str">
        <f aca="false">IFERROR(__xludf.dummyfunction("""COMPUTED_VALUE"""),"TOV_TC_T01")</f>
        <v>TOV_TC_T01</v>
      </c>
      <c r="C42" s="59" t="str">
        <f aca="false">IFERROR(__xludf.dummyfunction("""COMPUTED_VALUE"""),"Các dạng câu hỏi điển hình về hàm số (P1)")</f>
        <v>Các dạng câu hỏi điển hình về hàm số (P1)</v>
      </c>
      <c r="D42" s="39" t="str">
        <f aca="false">IFERROR(__xludf.dummyfunction("""COMPUTED_VALUE"""),"Nguyễn Thanh Tùng")</f>
        <v>Nguyễn Thanh Tùng</v>
      </c>
      <c r="E42" s="40" t="n">
        <f aca="false">IFERROR(__xludf.dummyfunction("""COMPUTED_VALUE"""),46189)</f>
        <v>46189</v>
      </c>
      <c r="F42" s="41" t="n">
        <f aca="false">IFERROR(__xludf.dummyfunction("""COMPUTED_VALUE"""),3)</f>
        <v>3</v>
      </c>
      <c r="G42" s="37" t="str">
        <f aca="false">IFERROR(__xludf.dummyfunction("""COMPUTED_VALUE"""),"21:00-23:00")</f>
        <v>21:00-23:00</v>
      </c>
      <c r="H42" s="42" t="str">
        <f aca="false">IFERROR(__xludf.dummyfunction("""COMPUTED_VALUE"""),"https://hocmai.vn/kho-tai-lieu/read.php?id=19937")</f>
        <v>https://hocmai.vn/kho-tai-lieu/read.php?id=19937</v>
      </c>
      <c r="I42" s="37"/>
      <c r="J42" s="42" t="str">
        <f aca="false">IFERROR(__xludf.dummyfunction("""COMPUTED_VALUE"""),"https://drive.google.com/drive/folders/1soJOy-ndjRXSxFDTUWlYedfvZAObXioF?usp=drive_link")</f>
        <v>https://drive.google.com/drive/folders/1soJOy-ndjRXSxFDTUWlYedfvZAObXioF?usp=drive_link</v>
      </c>
      <c r="K42" s="68" t="str">
        <f aca="false">IFERROR(__xludf.dummyfunction("""COMPUTED_VALUE"""),"Chientd2")</f>
        <v>Chientd2</v>
      </c>
      <c r="L42" s="68" t="str">
        <f aca="false">IFERROR(__xludf.dummyfunction("""COMPUTED_VALUE"""),"Tưởng Thị Huyền Trang")</f>
        <v>Tưởng Thị Huyền Trang</v>
      </c>
      <c r="M42" s="71"/>
      <c r="N42" s="72" t="str">
        <f aca="false">IFERROR(__xludf.dummyfunction("""COMPUTED_VALUE"""),"3108,3117,3315,3127,3314")</f>
        <v>3108,3117,3315,3127,3314</v>
      </c>
      <c r="O42" s="63" t="str">
        <f aca="false">IFERROR(__xludf.dummyfunction("""COMPUTED_VALUE"""),"168355,168570,168311,167459,167059")</f>
        <v>168355,168570,168311,167459,167059</v>
      </c>
      <c r="P42" s="63" t="str">
        <f aca="false">IFERROR(__xludf.dummyfunction("""COMPUTED_VALUE"""),"9025,9028,9036,9104,9106,9017,9102")</f>
        <v>9025,9028,9036,9104,9106,9017,9102</v>
      </c>
      <c r="Q42" s="63" t="n">
        <f aca="false">IFERROR(__xludf.dummyfunction("""COMPUTED_VALUE"""),167059)</f>
        <v>167059</v>
      </c>
      <c r="R42" s="41"/>
      <c r="S42" s="41"/>
      <c r="T42" s="63" t="str">
        <f aca="false">IFERROR(__xludf.dummyfunction("""COMPUTED_VALUE"""),"23557, 23552, 23544")</f>
        <v>23557, 23552, 23544</v>
      </c>
      <c r="U42" s="63"/>
      <c r="V42" s="70" t="n">
        <f aca="false">IFERROR(__xludf.dummyfunction("""COMPUTED_VALUE"""),46192)</f>
        <v>46192</v>
      </c>
      <c r="W42" s="39" t="str">
        <f aca="false">IFERROR(__xludf.dummyfunction("""COMPUTED_VALUE"""),"Hoàn thành XB")</f>
        <v>Hoàn thành XB</v>
      </c>
      <c r="X42" s="41" t="str">
        <f aca="false">IFERROR(__xludf.dummyfunction("""COMPUTED_VALUE"""),"Chientd2")</f>
        <v>Chientd2</v>
      </c>
      <c r="Y42" s="44" t="str">
        <f aca="false">IFERROR(__xludf.dummyfunction("""COMPUTED_VALUE"""),"done")</f>
        <v>done</v>
      </c>
      <c r="Z42" s="57" t="str">
        <f aca="false">IFERROR(__xludf.dummyfunction("""COMPUTED_VALUE"""),"#N/A")</f>
        <v>#N/A</v>
      </c>
      <c r="AA42" s="57"/>
      <c r="AB42" s="41" t="n">
        <f aca="false">IFERROR(__xludf.dummyfunction("""COMPUTED_VALUE"""),6)</f>
        <v>6</v>
      </c>
      <c r="AC42" s="57" t="str">
        <f aca="false">IFERROR(__xludf.dummyfunction("""COMPUTED_VALUE"""),"gv.tungnt@hocmai.edu.vn ")</f>
        <v>gv.tungnt@hocmai.edu.vn </v>
      </c>
      <c r="AD42" s="46" t="str">
        <f aca="false">IFERROR(__xludf.dummyfunction("""COMPUTED_VALUE"""),"trangcrazy699@gmail.com")</f>
        <v>trangcrazy699@gmail.com</v>
      </c>
      <c r="AE42" s="46"/>
      <c r="AF42" s="47" t="str">
        <f aca="false">IFERROR(__xludf.dummyfunction("""COMPUTED_VALUE"""),"lophoctoan-946189")</f>
        <v>lophoctoan-946189</v>
      </c>
      <c r="AG42" s="46" t="str">
        <f aca="false">IFERROR(__xludf.dummyfunction("""COMPUTED_VALUE"""),"")</f>
        <v/>
      </c>
      <c r="AH42" s="35"/>
      <c r="AI42" s="53" t="b">
        <f aca="false">IFERROR(__xludf.dummyfunction("""COMPUTED_VALUE"""),TRUE())</f>
        <v>1</v>
      </c>
      <c r="AJ42" s="53" t="b">
        <f aca="false">IFERROR(__xludf.dummyfunction("""COMPUTED_VALUE"""),TRUE())</f>
        <v>1</v>
      </c>
      <c r="AK42" s="53" t="b">
        <f aca="false">IFERROR(__xludf.dummyfunction("""COMPUTED_VALUE"""),TRUE())</f>
        <v>1</v>
      </c>
      <c r="AL42" s="53" t="b">
        <f aca="false">IFERROR(__xludf.dummyfunction("""COMPUTED_VALUE"""),TRUE())</f>
        <v>1</v>
      </c>
      <c r="AM42" s="35"/>
      <c r="AN42" s="35"/>
      <c r="AO42" s="46"/>
    </row>
    <row r="43" customFormat="false" ht="15.75" hidden="false" customHeight="true" outlineLevel="0" collapsed="false">
      <c r="A43" s="37" t="str">
        <f aca="false">IFERROR(__xludf.dummyfunction("""COMPUTED_VALUE"""),"Tiếng Việt")</f>
        <v>Tiếng Việt</v>
      </c>
      <c r="B43" s="37" t="str">
        <f aca="false">IFERROR(__xludf.dummyfunction("""COMPUTED_VALUE"""),"TOV_V-ACT_TV01")</f>
        <v>TOV_V-ACT_TV01</v>
      </c>
      <c r="C43" s="59" t="str">
        <f aca="false">IFERROR(__xludf.dummyfunction("""COMPUTED_VALUE"""),"Giới thiệu bài thi Đánh giá năng lực V-ACT: Phần Sử dụng ngôn ngữ tiếng Việt")</f>
        <v>Giới thiệu bài thi Đánh giá năng lực V-ACT: Phần Sử dụng ngôn ngữ tiếng Việt</v>
      </c>
      <c r="D43" s="39" t="str">
        <f aca="false">IFERROR(__xludf.dummyfunction("""COMPUTED_VALUE"""),"Văn Trịnh Quỳnh An")</f>
        <v>Văn Trịnh Quỳnh An</v>
      </c>
      <c r="E43" s="40" t="n">
        <f aca="false">IFERROR(__xludf.dummyfunction("""COMPUTED_VALUE"""),46189)</f>
        <v>46189</v>
      </c>
      <c r="F43" s="41" t="n">
        <f aca="false">IFERROR(__xludf.dummyfunction("""COMPUTED_VALUE"""),3)</f>
        <v>3</v>
      </c>
      <c r="G43" s="37" t="str">
        <f aca="false">IFERROR(__xludf.dummyfunction("""COMPUTED_VALUE"""),"20:00-21:30")</f>
        <v>20:00-21:30</v>
      </c>
      <c r="H43" s="42" t="str">
        <f aca="false">IFERROR(__xludf.dummyfunction("""COMPUTED_VALUE"""),"https://hocmai.vn/mod/scorm/view_file.php?inpopup=true&amp;id=181030")</f>
        <v>https://hocmai.vn/mod/scorm/view_file.php?inpopup=true&amp;id=181030</v>
      </c>
      <c r="I43" s="42" t="str">
        <f aca="false">IFERROR(__xludf.dummyfunction("""COMPUTED_VALUE"""),"https://hocmai.vn/mod/scorm/view_file.php?inpopup=true&amp;id=181031")</f>
        <v>https://hocmai.vn/mod/scorm/view_file.php?inpopup=true&amp;id=181031</v>
      </c>
      <c r="J43" s="42" t="str">
        <f aca="false">IFERROR(__xludf.dummyfunction("""COMPUTED_VALUE"""),"https://drive.google.com/drive/folders/1Oi_dW-kqYkqVgBIwysHGAnsse2saB5wP")</f>
        <v>https://drive.google.com/drive/folders/1Oi_dW-kqYkqVgBIwysHGAnsse2saB5wP</v>
      </c>
      <c r="K43" s="68" t="str">
        <f aca="false">IFERROR(__xludf.dummyfunction("""COMPUTED_VALUE"""),"Hangvt3")</f>
        <v>Hangvt3</v>
      </c>
      <c r="L43" s="68" t="str">
        <f aca="false">IFERROR(__xludf.dummyfunction("""COMPUTED_VALUE"""),"Bùi Vĩnh Thọ")</f>
        <v>Bùi Vĩnh Thọ</v>
      </c>
      <c r="M43" s="71"/>
      <c r="N43" s="72" t="str">
        <f aca="false">IFERROR(__xludf.dummyfunction("""COMPUTED_VALUE"""),"3125,3338")</f>
        <v>3125,3338</v>
      </c>
      <c r="O43" s="63" t="n">
        <f aca="false">IFERROR(__xludf.dummyfunction("""COMPUTED_VALUE"""),167353)</f>
        <v>167353</v>
      </c>
      <c r="P43" s="63"/>
      <c r="Q43" s="63"/>
      <c r="R43" s="41"/>
      <c r="S43" s="41"/>
      <c r="T43" s="63"/>
      <c r="U43" s="63"/>
      <c r="V43" s="70" t="n">
        <f aca="false">IFERROR(__xludf.dummyfunction("""COMPUTED_VALUE"""),46192)</f>
        <v>46192</v>
      </c>
      <c r="W43" s="39" t="str">
        <f aca="false">IFERROR(__xludf.dummyfunction("""COMPUTED_VALUE"""),"Hoàn thành XB")</f>
        <v>Hoàn thành XB</v>
      </c>
      <c r="X43" s="41" t="str">
        <f aca="false">IFERROR(__xludf.dummyfunction("""COMPUTED_VALUE"""),"Hoantt")</f>
        <v>Hoantt</v>
      </c>
      <c r="Y43" s="44" t="str">
        <f aca="false">IFERROR(__xludf.dummyfunction("""COMPUTED_VALUE"""),"done")</f>
        <v>done</v>
      </c>
      <c r="Z43" s="57" t="str">
        <f aca="false">IFERROR(__xludf.dummyfunction("""COMPUTED_VALUE"""),"#N/A")</f>
        <v>#N/A</v>
      </c>
      <c r="AA43" s="57"/>
      <c r="AB43" s="41" t="n">
        <f aca="false">IFERROR(__xludf.dummyfunction("""COMPUTED_VALUE"""),6)</f>
        <v>6</v>
      </c>
      <c r="AC43" s="57" t="str">
        <f aca="false">IFERROR(__xludf.dummyfunction("""COMPUTED_VALUE"""),"gv.anvtq@hocmai.edu.vn ")</f>
        <v>gv.anvtq@hocmai.edu.vn </v>
      </c>
      <c r="AD43" s="46" t="str">
        <f aca="false">IFERROR(__xludf.dummyfunction("""COMPUTED_VALUE"""),"vinhtho0704@gmail.com")</f>
        <v>vinhtho0704@gmail.com</v>
      </c>
      <c r="AE43" s="46"/>
      <c r="AF43" s="74" t="b">
        <f aca="false">IFERROR(__xludf.dummyfunction("""COMPUTED_VALUE"""),FALSE())</f>
        <v>0</v>
      </c>
      <c r="AG43" s="46" t="str">
        <f aca="false">IFERROR(__xludf.dummyfunction("""COMPUTED_VALUE"""),"")</f>
        <v/>
      </c>
      <c r="AH43" s="35"/>
      <c r="AI43" s="35"/>
      <c r="AJ43" s="35"/>
      <c r="AK43" s="35"/>
      <c r="AL43" s="35"/>
      <c r="AM43" s="53" t="b">
        <f aca="false">IFERROR(__xludf.dummyfunction("""COMPUTED_VALUE"""),TRUE())</f>
        <v>1</v>
      </c>
      <c r="AN43" s="53" t="b">
        <f aca="false">IFERROR(__xludf.dummyfunction("""COMPUTED_VALUE"""),FALSE())</f>
        <v>0</v>
      </c>
      <c r="AO43" s="46"/>
    </row>
    <row r="44" customFormat="false" ht="15.75" hidden="false" customHeight="true" outlineLevel="0" collapsed="false">
      <c r="A44" s="37" t="str">
        <f aca="false">IFERROR(__xludf.dummyfunction("""COMPUTED_VALUE"""),"Khoa học")</f>
        <v>Khoa học</v>
      </c>
      <c r="B44" s="37" t="str">
        <f aca="false">IFERROR(__xludf.dummyfunction("""COMPUTED_VALUE"""),"TOS_V-ACT_KH01")</f>
        <v>TOS_V-ACT_KH01</v>
      </c>
      <c r="C44" s="59" t="str">
        <f aca="false">IFERROR(__xludf.dummyfunction("""COMPUTED_VALUE"""),"Giải mã cấu trúc bài thi phần Tư duy khoa học và các kỹ năng cần thiết.")</f>
        <v>Giải mã cấu trúc bài thi phần Tư duy khoa học và các kỹ năng cần thiết.</v>
      </c>
      <c r="D44" s="39" t="str">
        <f aca="false">IFERROR(__xludf.dummyfunction("""COMPUTED_VALUE"""),"Lê Văn Minh")</f>
        <v>Lê Văn Minh</v>
      </c>
      <c r="E44" s="40" t="n">
        <f aca="false">IFERROR(__xludf.dummyfunction("""COMPUTED_VALUE"""),46189)</f>
        <v>46189</v>
      </c>
      <c r="F44" s="41" t="n">
        <f aca="false">IFERROR(__xludf.dummyfunction("""COMPUTED_VALUE"""),3)</f>
        <v>3</v>
      </c>
      <c r="G44" s="37" t="str">
        <f aca="false">IFERROR(__xludf.dummyfunction("""COMPUTED_VALUE"""),"20:00-21:30")</f>
        <v>20:00-21:30</v>
      </c>
      <c r="H44" s="42" t="str">
        <f aca="false">IFERROR(__xludf.dummyfunction("""COMPUTED_VALUE"""),"https://hocmai.vn/mod/scorm/view_file.php?inpopup=true&amp;id=180948")</f>
        <v>https://hocmai.vn/mod/scorm/view_file.php?inpopup=true&amp;id=180948</v>
      </c>
      <c r="I44" s="42" t="str">
        <f aca="false">IFERROR(__xludf.dummyfunction("""COMPUTED_VALUE"""),"https://hocmai.vn/mod/scorm/view_file.php?inpopup=true&amp;id=181003")</f>
        <v>https://hocmai.vn/mod/scorm/view_file.php?inpopup=true&amp;id=181003</v>
      </c>
      <c r="J44" s="42" t="str">
        <f aca="false">IFERROR(__xludf.dummyfunction("""COMPUTED_VALUE"""),"https://drive.google.com/drive/folders/130hYZYnEvDIeCATxS7Yki8fNKChHnDJp")</f>
        <v>https://drive.google.com/drive/folders/130hYZYnEvDIeCATxS7Yki8fNKChHnDJp</v>
      </c>
      <c r="K44" s="68" t="str">
        <f aca="false">IFERROR(__xludf.dummyfunction("""COMPUTED_VALUE"""),"Trinhntt")</f>
        <v>Trinhntt</v>
      </c>
      <c r="L44" s="68" t="str">
        <f aca="false">IFERROR(__xludf.dummyfunction("""COMPUTED_VALUE"""),"Lê Quốc Việt")</f>
        <v>Lê Quốc Việt</v>
      </c>
      <c r="M44" s="71"/>
      <c r="N44" s="72" t="str">
        <f aca="false">IFERROR(__xludf.dummyfunction("""COMPUTED_VALUE"""),"3340")</f>
        <v>3340</v>
      </c>
      <c r="O44" s="63" t="n">
        <f aca="false">IFERROR(__xludf.dummyfunction("""COMPUTED_VALUE"""),167492)</f>
        <v>167492</v>
      </c>
      <c r="P44" s="63"/>
      <c r="Q44" s="63"/>
      <c r="R44" s="41"/>
      <c r="S44" s="41"/>
      <c r="T44" s="63"/>
      <c r="U44" s="63"/>
      <c r="V44" s="70" t="n">
        <f aca="false">IFERROR(__xludf.dummyfunction("""COMPUTED_VALUE"""),46192)</f>
        <v>46192</v>
      </c>
      <c r="W44" s="39" t="str">
        <f aca="false">IFERROR(__xludf.dummyfunction("""COMPUTED_VALUE"""),"Hoàn thành XB")</f>
        <v>Hoàn thành XB</v>
      </c>
      <c r="X44" s="41" t="str">
        <f aca="false">IFERROR(__xludf.dummyfunction("""COMPUTED_VALUE"""),"Kimnq")</f>
        <v>Kimnq</v>
      </c>
      <c r="Y44" s="44" t="str">
        <f aca="false">IFERROR(__xludf.dummyfunction("""COMPUTED_VALUE"""),"done")</f>
        <v>done</v>
      </c>
      <c r="Z44" s="57" t="str">
        <f aca="false">IFERROR(__xludf.dummyfunction("""COMPUTED_VALUE"""),"#N/A")</f>
        <v>#N/A</v>
      </c>
      <c r="AA44" s="57"/>
      <c r="AB44" s="41" t="n">
        <f aca="false">IFERROR(__xludf.dummyfunction("""COMPUTED_VALUE"""),6)</f>
        <v>6</v>
      </c>
      <c r="AC44" s="57" t="str">
        <f aca="false">IFERROR(__xludf.dummyfunction("""COMPUTED_VALUE"""),"gv.minhlv@hocmai.edu.vn		")</f>
        <v>gv.minhlv@hocmai.edu.vn		</v>
      </c>
      <c r="AD44" s="46" t="str">
        <f aca="false">IFERROR(__xludf.dummyfunction("""COMPUTED_VALUE"""),"Ralph02091@gmail.com")</f>
        <v>Ralph02091@gmail.com</v>
      </c>
      <c r="AE44" s="46"/>
      <c r="AF44" s="47" t="str">
        <f aca="false">IFERROR(__xludf.dummyfunction("""COMPUTED_VALUE"""),"lophoctoan-946189")</f>
        <v>lophoctoan-946189</v>
      </c>
      <c r="AG44" s="46" t="str">
        <f aca="false">IFERROR(__xludf.dummyfunction("""COMPUTED_VALUE"""),"")</f>
        <v/>
      </c>
      <c r="AH44" s="35"/>
      <c r="AI44" s="35"/>
      <c r="AJ44" s="35"/>
      <c r="AK44" s="35"/>
      <c r="AL44" s="35"/>
      <c r="AM44" s="35"/>
      <c r="AN44" s="53" t="b">
        <f aca="false">IFERROR(__xludf.dummyfunction("""COMPUTED_VALUE"""),TRUE())</f>
        <v>1</v>
      </c>
      <c r="AO44" s="46"/>
    </row>
    <row r="45" customFormat="false" ht="15.75" hidden="false" customHeight="true" outlineLevel="0" collapsed="false">
      <c r="A45" s="37" t="str">
        <f aca="false">IFERROR(__xludf.dummyfunction("""COMPUTED_VALUE"""),"Định tính")</f>
        <v>Định tính</v>
      </c>
      <c r="B45" s="37" t="str">
        <f aca="false">IFERROR(__xludf.dummyfunction("""COMPUTED_VALUE"""),"TOV_HSA_DT01")</f>
        <v>TOV_HSA_DT01</v>
      </c>
      <c r="C45" s="59" t="str">
        <f aca="false">IFERROR(__xludf.dummyfunction("""COMPUTED_VALUE"""),"Tiếng Việt: Cấu tạo, nghĩa và sắc thái biểu đạt của từ trong Tiếng Việt")</f>
        <v>Tiếng Việt: Cấu tạo, nghĩa và sắc thái biểu đạt của từ trong Tiếng Việt</v>
      </c>
      <c r="D45" s="39" t="str">
        <f aca="false">IFERROR(__xludf.dummyfunction("""COMPUTED_VALUE"""),"Vương Thúy Hằng")</f>
        <v>Vương Thúy Hằng</v>
      </c>
      <c r="E45" s="40" t="n">
        <f aca="false">IFERROR(__xludf.dummyfunction("""COMPUTED_VALUE"""),46190)</f>
        <v>46190</v>
      </c>
      <c r="F45" s="41" t="n">
        <f aca="false">IFERROR(__xludf.dummyfunction("""COMPUTED_VALUE"""),4)</f>
        <v>4</v>
      </c>
      <c r="G45" s="37" t="str">
        <f aca="false">IFERROR(__xludf.dummyfunction("""COMPUTED_VALUE"""),"21:00-23:00")</f>
        <v>21:00-23:00</v>
      </c>
      <c r="H45" s="42" t="str">
        <f aca="false">IFERROR(__xludf.dummyfunction("""COMPUTED_VALUE"""),"https://hocmai.vn/mod/scorm/view_file.php?inpopup=true&amp;id=180950")</f>
        <v>https://hocmai.vn/mod/scorm/view_file.php?inpopup=true&amp;id=180950</v>
      </c>
      <c r="I45" s="42" t="str">
        <f aca="false">IFERROR(__xludf.dummyfunction("""COMPUTED_VALUE"""),"https://hocmai.vn/mod/scorm/view_file.php?inpopup=true&amp;id=181061")</f>
        <v>https://hocmai.vn/mod/scorm/view_file.php?inpopup=true&amp;id=181061</v>
      </c>
      <c r="J45" s="42" t="str">
        <f aca="false">IFERROR(__xludf.dummyfunction("""COMPUTED_VALUE"""),"https://drive.google.com/file/d/1WmgRNvC1dSQhiNlrs5FN6Ho7y_MIW6-a/view")</f>
        <v>https://drive.google.com/file/d/1WmgRNvC1dSQhiNlrs5FN6Ho7y_MIW6-a/view</v>
      </c>
      <c r="K45" s="68" t="str">
        <f aca="false">IFERROR(__xludf.dummyfunction("""COMPUTED_VALUE"""),"Hangvt3")</f>
        <v>Hangvt3</v>
      </c>
      <c r="L45" s="68" t="str">
        <f aca="false">IFERROR(__xludf.dummyfunction("""COMPUTED_VALUE"""),"Kiều Bảo Minh")</f>
        <v>Kiều Bảo Minh</v>
      </c>
      <c r="M45" s="71"/>
      <c r="N45" s="72" t="str">
        <f aca="false">IFERROR(__xludf.dummyfunction("""COMPUTED_VALUE"""),"3118")</f>
        <v>3118</v>
      </c>
      <c r="O45" s="63" t="n">
        <f aca="false">IFERROR(__xludf.dummyfunction("""COMPUTED_VALUE"""),167290)</f>
        <v>167290</v>
      </c>
      <c r="P45" s="63"/>
      <c r="Q45" s="63"/>
      <c r="R45" s="41"/>
      <c r="S45" s="41"/>
      <c r="T45" s="63"/>
      <c r="U45" s="63"/>
      <c r="V45" s="70" t="n">
        <f aca="false">IFERROR(__xludf.dummyfunction("""COMPUTED_VALUE"""),46193)</f>
        <v>46193</v>
      </c>
      <c r="W45" s="39" t="str">
        <f aca="false">IFERROR(__xludf.dummyfunction("""COMPUTED_VALUE"""),"Hoàn thành XB")</f>
        <v>Hoàn thành XB</v>
      </c>
      <c r="X45" s="41" t="str">
        <f aca="false">IFERROR(__xludf.dummyfunction("""COMPUTED_VALUE"""),"Hoantt")</f>
        <v>Hoantt</v>
      </c>
      <c r="Y45" s="44" t="str">
        <f aca="false">IFERROR(__xludf.dummyfunction("""COMPUTED_VALUE"""),"done")</f>
        <v>done</v>
      </c>
      <c r="Z45" s="57" t="str">
        <f aca="false">IFERROR(__xludf.dummyfunction("""COMPUTED_VALUE"""),"#N/A")</f>
        <v>#N/A</v>
      </c>
      <c r="AA45" s="57"/>
      <c r="AB45" s="41" t="n">
        <f aca="false">IFERROR(__xludf.dummyfunction("""COMPUTED_VALUE"""),6)</f>
        <v>6</v>
      </c>
      <c r="AC45" s="57" t="str">
        <f aca="false">IFERROR(__xludf.dummyfunction("""COMPUTED_VALUE"""),"gv.hangvt@hocmai.edu.vn ")</f>
        <v>gv.hangvt@hocmai.edu.vn </v>
      </c>
      <c r="AD45" s="46" t="str">
        <f aca="false">IFERROR(__xludf.dummyfunction("""COMPUTED_VALUE"""),"mkieu2662@gmail.com")</f>
        <v>mkieu2662@gmail.com</v>
      </c>
      <c r="AE45" s="46"/>
      <c r="AF45" s="74" t="b">
        <f aca="false">IFERROR(__xludf.dummyfunction("""COMPUTED_VALUE"""),FALSE())</f>
        <v>0</v>
      </c>
      <c r="AG45" s="46" t="str">
        <f aca="false">IFERROR(__xludf.dummyfunction("""COMPUTED_VALUE"""),"")</f>
        <v/>
      </c>
      <c r="AH45" s="35"/>
      <c r="AI45" s="35"/>
      <c r="AJ45" s="53" t="b">
        <f aca="false">IFERROR(__xludf.dummyfunction("""COMPUTED_VALUE"""),TRUE())</f>
        <v>1</v>
      </c>
      <c r="AK45" s="53" t="b">
        <f aca="false">IFERROR(__xludf.dummyfunction("""COMPUTED_VALUE"""),TRUE())</f>
        <v>1</v>
      </c>
      <c r="AL45" s="35"/>
      <c r="AM45" s="35"/>
      <c r="AN45" s="35"/>
      <c r="AO45" s="46"/>
    </row>
    <row r="46" customFormat="false" ht="15.75" hidden="false" customHeight="true" outlineLevel="0" collapsed="false">
      <c r="A46" s="37" t="str">
        <f aca="false">IFERROR(__xludf.dummyfunction("""COMPUTED_VALUE"""),"SLKH")</f>
        <v>SLKH</v>
      </c>
      <c r="B46" s="37" t="str">
        <f aca="false">IFERROR(__xludf.dummyfunction("""COMPUTED_VALUE"""),"TOV_V-ACT_KH01")</f>
        <v>TOV_V-ACT_KH01</v>
      </c>
      <c r="C46" s="59" t="str">
        <f aca="false">IFERROR(__xludf.dummyfunction("""COMPUTED_VALUE"""),"Mở đầu, giải mã cấu trúc bài thi và các kỹ năng đọc hiểu ngữ liệu khoa học.")</f>
        <v>Mở đầu, giải mã cấu trúc bài thi và các kỹ năng đọc hiểu ngữ liệu khoa học.</v>
      </c>
      <c r="D46" s="39" t="str">
        <f aca="false">IFERROR(__xludf.dummyfunction("""COMPUTED_VALUE"""),"Vũ Khắc Ngọc")</f>
        <v>Vũ Khắc Ngọc</v>
      </c>
      <c r="E46" s="40" t="n">
        <f aca="false">IFERROR(__xludf.dummyfunction("""COMPUTED_VALUE"""),46190)</f>
        <v>46190</v>
      </c>
      <c r="F46" s="41" t="n">
        <f aca="false">IFERROR(__xludf.dummyfunction("""COMPUTED_VALUE"""),4)</f>
        <v>4</v>
      </c>
      <c r="G46" s="37" t="str">
        <f aca="false">IFERROR(__xludf.dummyfunction("""COMPUTED_VALUE"""),"21:30-23:00")</f>
        <v>21:30-23:00</v>
      </c>
      <c r="H46" s="42" t="str">
        <f aca="false">IFERROR(__xludf.dummyfunction("""COMPUTED_VALUE"""),"https://hocmai.vn/mod/scorm/view_file.php?inpopup=true&amp;id=180949")</f>
        <v>https://hocmai.vn/mod/scorm/view_file.php?inpopup=true&amp;id=180949</v>
      </c>
      <c r="I46" s="42" t="str">
        <f aca="false">IFERROR(__xludf.dummyfunction("""COMPUTED_VALUE"""),"https://hocmai.vn/mod/scorm/view_file.php?inpopup=true&amp;id=181005")</f>
        <v>https://hocmai.vn/mod/scorm/view_file.php?inpopup=true&amp;id=181005</v>
      </c>
      <c r="J46" s="42" t="str">
        <f aca="false">IFERROR(__xludf.dummyfunction("""COMPUTED_VALUE"""),"https://drive.google.com/drive/folders/1GucRXXUN8GNl7PiTVOd9H_dc7tygMJ3S")</f>
        <v>https://drive.google.com/drive/folders/1GucRXXUN8GNl7PiTVOd9H_dc7tygMJ3S</v>
      </c>
      <c r="K46" s="68" t="str">
        <f aca="false">IFERROR(__xludf.dummyfunction("""COMPUTED_VALUE"""),"Trinhntt")</f>
        <v>Trinhntt</v>
      </c>
      <c r="L46" s="68" t="str">
        <f aca="false">IFERROR(__xludf.dummyfunction("""COMPUTED_VALUE"""),"Lường Nhật Nam")</f>
        <v>Lường Nhật Nam</v>
      </c>
      <c r="M46" s="71"/>
      <c r="N46" s="75" t="str">
        <f aca="false">IFERROR(__xludf.dummyfunction("""COMPUTED_VALUE"""),"3126")</f>
        <v>3126</v>
      </c>
      <c r="O46" s="63" t="n">
        <f aca="false">IFERROR(__xludf.dummyfunction("""COMPUTED_VALUE"""),167377)</f>
        <v>167377</v>
      </c>
      <c r="P46" s="63"/>
      <c r="Q46" s="63"/>
      <c r="R46" s="41"/>
      <c r="S46" s="41"/>
      <c r="T46" s="63"/>
      <c r="U46" s="63"/>
      <c r="V46" s="70" t="n">
        <f aca="false">IFERROR(__xludf.dummyfunction("""COMPUTED_VALUE"""),46193)</f>
        <v>46193</v>
      </c>
      <c r="W46" s="39" t="str">
        <f aca="false">IFERROR(__xludf.dummyfunction("""COMPUTED_VALUE"""),"Hoàn thành XB")</f>
        <v>Hoàn thành XB</v>
      </c>
      <c r="X46" s="41" t="str">
        <f aca="false">IFERROR(__xludf.dummyfunction("""COMPUTED_VALUE"""),"Trinhntt")</f>
        <v>Trinhntt</v>
      </c>
      <c r="Y46" s="44" t="str">
        <f aca="false">IFERROR(__xludf.dummyfunction("""COMPUTED_VALUE"""),"done")</f>
        <v>done</v>
      </c>
      <c r="Z46" s="57" t="str">
        <f aca="false">IFERROR(__xludf.dummyfunction("""COMPUTED_VALUE"""),"#N/A")</f>
        <v>#N/A</v>
      </c>
      <c r="AA46" s="57"/>
      <c r="AB46" s="41" t="n">
        <f aca="false">IFERROR(__xludf.dummyfunction("""COMPUTED_VALUE"""),6)</f>
        <v>6</v>
      </c>
      <c r="AC46" s="57" t="str">
        <f aca="false">IFERROR(__xludf.dummyfunction("""COMPUTED_VALUE"""),"gv.ngocvk@hocmai.edu.vn")</f>
        <v>gv.ngocvk@hocmai.edu.vn</v>
      </c>
      <c r="AD46" s="46" t="str">
        <f aca="false">IFERROR(__xludf.dummyfunction("""COMPUTED_VALUE"""),"nhatnam1092@gmail.com")</f>
        <v>nhatnam1092@gmail.com</v>
      </c>
      <c r="AE46" s="46"/>
      <c r="AF46" s="74" t="b">
        <f aca="false">IFERROR(__xludf.dummyfunction("""COMPUTED_VALUE"""),FALSE())</f>
        <v>0</v>
      </c>
      <c r="AG46" s="46" t="str">
        <f aca="false">IFERROR(__xludf.dummyfunction("""COMPUTED_VALUE"""),"")</f>
        <v/>
      </c>
      <c r="AH46" s="35"/>
      <c r="AI46" s="35"/>
      <c r="AJ46" s="35"/>
      <c r="AK46" s="35"/>
      <c r="AL46" s="35"/>
      <c r="AM46" s="53" t="b">
        <f aca="false">IFERROR(__xludf.dummyfunction("""COMPUTED_VALUE"""),TRUE())</f>
        <v>1</v>
      </c>
      <c r="AN46" s="35"/>
      <c r="AO46" s="46"/>
    </row>
    <row r="47" customFormat="false" ht="15.75" hidden="false" customHeight="true" outlineLevel="0" collapsed="false">
      <c r="A47" s="37" t="str">
        <f aca="false">IFERROR(__xludf.dummyfunction("""COMPUTED_VALUE"""),"Vật lí")</f>
        <v>Vật lí</v>
      </c>
      <c r="B47" s="37" t="str">
        <f aca="false">IFERROR(__xludf.dummyfunction("""COMPUTED_VALUE"""),"TOV_TSA_L01")</f>
        <v>TOV_TSA_L01</v>
      </c>
      <c r="C47" s="59" t="str">
        <f aca="false">IFERROR(__xludf.dummyfunction("""COMPUTED_VALUE"""),"Đo lường và sai số – Tư duy thực nghiệm trong Vật lí")</f>
        <v>Đo lường và sai số – Tư duy thực nghiệm trong Vật lí</v>
      </c>
      <c r="D47" s="39" t="str">
        <f aca="false">IFERROR(__xludf.dummyfunction("""COMPUTED_VALUE"""),"Thiều Thị Dung")</f>
        <v>Thiều Thị Dung</v>
      </c>
      <c r="E47" s="40" t="n">
        <f aca="false">IFERROR(__xludf.dummyfunction("""COMPUTED_VALUE"""),46191)</f>
        <v>46191</v>
      </c>
      <c r="F47" s="41" t="n">
        <f aca="false">IFERROR(__xludf.dummyfunction("""COMPUTED_VALUE"""),5)</f>
        <v>5</v>
      </c>
      <c r="G47" s="37" t="str">
        <f aca="false">IFERROR(__xludf.dummyfunction("""COMPUTED_VALUE"""),"21:00-23:00")</f>
        <v>21:00-23:00</v>
      </c>
      <c r="H47" s="42" t="str">
        <f aca="false">IFERROR(__xludf.dummyfunction("""COMPUTED_VALUE"""),"https://hocmai.vn/file.php/3110/Nam_hoc_2026_-_2027/VAT_LI/TAI_LIEU_HOC_SINH/TLHS_TOV_TSA_T01_Do_luong_va_sai_so_-_Tu_duy_thuc_nghiem_trong_Vat_li.pdf")</f>
        <v>https://hocmai.vn/file.php/3110/Nam_hoc_2026_-_2027/VAT_LI/TAI_LIEU_HOC_SINH/TLHS_TOV_TSA_T01_Do_luong_va_sai_so_-_Tu_duy_thuc_nghiem_trong_Vat_li.pdf</v>
      </c>
      <c r="I47" s="42" t="str">
        <f aca="false">IFERROR(__xludf.dummyfunction("""COMPUTED_VALUE"""),"https://hocmai.vn/file.php/3110/Nam_hoc_2026_-_2027/VAT_LI/BTTL/BTTL_TOV_TSA_L01._Do_luong_va_sai_so_-_Tu_duy_thuc_nghiem_trong_Vat_li.pdf")</f>
        <v>https://hocmai.vn/file.php/3110/Nam_hoc_2026_-_2027/VAT_LI/BTTL/BTTL_TOV_TSA_L01._Do_luong_va_sai_so_-_Tu_duy_thuc_nghiem_trong_Vat_li.pdf</v>
      </c>
      <c r="J47" s="42" t="str">
        <f aca="false">IFERROR(__xludf.dummyfunction("""COMPUTED_VALUE"""),"https://drive.google.com/drive/folders/1--fTQBvSLPS1K3YB5cQkeiuA8K4TFbMj")</f>
        <v>https://drive.google.com/drive/folders/1--fTQBvSLPS1K3YB5cQkeiuA8K4TFbMj</v>
      </c>
      <c r="K47" s="37" t="str">
        <f aca="false">IFERROR(__xludf.dummyfunction("""COMPUTED_VALUE"""),"Trangnth2 (259)")</f>
        <v>Trangnth2 (259)</v>
      </c>
      <c r="L47" s="37" t="str">
        <f aca="false">IFERROR(__xludf.dummyfunction("""COMPUTED_VALUE"""),"Nguyễn Trường Huy")</f>
        <v>Nguyễn Trường Huy</v>
      </c>
      <c r="M47" s="39"/>
      <c r="N47" s="75" t="str">
        <f aca="false">IFERROR(__xludf.dummyfunction("""COMPUTED_VALUE"""),"3110")</f>
        <v>3110</v>
      </c>
      <c r="O47" s="41" t="n">
        <f aca="false">IFERROR(__xludf.dummyfunction("""COMPUTED_VALUE"""),167246)</f>
        <v>167246</v>
      </c>
      <c r="P47" s="41"/>
      <c r="Q47" s="41"/>
      <c r="R47" s="41"/>
      <c r="S47" s="41"/>
      <c r="T47" s="41" t="n">
        <f aca="false">IFERROR(__xludf.dummyfunction("""COMPUTED_VALUE"""),23587)</f>
        <v>23587</v>
      </c>
      <c r="U47" s="41"/>
      <c r="V47" s="40" t="n">
        <f aca="false">IFERROR(__xludf.dummyfunction("""COMPUTED_VALUE"""),46194)</f>
        <v>46194</v>
      </c>
      <c r="W47" s="39" t="str">
        <f aca="false">IFERROR(__xludf.dummyfunction("""COMPUTED_VALUE"""),"Hoàn thành XB")</f>
        <v>Hoàn thành XB</v>
      </c>
      <c r="X47" s="41" t="str">
        <f aca="false">IFERROR(__xludf.dummyfunction("""COMPUTED_VALUE"""),"Trangnth2")</f>
        <v>Trangnth2</v>
      </c>
      <c r="Y47" s="39" t="str">
        <f aca="false">IFERROR(__xludf.dummyfunction("""COMPUTED_VALUE"""),"done")</f>
        <v>done</v>
      </c>
      <c r="Z47" s="57" t="str">
        <f aca="false">IFERROR(__xludf.dummyfunction("""COMPUTED_VALUE"""),"#N/A")</f>
        <v>#N/A</v>
      </c>
      <c r="AA47" s="57"/>
      <c r="AB47" s="41" t="n">
        <f aca="false">IFERROR(__xludf.dummyfunction("""COMPUTED_VALUE"""),6)</f>
        <v>6</v>
      </c>
      <c r="AC47" s="57" t="str">
        <f aca="false">IFERROR(__xludf.dummyfunction("""COMPUTED_VALUE"""),"dungtt2@hocmai.vn                ")</f>
        <v>dungtt2@hocmai.vn                </v>
      </c>
      <c r="AD47" s="46" t="str">
        <f aca="false">IFERROR(__xludf.dummyfunction("""COMPUTED_VALUE"""),"nguyentruonghuyqx@gmail.com")</f>
        <v>nguyentruonghuyqx@gmail.com</v>
      </c>
      <c r="AE47" s="46"/>
      <c r="AF47" s="74" t="b">
        <f aca="false">IFERROR(__xludf.dummyfunction("""COMPUTED_VALUE"""),FALSE())</f>
        <v>0</v>
      </c>
      <c r="AG47" s="46" t="str">
        <f aca="false">IFERROR(__xludf.dummyfunction("""COMPUTED_VALUE"""),"")</f>
        <v/>
      </c>
      <c r="AH47" s="35"/>
      <c r="AI47" s="53" t="b">
        <f aca="false">IFERROR(__xludf.dummyfunction("""COMPUTED_VALUE"""),TRUE())</f>
        <v>1</v>
      </c>
      <c r="AJ47" s="35"/>
      <c r="AK47" s="35"/>
      <c r="AL47" s="35"/>
      <c r="AM47" s="35"/>
      <c r="AN47" s="35"/>
      <c r="AO47" s="46"/>
    </row>
    <row r="48" customFormat="false" ht="15.75" hidden="false" customHeight="true" outlineLevel="0" collapsed="false">
      <c r="A48" s="37" t="str">
        <f aca="false">IFERROR(__xludf.dummyfunction("""COMPUTED_VALUE"""),"Toán")</f>
        <v>Toán</v>
      </c>
      <c r="B48" s="37" t="str">
        <f aca="false">IFERROR(__xludf.dummyfunction("""COMPUTED_VALUE"""),"TOV_HSA_DL01")</f>
        <v>TOV_HSA_DL01</v>
      </c>
      <c r="C48" s="59" t="str">
        <f aca="false">IFERROR(__xludf.dummyfunction("""COMPUTED_VALUE"""),"Các bài toán về hàm số chứa tham số")</f>
        <v>Các bài toán về hàm số chứa tham số</v>
      </c>
      <c r="D48" s="39" t="str">
        <f aca="false">IFERROR(__xludf.dummyfunction("""COMPUTED_VALUE"""),"Nguyễn Thanh Tùng")</f>
        <v>Nguyễn Thanh Tùng</v>
      </c>
      <c r="E48" s="40" t="n">
        <f aca="false">IFERROR(__xludf.dummyfunction("""COMPUTED_VALUE"""),46191)</f>
        <v>46191</v>
      </c>
      <c r="F48" s="41" t="n">
        <f aca="false">IFERROR(__xludf.dummyfunction("""COMPUTED_VALUE"""),5)</f>
        <v>5</v>
      </c>
      <c r="G48" s="37" t="str">
        <f aca="false">IFERROR(__xludf.dummyfunction("""COMPUTED_VALUE"""),"18:00-20:00")</f>
        <v>18:00-20:00</v>
      </c>
      <c r="H48" s="42" t="str">
        <f aca="false">IFERROR(__xludf.dummyfunction("""COMPUTED_VALUE"""),"https://hocmai.vn/file.php/3117/Tai_lieu_live_2026_-_2027/TLHS_TOV_HSA_DL01_Cac_bai_toan_ve_ham_so_chua_tham_so.pdf")</f>
        <v>https://hocmai.vn/file.php/3117/Tai_lieu_live_2026_-_2027/TLHS_TOV_HSA_DL01_Cac_bai_toan_ve_ham_so_chua_tham_so.pdf</v>
      </c>
      <c r="I48" s="37"/>
      <c r="J48" s="42" t="str">
        <f aca="false">IFERROR(__xludf.dummyfunction("""COMPUTED_VALUE"""),"https://drive.google.com/file/d/1KMzbSnzb7OIa7hCO9Axz0fKqT2KniZaC/view?usp=drive_link")</f>
        <v>https://drive.google.com/file/d/1KMzbSnzb7OIa7hCO9Axz0fKqT2KniZaC/view?usp=drive_link</v>
      </c>
      <c r="K48" s="68" t="str">
        <f aca="false">IFERROR(__xludf.dummyfunction("""COMPUTED_VALUE"""),"Locdd")</f>
        <v>Locdd</v>
      </c>
      <c r="L48" s="68" t="str">
        <f aca="false">IFERROR(__xludf.dummyfunction("""COMPUTED_VALUE"""),"Tưởng Thị Huyền Trang")</f>
        <v>Tưởng Thị Huyền Trang</v>
      </c>
      <c r="M48" s="71"/>
      <c r="N48" s="72" t="str">
        <f aca="false">IFERROR(__xludf.dummyfunction("""COMPUTED_VALUE"""),"3117,3315")</f>
        <v>3117,3315</v>
      </c>
      <c r="O48" s="73" t="n">
        <f aca="false">IFERROR(__xludf.dummyfunction("""COMPUTED_VALUE"""),168571.168312)</f>
        <v>168571.168312</v>
      </c>
      <c r="P48" s="63" t="str">
        <f aca="false">IFERROR(__xludf.dummyfunction("""COMPUTED_VALUE"""),"9028,9036,9104,9106")</f>
        <v>9028,9036,9104,9106</v>
      </c>
      <c r="Q48" s="63" t="n">
        <f aca="false">IFERROR(__xludf.dummyfunction("""COMPUTED_VALUE"""),168312)</f>
        <v>168312</v>
      </c>
      <c r="R48" s="41"/>
      <c r="S48" s="41"/>
      <c r="T48" s="63"/>
      <c r="U48" s="63"/>
      <c r="V48" s="70" t="n">
        <f aca="false">IFERROR(__xludf.dummyfunction("""COMPUTED_VALUE"""),46194)</f>
        <v>46194</v>
      </c>
      <c r="W48" s="39" t="str">
        <f aca="false">IFERROR(__xludf.dummyfunction("""COMPUTED_VALUE"""),"Hoàn thành XB")</f>
        <v>Hoàn thành XB</v>
      </c>
      <c r="X48" s="41" t="str">
        <f aca="false">IFERROR(__xludf.dummyfunction("""COMPUTED_VALUE"""),"Locdd")</f>
        <v>Locdd</v>
      </c>
      <c r="Y48" s="44" t="str">
        <f aca="false">IFERROR(__xludf.dummyfunction("""COMPUTED_VALUE"""),"done")</f>
        <v>done</v>
      </c>
      <c r="Z48" s="57" t="str">
        <f aca="false">IFERROR(__xludf.dummyfunction("""COMPUTED_VALUE"""),"#N/A")</f>
        <v>#N/A</v>
      </c>
      <c r="AA48" s="56" t="str">
        <f aca="false">IFERROR(__xludf.dummyfunction("""COMPUTED_VALUE"""),"https://s3.evgcloud.net/livestream/video/mp4/2026/06/18/336_33675f560e9966149c5bb6da16e6905fa9f_RELAY-20260618180305-cv.mp4")</f>
        <v>https://s3.evgcloud.net/livestream/video/mp4/2026/06/18/336_33675f560e9966149c5bb6da16e6905fa9f_RELAY-20260618180305-cv.mp4</v>
      </c>
      <c r="AB48" s="41" t="n">
        <f aca="false">IFERROR(__xludf.dummyfunction("""COMPUTED_VALUE"""),6)</f>
        <v>6</v>
      </c>
      <c r="AC48" s="57" t="str">
        <f aca="false">IFERROR(__xludf.dummyfunction("""COMPUTED_VALUE"""),"gv.tungnt@hocmai.edu.vn ")</f>
        <v>gv.tungnt@hocmai.edu.vn </v>
      </c>
      <c r="AD48" s="46" t="str">
        <f aca="false">IFERROR(__xludf.dummyfunction("""COMPUTED_VALUE"""),"trangcrazy699@gmail.com")</f>
        <v>trangcrazy699@gmail.com</v>
      </c>
      <c r="AE48" s="46"/>
      <c r="AF48" s="47" t="str">
        <f aca="false">IFERROR(__xludf.dummyfunction("""COMPUTED_VALUE"""),"lophoctoan-946191")</f>
        <v>lophoctoan-946191</v>
      </c>
      <c r="AG48" s="46" t="str">
        <f aca="false">IFERROR(__xludf.dummyfunction("""COMPUTED_VALUE"""),"")</f>
        <v/>
      </c>
      <c r="AH48" s="35"/>
      <c r="AI48" s="35"/>
      <c r="AJ48" s="53" t="b">
        <f aca="false">IFERROR(__xludf.dummyfunction("""COMPUTED_VALUE"""),TRUE())</f>
        <v>1</v>
      </c>
      <c r="AK48" s="53" t="b">
        <f aca="false">IFERROR(__xludf.dummyfunction("""COMPUTED_VALUE"""),TRUE())</f>
        <v>1</v>
      </c>
      <c r="AL48" s="35"/>
      <c r="AM48" s="35"/>
      <c r="AN48" s="35"/>
      <c r="AO48" s="46"/>
    </row>
    <row r="49" customFormat="false" ht="15.75" hidden="false" customHeight="true" outlineLevel="0" collapsed="false">
      <c r="A49" s="37" t="str">
        <f aca="false">IFERROR(__xludf.dummyfunction("""COMPUTED_VALUE"""),"Vật lí")</f>
        <v>Vật lí</v>
      </c>
      <c r="B49" s="37" t="str">
        <f aca="false">IFERROR(__xludf.dummyfunction("""COMPUTED_VALUE"""),"TOV_HSA_VL01")</f>
        <v>TOV_HSA_VL01</v>
      </c>
      <c r="C49" s="59" t="str">
        <f aca="false">IFERROR(__xludf.dummyfunction("""COMPUTED_VALUE"""),"Đo lường và xử lí số liệu")</f>
        <v>Đo lường và xử lí số liệu</v>
      </c>
      <c r="D49" s="39" t="str">
        <f aca="false">IFERROR(__xludf.dummyfunction("""COMPUTED_VALUE"""),"Nguyễn Hữu Tình")</f>
        <v>Nguyễn Hữu Tình</v>
      </c>
      <c r="E49" s="40" t="n">
        <f aca="false">IFERROR(__xludf.dummyfunction("""COMPUTED_VALUE"""),46191)</f>
        <v>46191</v>
      </c>
      <c r="F49" s="41" t="n">
        <f aca="false">IFERROR(__xludf.dummyfunction("""COMPUTED_VALUE"""),5)</f>
        <v>5</v>
      </c>
      <c r="G49" s="37" t="str">
        <f aca="false">IFERROR(__xludf.dummyfunction("""COMPUTED_VALUE"""),"21:00-23:00")</f>
        <v>21:00-23:00</v>
      </c>
      <c r="H49" s="42" t="str">
        <f aca="false">IFERROR(__xludf.dummyfunction("""COMPUTED_VALUE"""),"https://hocmai.vn/file.php/3119/NAM_HOC_2026_-_2027/Tai_lieu_live/TLHS_TOV_HSA_VL01_Do_luong_va_xu_li_so_lieu.pdf")</f>
        <v>https://hocmai.vn/file.php/3119/NAM_HOC_2026_-_2027/Tai_lieu_live/TLHS_TOV_HSA_VL01_Do_luong_va_xu_li_so_lieu.pdf</v>
      </c>
      <c r="I49" s="42" t="str">
        <f aca="false">IFERROR(__xludf.dummyfunction("""COMPUTED_VALUE"""),"https://hocmai.vn/file.php/3119/NAM_HOC_2026_-_2027/BTTL/BTTL_TOV_HSA_VL01._Do_luong_va_xu_li_so_lieu.pdf")</f>
        <v>https://hocmai.vn/file.php/3119/NAM_HOC_2026_-_2027/BTTL/BTTL_TOV_HSA_VL01._Do_luong_va_xu_li_so_lieu.pdf</v>
      </c>
      <c r="J49" s="42" t="str">
        <f aca="false">IFERROR(__xludf.dummyfunction("""COMPUTED_VALUE"""),"https://drive.google.com/file/d/1IGveFE1xTQW1KpFtCjH5mwfKbzDGe0z2/view?usp=drive_link")</f>
        <v>https://drive.google.com/file/d/1IGveFE1xTQW1KpFtCjH5mwfKbzDGe0z2/view?usp=drive_link</v>
      </c>
      <c r="K49" s="68" t="str">
        <f aca="false">IFERROR(__xludf.dummyfunction("""COMPUTED_VALUE"""),"Trangnth2 (263)")</f>
        <v>Trangnth2 (263)</v>
      </c>
      <c r="L49" s="68" t="str">
        <f aca="false">IFERROR(__xludf.dummyfunction("""COMPUTED_VALUE"""),"Kiều Bảo Minh")</f>
        <v>Kiều Bảo Minh</v>
      </c>
      <c r="M49" s="71"/>
      <c r="N49" s="76" t="str">
        <f aca="false">IFERROR(__xludf.dummyfunction("""COMPUTED_VALUE"""),"3119")</f>
        <v>3119</v>
      </c>
      <c r="O49" s="63" t="n">
        <f aca="false">IFERROR(__xludf.dummyfunction("""COMPUTED_VALUE"""),167516)</f>
        <v>167516</v>
      </c>
      <c r="P49" s="63"/>
      <c r="Q49" s="63"/>
      <c r="R49" s="41"/>
      <c r="S49" s="41"/>
      <c r="T49" s="63" t="n">
        <f aca="false">IFERROR(__xludf.dummyfunction("""COMPUTED_VALUE"""),23582)</f>
        <v>23582</v>
      </c>
      <c r="U49" s="63" t="n">
        <f aca="false">IFERROR(__xludf.dummyfunction("""COMPUTED_VALUE"""),10457)</f>
        <v>10457</v>
      </c>
      <c r="V49" s="70" t="n">
        <f aca="false">IFERROR(__xludf.dummyfunction("""COMPUTED_VALUE"""),46194)</f>
        <v>46194</v>
      </c>
      <c r="W49" s="39" t="str">
        <f aca="false">IFERROR(__xludf.dummyfunction("""COMPUTED_VALUE"""),"Hoàn thành XB")</f>
        <v>Hoàn thành XB</v>
      </c>
      <c r="X49" s="41" t="str">
        <f aca="false">IFERROR(__xludf.dummyfunction("""COMPUTED_VALUE"""),"Trangnth2")</f>
        <v>Trangnth2</v>
      </c>
      <c r="Y49" s="44" t="str">
        <f aca="false">IFERROR(__xludf.dummyfunction("""COMPUTED_VALUE"""),"done")</f>
        <v>done</v>
      </c>
      <c r="Z49" s="57" t="str">
        <f aca="false">IFERROR(__xludf.dummyfunction("""COMPUTED_VALUE"""),"#N/A")</f>
        <v>#N/A</v>
      </c>
      <c r="AA49" s="57"/>
      <c r="AB49" s="41" t="n">
        <f aca="false">IFERROR(__xludf.dummyfunction("""COMPUTED_VALUE"""),6)</f>
        <v>6</v>
      </c>
      <c r="AC49" s="57" t="str">
        <f aca="false">IFERROR(__xludf.dummyfunction("""COMPUTED_VALUE"""),"gv.tinhnh@hocmai.edu.vn ")</f>
        <v>gv.tinhnh@hocmai.edu.vn </v>
      </c>
      <c r="AD49" s="46" t="str">
        <f aca="false">IFERROR(__xludf.dummyfunction("""COMPUTED_VALUE"""),"mkieu2662@gmail.com")</f>
        <v>mkieu2662@gmail.com</v>
      </c>
      <c r="AE49" s="46"/>
      <c r="AF49" s="74" t="b">
        <f aca="false">IFERROR(__xludf.dummyfunction("""COMPUTED_VALUE"""),FALSE())</f>
        <v>0</v>
      </c>
      <c r="AG49" s="46" t="str">
        <f aca="false">IFERROR(__xludf.dummyfunction("""COMPUTED_VALUE"""),"")</f>
        <v/>
      </c>
      <c r="AH49" s="35"/>
      <c r="AI49" s="35"/>
      <c r="AJ49" s="53" t="b">
        <f aca="false">IFERROR(__xludf.dummyfunction("""COMPUTED_VALUE"""),TRUE())</f>
        <v>1</v>
      </c>
      <c r="AK49" s="53" t="b">
        <f aca="false">IFERROR(__xludf.dummyfunction("""COMPUTED_VALUE"""),TRUE())</f>
        <v>1</v>
      </c>
      <c r="AL49" s="35"/>
      <c r="AM49" s="35"/>
      <c r="AN49" s="35"/>
      <c r="AO49" s="46"/>
    </row>
    <row r="50" customFormat="false" ht="15.75" hidden="false" customHeight="true" outlineLevel="0" collapsed="false">
      <c r="A50" s="37" t="str">
        <f aca="false">IFERROR(__xludf.dummyfunction("""COMPUTED_VALUE"""),"Toán")</f>
        <v>Toán</v>
      </c>
      <c r="B50" s="37" t="str">
        <f aca="false">IFERROR(__xludf.dummyfunction("""COMPUTED_VALUE"""),"TOA_V-ACT_T01")</f>
        <v>TOA_V-ACT_T01</v>
      </c>
      <c r="C50" s="59" t="str">
        <f aca="false">IFERROR(__xludf.dummyfunction("""COMPUTED_VALUE"""),"Phương pháp và kĩ năng xử lí bài toán hệ bất phương trình bậc nhất hai ẩn")</f>
        <v>Phương pháp và kĩ năng xử lí bài toán hệ bất phương trình bậc nhất hai ẩn</v>
      </c>
      <c r="D50" s="39" t="str">
        <f aca="false">IFERROR(__xludf.dummyfunction("""COMPUTED_VALUE"""),"Nguyễn Hoài Nam")</f>
        <v>Nguyễn Hoài Nam</v>
      </c>
      <c r="E50" s="40" t="n">
        <f aca="false">IFERROR(__xludf.dummyfunction("""COMPUTED_VALUE"""),46191)</f>
        <v>46191</v>
      </c>
      <c r="F50" s="41" t="n">
        <f aca="false">IFERROR(__xludf.dummyfunction("""COMPUTED_VALUE"""),5)</f>
        <v>5</v>
      </c>
      <c r="G50" s="37" t="str">
        <f aca="false">IFERROR(__xludf.dummyfunction("""COMPUTED_VALUE"""),"21:00-22:30")</f>
        <v>21:00-22:30</v>
      </c>
      <c r="H50" s="42" t="str">
        <f aca="false">IFERROR(__xludf.dummyfunction("""COMPUTED_VALUE"""),"https://hocmai.vn/kho-tai-lieu/read.php?id=19939")</f>
        <v>https://hocmai.vn/kho-tai-lieu/read.php?id=19939</v>
      </c>
      <c r="I50" s="42" t="str">
        <f aca="false">IFERROR(__xludf.dummyfunction("""COMPUTED_VALUE"""),"https://hocmai.vn/kho-tai-lieu/read.php?id=19940")</f>
        <v>https://hocmai.vn/kho-tai-lieu/read.php?id=19940</v>
      </c>
      <c r="J50" s="42" t="str">
        <f aca="false">IFERROR(__xludf.dummyfunction("""COMPUTED_VALUE"""),"https://drive.google.com/drive/folders/1hRKWRF-9T93qDP_5ebRZSV2Ma0tQrzgJ?usp=sharing")</f>
        <v>https://drive.google.com/drive/folders/1hRKWRF-9T93qDP_5ebRZSV2Ma0tQrzgJ?usp=sharing</v>
      </c>
      <c r="K50" s="68" t="str">
        <f aca="false">IFERROR(__xludf.dummyfunction("""COMPUTED_VALUE"""),"Lent")</f>
        <v>Lent</v>
      </c>
      <c r="L50" s="68" t="str">
        <f aca="false">IFERROR(__xludf.dummyfunction("""COMPUTED_VALUE"""),"Lường Nhật Nam")</f>
        <v>Lường Nhật Nam</v>
      </c>
      <c r="M50" s="71"/>
      <c r="N50" s="77" t="str">
        <f aca="false">IFERROR(__xludf.dummyfunction("""COMPUTED_VALUE"""),"3124,3316")</f>
        <v>3124,3316</v>
      </c>
      <c r="O50" s="73" t="n">
        <f aca="false">IFERROR(__xludf.dummyfunction("""COMPUTED_VALUE"""),167185.166855)</f>
        <v>167185.166855</v>
      </c>
      <c r="P50" s="63" t="n">
        <f aca="false">IFERROR(__xludf.dummyfunction("""COMPUTED_VALUE"""),9044.9108)</f>
        <v>9044.9108</v>
      </c>
      <c r="Q50" s="63" t="n">
        <f aca="false">IFERROR(__xludf.dummyfunction("""COMPUTED_VALUE"""),167185)</f>
        <v>167185</v>
      </c>
      <c r="R50" s="41" t="n">
        <f aca="false">IFERROR(__xludf.dummyfunction("""COMPUTED_VALUE"""),166855)</f>
        <v>166855</v>
      </c>
      <c r="S50" s="41"/>
      <c r="T50" s="63"/>
      <c r="U50" s="63"/>
      <c r="V50" s="70" t="n">
        <f aca="false">IFERROR(__xludf.dummyfunction("""COMPUTED_VALUE"""),46194)</f>
        <v>46194</v>
      </c>
      <c r="W50" s="39" t="str">
        <f aca="false">IFERROR(__xludf.dummyfunction("""COMPUTED_VALUE"""),"Hoàn thành XB")</f>
        <v>Hoàn thành XB</v>
      </c>
      <c r="X50" s="41" t="str">
        <f aca="false">IFERROR(__xludf.dummyfunction("""COMPUTED_VALUE"""),"Lent")</f>
        <v>Lent</v>
      </c>
      <c r="Y50" s="44" t="str">
        <f aca="false">IFERROR(__xludf.dummyfunction("""COMPUTED_VALUE"""),"done")</f>
        <v>done</v>
      </c>
      <c r="Z50" s="57" t="str">
        <f aca="false">IFERROR(__xludf.dummyfunction("""COMPUTED_VALUE"""),"#N/A")</f>
        <v>#N/A</v>
      </c>
      <c r="AA50" s="57"/>
      <c r="AB50" s="41" t="n">
        <f aca="false">IFERROR(__xludf.dummyfunction("""COMPUTED_VALUE"""),6)</f>
        <v>6</v>
      </c>
      <c r="AC50" s="57" t="str">
        <f aca="false">IFERROR(__xludf.dummyfunction("""COMPUTED_VALUE"""),"gv.namnh@hocmai.edu.vn ")</f>
        <v>gv.namnh@hocmai.edu.vn </v>
      </c>
      <c r="AD50" s="46" t="str">
        <f aca="false">IFERROR(__xludf.dummyfunction("""COMPUTED_VALUE"""),"nhatnam1092@gmail.com")</f>
        <v>nhatnam1092@gmail.com</v>
      </c>
      <c r="AE50" s="46"/>
      <c r="AF50" s="47" t="str">
        <f aca="false">IFERROR(__xludf.dummyfunction("""COMPUTED_VALUE"""),"lophoctoan-946191")</f>
        <v>lophoctoan-946191</v>
      </c>
      <c r="AG50" s="46" t="str">
        <f aca="false">IFERROR(__xludf.dummyfunction("""COMPUTED_VALUE"""),"")</f>
        <v/>
      </c>
      <c r="AH50" s="35"/>
      <c r="AI50" s="35"/>
      <c r="AJ50" s="35"/>
      <c r="AK50" s="35"/>
      <c r="AL50" s="35"/>
      <c r="AM50" s="53" t="b">
        <f aca="false">IFERROR(__xludf.dummyfunction("""COMPUTED_VALUE"""),TRUE())</f>
        <v>1</v>
      </c>
      <c r="AN50" s="53" t="b">
        <f aca="false">IFERROR(__xludf.dummyfunction("""COMPUTED_VALUE"""),TRUE())</f>
        <v>1</v>
      </c>
      <c r="AO50" s="46"/>
    </row>
    <row r="51" customFormat="false" ht="15.75" hidden="false" customHeight="true" outlineLevel="0" collapsed="false">
      <c r="A51" s="37" t="str">
        <f aca="false">IFERROR(__xludf.dummyfunction("""COMPUTED_VALUE"""),"Toán")</f>
        <v>Toán</v>
      </c>
      <c r="B51" s="37" t="str">
        <f aca="false">IFERROR(__xludf.dummyfunction("""COMPUTED_VALUE"""),"TOV_TSA_T01")</f>
        <v>TOV_TSA_T01</v>
      </c>
      <c r="C51" s="59" t="str">
        <f aca="false">IFERROR(__xludf.dummyfunction("""COMPUTED_VALUE"""),"Các bài toán liên quan tới tìm nghiệm nguyên")</f>
        <v>Các bài toán liên quan tới tìm nghiệm nguyên</v>
      </c>
      <c r="D51" s="39" t="str">
        <f aca="false">IFERROR(__xludf.dummyfunction("""COMPUTED_VALUE"""),"Nguyễn Thanh Tùng")</f>
        <v>Nguyễn Thanh Tùng</v>
      </c>
      <c r="E51" s="40" t="n">
        <f aca="false">IFERROR(__xludf.dummyfunction("""COMPUTED_VALUE"""),46192)</f>
        <v>46192</v>
      </c>
      <c r="F51" s="41" t="n">
        <f aca="false">IFERROR(__xludf.dummyfunction("""COMPUTED_VALUE"""),6)</f>
        <v>6</v>
      </c>
      <c r="G51" s="37" t="str">
        <f aca="false">IFERROR(__xludf.dummyfunction("""COMPUTED_VALUE"""),"18:00-20:00")</f>
        <v>18:00-20:00</v>
      </c>
      <c r="H51" s="42" t="str">
        <f aca="false">IFERROR(__xludf.dummyfunction("""COMPUTED_VALUE"""),"https://hocmai.vn/mod/scorm/view_file.php?inpopup=true&amp;id=181045")</f>
        <v>https://hocmai.vn/mod/scorm/view_file.php?inpopup=true&amp;id=181045</v>
      </c>
      <c r="I51" s="42" t="str">
        <f aca="false">IFERROR(__xludf.dummyfunction("""COMPUTED_VALUE"""),"https://hocmai.vn/mod/scorm/view_file.php?inpopup=true&amp;id=181301")</f>
        <v>https://hocmai.vn/mod/scorm/view_file.php?inpopup=true&amp;id=181301</v>
      </c>
      <c r="J51" s="42" t="str">
        <f aca="false">IFERROR(__xludf.dummyfunction("""COMPUTED_VALUE"""),"https://drive.google.com/file/d/1RYc9ROmaPxnooBme7WfY4Fd4PuF2HHSq/view?usp=drive_link")</f>
        <v>https://drive.google.com/file/d/1RYc9ROmaPxnooBme7WfY4Fd4PuF2HHSq/view?usp=drive_link</v>
      </c>
      <c r="K51" s="68" t="str">
        <f aca="false">IFERROR(__xludf.dummyfunction("""COMPUTED_VALUE"""),"Locdd")</f>
        <v>Locdd</v>
      </c>
      <c r="L51" s="68" t="str">
        <f aca="false">IFERROR(__xludf.dummyfunction("""COMPUTED_VALUE"""),"Tưởng Thị Huyền Trang")</f>
        <v>Tưởng Thị Huyền Trang</v>
      </c>
      <c r="M51" s="71"/>
      <c r="N51" s="77" t="str">
        <f aca="false">IFERROR(__xludf.dummyfunction("""COMPUTED_VALUE"""),"3108")</f>
        <v>3108</v>
      </c>
      <c r="O51" s="63" t="n">
        <f aca="false">IFERROR(__xludf.dummyfunction("""COMPUTED_VALUE"""),168356)</f>
        <v>168356</v>
      </c>
      <c r="P51" s="63"/>
      <c r="Q51" s="63"/>
      <c r="R51" s="41"/>
      <c r="S51" s="41"/>
      <c r="T51" s="63"/>
      <c r="U51" s="63"/>
      <c r="V51" s="70" t="n">
        <f aca="false">IFERROR(__xludf.dummyfunction("""COMPUTED_VALUE"""),46195)</f>
        <v>46195</v>
      </c>
      <c r="W51" s="39" t="str">
        <f aca="false">IFERROR(__xludf.dummyfunction("""COMPUTED_VALUE"""),"Hoàn thành XB")</f>
        <v>Hoàn thành XB</v>
      </c>
      <c r="X51" s="41" t="str">
        <f aca="false">IFERROR(__xludf.dummyfunction("""COMPUTED_VALUE"""),"Locdd")</f>
        <v>Locdd</v>
      </c>
      <c r="Y51" s="44" t="str">
        <f aca="false">IFERROR(__xludf.dummyfunction("""COMPUTED_VALUE"""),"done")</f>
        <v>done</v>
      </c>
      <c r="Z51" s="57" t="str">
        <f aca="false">IFERROR(__xludf.dummyfunction("""COMPUTED_VALUE"""),"#N/A")</f>
        <v>#N/A</v>
      </c>
      <c r="AA51" s="57"/>
      <c r="AB51" s="41" t="n">
        <f aca="false">IFERROR(__xludf.dummyfunction("""COMPUTED_VALUE"""),6)</f>
        <v>6</v>
      </c>
      <c r="AC51" s="57" t="str">
        <f aca="false">IFERROR(__xludf.dummyfunction("""COMPUTED_VALUE"""),"gv.tungnt@hocmai.edu.vn ")</f>
        <v>gv.tungnt@hocmai.edu.vn </v>
      </c>
      <c r="AD51" s="46" t="str">
        <f aca="false">IFERROR(__xludf.dummyfunction("""COMPUTED_VALUE"""),"trangcrazy699@gmail.com")</f>
        <v>trangcrazy699@gmail.com</v>
      </c>
      <c r="AE51" s="46"/>
      <c r="AF51" s="47" t="str">
        <f aca="false">IFERROR(__xludf.dummyfunction("""COMPUTED_VALUE"""),"lophoctoan-946192")</f>
        <v>lophoctoan-946192</v>
      </c>
      <c r="AG51" s="46" t="str">
        <f aca="false">IFERROR(__xludf.dummyfunction("""COMPUTED_VALUE"""),"")</f>
        <v/>
      </c>
      <c r="AH51" s="35"/>
      <c r="AI51" s="53" t="b">
        <f aca="false">IFERROR(__xludf.dummyfunction("""COMPUTED_VALUE"""),TRUE())</f>
        <v>1</v>
      </c>
      <c r="AJ51" s="35"/>
      <c r="AK51" s="35"/>
      <c r="AL51" s="35"/>
      <c r="AM51" s="35"/>
      <c r="AN51" s="35"/>
      <c r="AO51" s="46"/>
    </row>
    <row r="52" customFormat="false" ht="15.75" hidden="false" customHeight="true" outlineLevel="0" collapsed="false">
      <c r="A52" s="37" t="str">
        <f aca="false">IFERROR(__xludf.dummyfunction("""COMPUTED_VALUE"""),"Sinh học")</f>
        <v>Sinh học</v>
      </c>
      <c r="B52" s="37" t="str">
        <f aca="false">IFERROR(__xludf.dummyfunction("""COMPUTED_VALUE"""),"TOV_HSA_SH01")</f>
        <v>TOV_HSA_SH01</v>
      </c>
      <c r="C52" s="59" t="str">
        <f aca="false">IFERROR(__xludf.dummyfunction("""COMPUTED_VALUE"""),"Tổng quan Sinh học &amp; Tư duy đọc dữ liệu")</f>
        <v>Tổng quan Sinh học &amp; Tư duy đọc dữ liệu</v>
      </c>
      <c r="D52" s="39" t="str">
        <f aca="false">IFERROR(__xludf.dummyfunction("""COMPUTED_VALUE"""),"Nguyễn Dương Ánh Hồng")</f>
        <v>Nguyễn Dương Ánh Hồng</v>
      </c>
      <c r="E52" s="40" t="n">
        <f aca="false">IFERROR(__xludf.dummyfunction("""COMPUTED_VALUE"""),46192)</f>
        <v>46192</v>
      </c>
      <c r="F52" s="41" t="n">
        <f aca="false">IFERROR(__xludf.dummyfunction("""COMPUTED_VALUE"""),6)</f>
        <v>6</v>
      </c>
      <c r="G52" s="37" t="str">
        <f aca="false">IFERROR(__xludf.dummyfunction("""COMPUTED_VALUE"""),"20:00-22:00")</f>
        <v>20:00-22:00</v>
      </c>
      <c r="H52" s="42" t="str">
        <f aca="false">IFERROR(__xludf.dummyfunction("""COMPUTED_VALUE"""),"https://hocmai.vn/mod/scorm/view_file.php?inpopup=true&amp;id=180975")</f>
        <v>https://hocmai.vn/mod/scorm/view_file.php?inpopup=true&amp;id=180975</v>
      </c>
      <c r="I52" s="42" t="str">
        <f aca="false">IFERROR(__xludf.dummyfunction("""COMPUTED_VALUE"""),"https://hocmai.vn/mod/scorm/view_file.php?inpopup=true&amp;id=181020")</f>
        <v>https://hocmai.vn/mod/scorm/view_file.php?inpopup=true&amp;id=181020</v>
      </c>
      <c r="J52" s="42" t="str">
        <f aca="false">IFERROR(__xludf.dummyfunction("""COMPUTED_VALUE"""),"https://drive.google.com/drive/folders/1wKq8y33XK-dSy9M5IVc5TtsBJqRUr-Uq?usp=drive_link")</f>
        <v>https://drive.google.com/drive/folders/1wKq8y33XK-dSy9M5IVc5TtsBJqRUr-Uq?usp=drive_link</v>
      </c>
      <c r="K52" s="68" t="str">
        <f aca="false">IFERROR(__xludf.dummyfunction("""COMPUTED_VALUE"""),"Phuongdt")</f>
        <v>Phuongdt</v>
      </c>
      <c r="L52" s="68" t="str">
        <f aca="false">IFERROR(__xludf.dummyfunction("""COMPUTED_VALUE"""),"Phạm Quang Thành")</f>
        <v>Phạm Quang Thành</v>
      </c>
      <c r="M52" s="71"/>
      <c r="N52" s="77" t="str">
        <f aca="false">IFERROR(__xludf.dummyfunction("""COMPUTED_VALUE"""),"3121")</f>
        <v>3121</v>
      </c>
      <c r="O52" s="63" t="n">
        <f aca="false">IFERROR(__xludf.dummyfunction("""COMPUTED_VALUE"""),167318)</f>
        <v>167318</v>
      </c>
      <c r="P52" s="63"/>
      <c r="Q52" s="63"/>
      <c r="R52" s="41"/>
      <c r="S52" s="41"/>
      <c r="T52" s="63" t="n">
        <f aca="false">IFERROR(__xludf.dummyfunction("""COMPUTED_VALUE"""),23408)</f>
        <v>23408</v>
      </c>
      <c r="U52" s="63"/>
      <c r="V52" s="70" t="n">
        <f aca="false">IFERROR(__xludf.dummyfunction("""COMPUTED_VALUE"""),46195)</f>
        <v>46195</v>
      </c>
      <c r="W52" s="39" t="str">
        <f aca="false">IFERROR(__xludf.dummyfunction("""COMPUTED_VALUE"""),"Hoàn thành XB")</f>
        <v>Hoàn thành XB</v>
      </c>
      <c r="X52" s="41" t="str">
        <f aca="false">IFERROR(__xludf.dummyfunction("""COMPUTED_VALUE"""),"Phuongdt")</f>
        <v>Phuongdt</v>
      </c>
      <c r="Y52" s="44" t="str">
        <f aca="false">IFERROR(__xludf.dummyfunction("""COMPUTED_VALUE"""),"done")</f>
        <v>done</v>
      </c>
      <c r="Z52" s="57" t="str">
        <f aca="false">IFERROR(__xludf.dummyfunction("""COMPUTED_VALUE"""),"#N/A")</f>
        <v>#N/A</v>
      </c>
      <c r="AA52" s="57"/>
      <c r="AB52" s="41" t="n">
        <f aca="false">IFERROR(__xludf.dummyfunction("""COMPUTED_VALUE"""),6)</f>
        <v>6</v>
      </c>
      <c r="AC52" s="57" t="str">
        <f aca="false">IFERROR(__xludf.dummyfunction("""COMPUTED_VALUE"""),"gv.hongnda@hocmai.edu.vn ")</f>
        <v>gv.hongnda@hocmai.edu.vn </v>
      </c>
      <c r="AD52" s="46" t="str">
        <f aca="false">IFERROR(__xludf.dummyfunction("""COMPUTED_VALUE"""),"nguyenquockhanh8823@gmail.com")</f>
        <v>nguyenquockhanh8823@gmail.com</v>
      </c>
      <c r="AE52" s="46"/>
      <c r="AF52" s="74" t="b">
        <f aca="false">IFERROR(__xludf.dummyfunction("""COMPUTED_VALUE"""),FALSE())</f>
        <v>0</v>
      </c>
      <c r="AG52" s="46" t="str">
        <f aca="false">IFERROR(__xludf.dummyfunction("""COMPUTED_VALUE"""),"")</f>
        <v/>
      </c>
      <c r="AH52" s="35"/>
      <c r="AI52" s="35"/>
      <c r="AJ52" s="53" t="b">
        <f aca="false">IFERROR(__xludf.dummyfunction("""COMPUTED_VALUE"""),TRUE())</f>
        <v>1</v>
      </c>
      <c r="AK52" s="53" t="b">
        <f aca="false">IFERROR(__xludf.dummyfunction("""COMPUTED_VALUE"""),TRUE())</f>
        <v>1</v>
      </c>
      <c r="AL52" s="35"/>
      <c r="AM52" s="35"/>
      <c r="AN52" s="35"/>
      <c r="AO52" s="46"/>
    </row>
    <row r="53" customFormat="false" ht="15.75" hidden="false" customHeight="true" outlineLevel="0" collapsed="false">
      <c r="A53" s="37" t="str">
        <f aca="false">IFERROR(__xludf.dummyfunction("""COMPUTED_VALUE"""),"Hóa học")</f>
        <v>Hóa học</v>
      </c>
      <c r="B53" s="37" t="str">
        <f aca="false">IFERROR(__xludf.dummyfunction("""COMPUTED_VALUE"""),"TOV_TSA_H01")</f>
        <v>TOV_TSA_H01</v>
      </c>
      <c r="C53" s="59" t="str">
        <f aca="false">IFERROR(__xludf.dummyfunction("""COMPUTED_VALUE"""),"Thế giới nguyên tử và Sự tuần hoàn")</f>
        <v>Thế giới nguyên tử và Sự tuần hoàn</v>
      </c>
      <c r="D53" s="39" t="str">
        <f aca="false">IFERROR(__xludf.dummyfunction("""COMPUTED_VALUE"""),"Vũ Khắc Ngọc")</f>
        <v>Vũ Khắc Ngọc</v>
      </c>
      <c r="E53" s="40" t="n">
        <f aca="false">IFERROR(__xludf.dummyfunction("""COMPUTED_VALUE"""),46193)</f>
        <v>46193</v>
      </c>
      <c r="F53" s="41" t="n">
        <f aca="false">IFERROR(__xludf.dummyfunction("""COMPUTED_VALUE"""),7)</f>
        <v>7</v>
      </c>
      <c r="G53" s="37" t="str">
        <f aca="false">IFERROR(__xludf.dummyfunction("""COMPUTED_VALUE"""),"21:30-23:30")</f>
        <v>21:30-23:30</v>
      </c>
      <c r="H53" s="42" t="str">
        <f aca="false">IFERROR(__xludf.dummyfunction("""COMPUTED_VALUE"""),"https://hocmai.vn/file.php/3110/Nam_hoc_2026_-_2027/HOA_HOC/TL_Live/TLHS_TOV_TSA_H01-The_gioi_nguyen_tu_va_Su_tuan_hoan.pdf")</f>
        <v>https://hocmai.vn/file.php/3110/Nam_hoc_2026_-_2027/HOA_HOC/TL_Live/TLHS_TOV_TSA_H01-The_gioi_nguyen_tu_va_Su_tuan_hoan.pdf</v>
      </c>
      <c r="I53" s="42" t="str">
        <f aca="false">IFERROR(__xludf.dummyfunction("""COMPUTED_VALUE"""),"https://hocmai.vn/mod/scorm/view_file.php?id=181225")</f>
        <v>https://hocmai.vn/mod/scorm/view_file.php?id=181225</v>
      </c>
      <c r="J53" s="42" t="str">
        <f aca="false">IFERROR(__xludf.dummyfunction("""COMPUTED_VALUE"""),"https://drive.google.com/file/d/1R6gEgvAeeTuH6ehjgVV_2ztoLrNZej0t/view?usp=drive_link")</f>
        <v>https://drive.google.com/file/d/1R6gEgvAeeTuH6ehjgVV_2ztoLrNZej0t/view?usp=drive_link</v>
      </c>
      <c r="K53" s="68" t="str">
        <f aca="false">IFERROR(__xludf.dummyfunction("""COMPUTED_VALUE"""),"Huebt")</f>
        <v>Huebt</v>
      </c>
      <c r="L53" s="68" t="str">
        <f aca="false">IFERROR(__xludf.dummyfunction("""COMPUTED_VALUE"""),"Bùi Vĩnh Thọ")</f>
        <v>Bùi Vĩnh Thọ</v>
      </c>
      <c r="M53" s="71"/>
      <c r="N53" s="77" t="str">
        <f aca="false">IFERROR(__xludf.dummyfunction("""COMPUTED_VALUE"""),"3110")</f>
        <v>3110</v>
      </c>
      <c r="O53" s="63" t="n">
        <f aca="false">IFERROR(__xludf.dummyfunction("""COMPUTED_VALUE"""),167247)</f>
        <v>167247</v>
      </c>
      <c r="P53" s="63"/>
      <c r="Q53" s="63"/>
      <c r="R53" s="41"/>
      <c r="S53" s="41"/>
      <c r="T53" s="63" t="n">
        <f aca="false">IFERROR(__xludf.dummyfunction("""COMPUTED_VALUE"""),23590)</f>
        <v>23590</v>
      </c>
      <c r="U53" s="63" t="n">
        <f aca="false">IFERROR(__xludf.dummyfunction("""COMPUTED_VALUE"""),10599)</f>
        <v>10599</v>
      </c>
      <c r="V53" s="70" t="n">
        <f aca="false">IFERROR(__xludf.dummyfunction("""COMPUTED_VALUE"""),46196)</f>
        <v>46196</v>
      </c>
      <c r="W53" s="39" t="str">
        <f aca="false">IFERROR(__xludf.dummyfunction("""COMPUTED_VALUE"""),"Hoàn thành XB")</f>
        <v>Hoàn thành XB</v>
      </c>
      <c r="X53" s="41" t="str">
        <f aca="false">IFERROR(__xludf.dummyfunction("""COMPUTED_VALUE"""),"Huebt")</f>
        <v>Huebt</v>
      </c>
      <c r="Y53" s="44" t="str">
        <f aca="false">IFERROR(__xludf.dummyfunction("""COMPUTED_VALUE"""),"done")</f>
        <v>done</v>
      </c>
      <c r="Z53" s="57" t="str">
        <f aca="false">IFERROR(__xludf.dummyfunction("""COMPUTED_VALUE"""),"#N/A")</f>
        <v>#N/A</v>
      </c>
      <c r="AA53" s="57"/>
      <c r="AB53" s="41" t="n">
        <f aca="false">IFERROR(__xludf.dummyfunction("""COMPUTED_VALUE"""),6)</f>
        <v>6</v>
      </c>
      <c r="AC53" s="57" t="str">
        <f aca="false">IFERROR(__xludf.dummyfunction("""COMPUTED_VALUE"""),"gv.ngocvk@hocmai.edu.vn")</f>
        <v>gv.ngocvk@hocmai.edu.vn</v>
      </c>
      <c r="AD53" s="46" t="str">
        <f aca="false">IFERROR(__xludf.dummyfunction("""COMPUTED_VALUE"""),"vinhtho0704@gmail.com")</f>
        <v>vinhtho0704@gmail.com</v>
      </c>
      <c r="AE53" s="46"/>
      <c r="AF53" s="74" t="b">
        <f aca="false">IFERROR(__xludf.dummyfunction("""COMPUTED_VALUE"""),FALSE())</f>
        <v>0</v>
      </c>
      <c r="AG53" s="46" t="str">
        <f aca="false">IFERROR(__xludf.dummyfunction("""COMPUTED_VALUE"""),"")</f>
        <v/>
      </c>
      <c r="AH53" s="35"/>
      <c r="AI53" s="53" t="b">
        <f aca="false">IFERROR(__xludf.dummyfunction("""COMPUTED_VALUE"""),TRUE())</f>
        <v>1</v>
      </c>
      <c r="AJ53" s="35"/>
      <c r="AK53" s="35"/>
      <c r="AL53" s="35"/>
      <c r="AM53" s="35"/>
      <c r="AN53" s="35"/>
      <c r="AO53" s="46"/>
    </row>
    <row r="54" customFormat="false" ht="15.75" hidden="false" customHeight="true" outlineLevel="0" collapsed="false">
      <c r="A54" s="37" t="str">
        <f aca="false">IFERROR(__xludf.dummyfunction("""COMPUTED_VALUE"""),"Tiếng Anh")</f>
        <v>Tiếng Anh</v>
      </c>
      <c r="B54" s="37" t="str">
        <f aca="false">IFERROR(__xludf.dummyfunction("""COMPUTED_VALUE"""),"TOS_V-ACT_TA01")</f>
        <v>TOS_V-ACT_TA01</v>
      </c>
      <c r="C54" s="59" t="str">
        <f aca="false">IFERROR(__xludf.dummyfunction("""COMPUTED_VALUE"""),"Tổng ôn ngữ pháp: Từ loại và trật tự từ")</f>
        <v>Tổng ôn ngữ pháp: Từ loại và trật tự từ</v>
      </c>
      <c r="D54" s="39" t="str">
        <f aca="false">IFERROR(__xludf.dummyfunction("""COMPUTED_VALUE"""),"Nguyễn Phương Linh")</f>
        <v>Nguyễn Phương Linh</v>
      </c>
      <c r="E54" s="40" t="n">
        <f aca="false">IFERROR(__xludf.dummyfunction("""COMPUTED_VALUE"""),46193)</f>
        <v>46193</v>
      </c>
      <c r="F54" s="41" t="n">
        <f aca="false">IFERROR(__xludf.dummyfunction("""COMPUTED_VALUE"""),7)</f>
        <v>7</v>
      </c>
      <c r="G54" s="37" t="str">
        <f aca="false">IFERROR(__xludf.dummyfunction("""COMPUTED_VALUE"""),"18:00-19:30")</f>
        <v>18:00-19:30</v>
      </c>
      <c r="H54" s="42" t="str">
        <f aca="false">IFERROR(__xludf.dummyfunction("""COMPUTED_VALUE"""),"https://hocmai.vn/mod/scorm/view_file.php?inpopup=true&amp;id=181014")</f>
        <v>https://hocmai.vn/mod/scorm/view_file.php?inpopup=true&amp;id=181014</v>
      </c>
      <c r="I54" s="42" t="str">
        <f aca="false">IFERROR(__xludf.dummyfunction("""COMPUTED_VALUE"""),"https://hocmai.vn/mod/scorm/view_file.php?inpopup=true&amp;id=181023")</f>
        <v>https://hocmai.vn/mod/scorm/view_file.php?inpopup=true&amp;id=181023</v>
      </c>
      <c r="J54" s="42" t="str">
        <f aca="false">IFERROR(__xludf.dummyfunction("""COMPUTED_VALUE"""),"https://drive.google.com/file/d/1r0Ryz4Hybtz3pNf5AVpZimrmcrQoEEFW/view?usp=drive_link")</f>
        <v>https://drive.google.com/file/d/1r0Ryz4Hybtz3pNf5AVpZimrmcrQoEEFW/view?usp=drive_link</v>
      </c>
      <c r="K54" s="68" t="str">
        <f aca="false">IFERROR(__xludf.dummyfunction("""COMPUTED_VALUE"""),"Dienlt")</f>
        <v>Dienlt</v>
      </c>
      <c r="L54" s="68" t="str">
        <f aca="false">IFERROR(__xludf.dummyfunction("""COMPUTED_VALUE"""),"Lê Quốc Việt")</f>
        <v>Lê Quốc Việt</v>
      </c>
      <c r="M54" s="71"/>
      <c r="N54" s="77" t="str">
        <f aca="false">IFERROR(__xludf.dummyfunction("""COMPUTED_VALUE"""),"3339")</f>
        <v>3339</v>
      </c>
      <c r="O54" s="63" t="n">
        <f aca="false">IFERROR(__xludf.dummyfunction("""COMPUTED_VALUE"""),167629)</f>
        <v>167629</v>
      </c>
      <c r="P54" s="63"/>
      <c r="Q54" s="63"/>
      <c r="R54" s="41"/>
      <c r="S54" s="41"/>
      <c r="T54" s="63"/>
      <c r="U54" s="63"/>
      <c r="V54" s="70" t="n">
        <f aca="false">IFERROR(__xludf.dummyfunction("""COMPUTED_VALUE"""),46196)</f>
        <v>46196</v>
      </c>
      <c r="W54" s="39" t="str">
        <f aca="false">IFERROR(__xludf.dummyfunction("""COMPUTED_VALUE"""),"Hoàn thành XB")</f>
        <v>Hoàn thành XB</v>
      </c>
      <c r="X54" s="41" t="str">
        <f aca="false">IFERROR(__xludf.dummyfunction("""COMPUTED_VALUE"""),"Dienlt")</f>
        <v>Dienlt</v>
      </c>
      <c r="Y54" s="44" t="str">
        <f aca="false">IFERROR(__xludf.dummyfunction("""COMPUTED_VALUE"""),"done")</f>
        <v>done</v>
      </c>
      <c r="Z54" s="57" t="str">
        <f aca="false">IFERROR(__xludf.dummyfunction("""COMPUTED_VALUE"""),"#N/A")</f>
        <v>#N/A</v>
      </c>
      <c r="AA54" s="57"/>
      <c r="AB54" s="41" t="n">
        <f aca="false">IFERROR(__xludf.dummyfunction("""COMPUTED_VALUE"""),6)</f>
        <v>6</v>
      </c>
      <c r="AC54" s="57" t="str">
        <f aca="false">IFERROR(__xludf.dummyfunction("""COMPUTED_VALUE"""),"gv.linhnp@hocmai.edu.vn		")</f>
        <v>gv.linhnp@hocmai.edu.vn		</v>
      </c>
      <c r="AD54" s="46" t="str">
        <f aca="false">IFERROR(__xludf.dummyfunction("""COMPUTED_VALUE"""),"Ralph02091@gmail.com")</f>
        <v>Ralph02091@gmail.com</v>
      </c>
      <c r="AE54" s="46"/>
      <c r="AF54" s="47" t="str">
        <f aca="false">IFERROR(__xludf.dummyfunction("""COMPUTED_VALUE"""),"lophoctienganh46193")</f>
        <v>lophoctienganh46193</v>
      </c>
      <c r="AG54" s="46" t="str">
        <f aca="false">IFERROR(__xludf.dummyfunction("""COMPUTED_VALUE"""),"")</f>
        <v/>
      </c>
      <c r="AH54" s="35"/>
      <c r="AI54" s="35"/>
      <c r="AJ54" s="35"/>
      <c r="AK54" s="35"/>
      <c r="AL54" s="35"/>
      <c r="AM54" s="35"/>
      <c r="AN54" s="53" t="b">
        <f aca="false">IFERROR(__xludf.dummyfunction("""COMPUTED_VALUE"""),TRUE())</f>
        <v>1</v>
      </c>
      <c r="AO54" s="46"/>
    </row>
    <row r="55" customFormat="false" ht="15.75" hidden="false" customHeight="true" outlineLevel="0" collapsed="false">
      <c r="A55" s="37" t="str">
        <f aca="false">IFERROR(__xludf.dummyfunction("""COMPUTED_VALUE"""),"Toán")</f>
        <v>Toán</v>
      </c>
      <c r="B55" s="37" t="str">
        <f aca="false">IFERROR(__xludf.dummyfunction("""COMPUTED_VALUE"""),"NT_N_10")</f>
        <v>NT_N_10</v>
      </c>
      <c r="C55" s="59" t="str">
        <f aca="false">IFERROR(__xludf.dummyfunction("""COMPUTED_VALUE"""),"Tương giao của đồ thị hàm số")</f>
        <v>Tương giao của đồ thị hàm số</v>
      </c>
      <c r="D55" s="39" t="str">
        <f aca="false">IFERROR(__xludf.dummyfunction("""COMPUTED_VALUE"""),"Nguyễn Hoài Nam")</f>
        <v>Nguyễn Hoài Nam</v>
      </c>
      <c r="E55" s="40" t="n">
        <f aca="false">IFERROR(__xludf.dummyfunction("""COMPUTED_VALUE"""),46194)</f>
        <v>46194</v>
      </c>
      <c r="F55" s="41" t="str">
        <f aca="false">IFERROR(__xludf.dummyfunction("""COMPUTED_VALUE"""),"CN")</f>
        <v>CN</v>
      </c>
      <c r="G55" s="37" t="str">
        <f aca="false">IFERROR(__xludf.dummyfunction("""COMPUTED_VALUE"""),"21:00-22:30")</f>
        <v>21:00-22:30</v>
      </c>
      <c r="H55" s="42" t="str">
        <f aca="false">IFERROR(__xludf.dummyfunction("""COMPUTED_VALUE"""),"https://hocmai.vn/mod/scorm/view_file.php?inpopup=true&amp;id=181195")</f>
        <v>https://hocmai.vn/mod/scorm/view_file.php?inpopup=true&amp;id=181195</v>
      </c>
      <c r="I55" s="42" t="str">
        <f aca="false">IFERROR(__xludf.dummyfunction("""COMPUTED_VALUE"""),"https://hocmai.vn/mod/scorm/view_file.php?inpopup=true&amp;id=181196")</f>
        <v>https://hocmai.vn/mod/scorm/view_file.php?inpopup=true&amp;id=181196</v>
      </c>
      <c r="J55" s="42" t="str">
        <f aca="false">IFERROR(__xludf.dummyfunction("""COMPUTED_VALUE"""),"https://drive.google.com/drive/folders/1XT_t_JyRwQOIJN5-E7xlk-2e3NdgDL-b?usp=drive_link")</f>
        <v>https://drive.google.com/drive/folders/1XT_t_JyRwQOIJN5-E7xlk-2e3NdgDL-b?usp=drive_link</v>
      </c>
      <c r="K55" s="68" t="str">
        <f aca="false">IFERROR(__xludf.dummyfunction("""COMPUTED_VALUE"""),"lent")</f>
        <v>lent</v>
      </c>
      <c r="L55" s="68" t="str">
        <f aca="false">IFERROR(__xludf.dummyfunction("""COMPUTED_VALUE"""),"Tưởng Thị Huyền Trang")</f>
        <v>Tưởng Thị Huyền Trang</v>
      </c>
      <c r="M55" s="69" t="str">
        <f aca="false">IFERROR(__xludf.dummyfunction("""COMPUTED_VALUE"""),"https://hocmai.sharepoint.com/Education_Development/Lists/San_xuat_video/DispForm.aspx?ID=12197")</f>
        <v>https://hocmai.sharepoint.com/Education_Development/Lists/San_xuat_video/DispForm.aspx?ID=12197</v>
      </c>
      <c r="N55" s="78" t="n">
        <f aca="false">IFERROR(__xludf.dummyfunction("""COMPUTED_VALUE"""),3313)</f>
        <v>3313</v>
      </c>
      <c r="O55" s="63" t="n">
        <f aca="false">IFERROR(__xludf.dummyfunction("""COMPUTED_VALUE"""),166635)</f>
        <v>166635</v>
      </c>
      <c r="P55" s="63"/>
      <c r="Q55" s="63" t="n">
        <f aca="false">IFERROR(__xludf.dummyfunction("""COMPUTED_VALUE"""),8016)</f>
        <v>8016</v>
      </c>
      <c r="R55" s="41"/>
      <c r="S55" s="41"/>
      <c r="T55" s="63" t="n">
        <f aca="false">IFERROR(__xludf.dummyfunction("""COMPUTED_VALUE"""),8017)</f>
        <v>8017</v>
      </c>
      <c r="U55" s="63" t="n">
        <f aca="false">IFERROR(__xludf.dummyfunction("""COMPUTED_VALUE"""),23546)</f>
        <v>23546</v>
      </c>
      <c r="V55" s="70" t="n">
        <f aca="false">IFERROR(__xludf.dummyfunction("""COMPUTED_VALUE"""),46196)</f>
        <v>46196</v>
      </c>
      <c r="W55" s="39" t="str">
        <f aca="false">IFERROR(__xludf.dummyfunction("""COMPUTED_VALUE"""),"Hoàn thành XB")</f>
        <v>Hoàn thành XB</v>
      </c>
      <c r="X55" s="41" t="str">
        <f aca="false">IFERROR(__xludf.dummyfunction("""COMPUTED_VALUE"""),"Huent7")</f>
        <v>Huent7</v>
      </c>
      <c r="Y55" s="44"/>
      <c r="Z55" s="57"/>
      <c r="AA55" s="57"/>
      <c r="AB55" s="41" t="n">
        <f aca="false">IFERROR(__xludf.dummyfunction("""COMPUTED_VALUE"""),6)</f>
        <v>6</v>
      </c>
      <c r="AC55" s="57"/>
      <c r="AD55" s="46"/>
      <c r="AE55" s="46"/>
      <c r="AF55" s="47" t="str">
        <f aca="false">IFERROR(__xludf.dummyfunction("""COMPUTED_VALUE"""),"lophoctoan-946194")</f>
        <v>lophoctoan-946194</v>
      </c>
      <c r="AG55" s="46" t="str">
        <f aca="false">IFERROR(__xludf.dummyfunction("""COMPUTED_VALUE"""),"")</f>
        <v/>
      </c>
      <c r="AH55" s="53" t="b">
        <f aca="false">IFERROR(__xludf.dummyfunction("""COMPUTED_VALUE"""),TRUE())</f>
        <v>1</v>
      </c>
      <c r="AI55" s="35"/>
      <c r="AJ55" s="35"/>
      <c r="AK55" s="35"/>
      <c r="AL55" s="35"/>
      <c r="AM55" s="35"/>
      <c r="AN55" s="35"/>
      <c r="AO55" s="46"/>
    </row>
    <row r="56" customFormat="false" ht="15.75" hidden="false" customHeight="true" outlineLevel="0" collapsed="false">
      <c r="A56" s="37" t="str">
        <f aca="false">IFERROR(__xludf.dummyfunction("""COMPUTED_VALUE"""),"Toán")</f>
        <v>Toán</v>
      </c>
      <c r="B56" s="37" t="str">
        <f aca="false">IFERROR(__xludf.dummyfunction("""COMPUTED_VALUE"""),"NT_T_26")</f>
        <v>NT_T_26</v>
      </c>
      <c r="C56" s="59" t="str">
        <f aca="false">IFERROR(__xludf.dummyfunction("""COMPUTED_VALUE"""),"Phương pháp tính nguyên hàm")</f>
        <v>Phương pháp tính nguyên hàm</v>
      </c>
      <c r="D56" s="39" t="str">
        <f aca="false">IFERROR(__xludf.dummyfunction("""COMPUTED_VALUE"""),"Nguyễn Thanh Tùng")</f>
        <v>Nguyễn Thanh Tùng</v>
      </c>
      <c r="E56" s="40" t="n">
        <f aca="false">IFERROR(__xludf.dummyfunction("""COMPUTED_VALUE"""),46194)</f>
        <v>46194</v>
      </c>
      <c r="F56" s="41" t="str">
        <f aca="false">IFERROR(__xludf.dummyfunction("""COMPUTED_VALUE"""),"CN")</f>
        <v>CN</v>
      </c>
      <c r="G56" s="37" t="str">
        <f aca="false">IFERROR(__xludf.dummyfunction("""COMPUTED_VALUE"""),"18:00-20:00")</f>
        <v>18:00-20:00</v>
      </c>
      <c r="H56" s="42" t="str">
        <f aca="false">IFERROR(__xludf.dummyfunction("""COMPUTED_VALUE"""),"https://hocmai.vn/mod/scorm/view_file.php?id=181205")</f>
        <v>https://hocmai.vn/mod/scorm/view_file.php?id=181205</v>
      </c>
      <c r="I56" s="42" t="str">
        <f aca="false">IFERROR(__xludf.dummyfunction("""COMPUTED_VALUE"""),"https://hocmai.vn/mod/scorm/view_file.php?id=181227")</f>
        <v>https://hocmai.vn/mod/scorm/view_file.php?id=181227</v>
      </c>
      <c r="J56" s="42" t="str">
        <f aca="false">IFERROR(__xludf.dummyfunction("""COMPUTED_VALUE"""),"https://drive.google.com/drive/folders/1Cg_dCU169HROL3BC0bwpGuesRbQBrDy0?usp=drive_link")</f>
        <v>https://drive.google.com/drive/folders/1Cg_dCU169HROL3BC0bwpGuesRbQBrDy0?usp=drive_link</v>
      </c>
      <c r="K56" s="68" t="str">
        <f aca="false">IFERROR(__xludf.dummyfunction("""COMPUTED_VALUE"""),"Chientd2")</f>
        <v>Chientd2</v>
      </c>
      <c r="L56" s="68" t="str">
        <f aca="false">IFERROR(__xludf.dummyfunction("""COMPUTED_VALUE"""),"Tưởng Thị Huyền Trang")</f>
        <v>Tưởng Thị Huyền Trang</v>
      </c>
      <c r="M56" s="69" t="str">
        <f aca="false">IFERROR(__xludf.dummyfunction("""COMPUTED_VALUE"""),"https://hocmai.sharepoint.com/Education_Development/Lists/San_xuat_video/DispForm.aspx?ID=12165")</f>
        <v>https://hocmai.sharepoint.com/Education_Development/Lists/San_xuat_video/DispForm.aspx?ID=12165</v>
      </c>
      <c r="N56" s="63" t="n">
        <f aca="false">IFERROR(__xludf.dummyfunction("""COMPUTED_VALUE"""),3312)</f>
        <v>3312</v>
      </c>
      <c r="O56" s="63" t="n">
        <f aca="false">IFERROR(__xludf.dummyfunction("""COMPUTED_VALUE"""),166559)</f>
        <v>166559</v>
      </c>
      <c r="P56" s="63"/>
      <c r="Q56" s="63" t="n">
        <f aca="false">IFERROR(__xludf.dummyfunction("""COMPUTED_VALUE"""),7934)</f>
        <v>7934</v>
      </c>
      <c r="R56" s="41"/>
      <c r="S56" s="41"/>
      <c r="T56" s="63" t="n">
        <f aca="false">IFERROR(__xludf.dummyfunction("""COMPUTED_VALUE"""),7935)</f>
        <v>7935</v>
      </c>
      <c r="U56" s="63" t="n">
        <f aca="false">IFERROR(__xludf.dummyfunction("""COMPUTED_VALUE"""),23589)</f>
        <v>23589</v>
      </c>
      <c r="V56" s="70" t="n">
        <f aca="false">IFERROR(__xludf.dummyfunction("""COMPUTED_VALUE"""),46197)</f>
        <v>46197</v>
      </c>
      <c r="W56" s="39" t="str">
        <f aca="false">IFERROR(__xludf.dummyfunction("""COMPUTED_VALUE"""),"Hoàn thành XB")</f>
        <v>Hoàn thành XB</v>
      </c>
      <c r="X56" s="41" t="str">
        <f aca="false">IFERROR(__xludf.dummyfunction("""COMPUTED_VALUE"""),"Huent7")</f>
        <v>Huent7</v>
      </c>
      <c r="Y56" s="44"/>
      <c r="Z56" s="57"/>
      <c r="AA56" s="57" t="str">
        <f aca="false">IFERROR(__xludf.dummyfunction("""COMPUTED_VALUE"""),"EM")</f>
        <v>EM</v>
      </c>
      <c r="AB56" s="41" t="n">
        <f aca="false">IFERROR(__xludf.dummyfunction("""COMPUTED_VALUE"""),6)</f>
        <v>6</v>
      </c>
      <c r="AC56" s="57"/>
      <c r="AD56" s="46"/>
      <c r="AE56" s="46"/>
      <c r="AF56" s="47" t="str">
        <f aca="false">IFERROR(__xludf.dummyfunction("""COMPUTED_VALUE"""),"lophoctoan-946194")</f>
        <v>lophoctoan-946194</v>
      </c>
      <c r="AG56" s="46" t="str">
        <f aca="false">IFERROR(__xludf.dummyfunction("""COMPUTED_VALUE"""),"")</f>
        <v/>
      </c>
      <c r="AH56" s="53" t="b">
        <f aca="false">IFERROR(__xludf.dummyfunction("""COMPUTED_VALUE"""),TRUE())</f>
        <v>1</v>
      </c>
      <c r="AI56" s="35"/>
      <c r="AJ56" s="35"/>
      <c r="AK56" s="35"/>
      <c r="AL56" s="35"/>
      <c r="AM56" s="35"/>
      <c r="AN56" s="35"/>
      <c r="AO56" s="46"/>
    </row>
    <row r="57" customFormat="false" ht="15.75" hidden="false" customHeight="true" outlineLevel="0" collapsed="false">
      <c r="A57" s="37" t="str">
        <f aca="false">IFERROR(__xludf.dummyfunction("""COMPUTED_VALUE"""),"Đọc hiểu")</f>
        <v>Đọc hiểu</v>
      </c>
      <c r="B57" s="37" t="str">
        <f aca="false">IFERROR(__xludf.dummyfunction("""COMPUTED_VALUE"""),"TOV_TSA_DH02")</f>
        <v>TOV_TSA_DH02</v>
      </c>
      <c r="C57" s="59" t="str">
        <f aca="false">IFERROR(__xludf.dummyfunction("""COMPUTED_VALUE"""),"Luyện đọc văn bản có định hướng")</f>
        <v>Luyện đọc văn bản có định hướng</v>
      </c>
      <c r="D57" s="39" t="str">
        <f aca="false">IFERROR(__xludf.dummyfunction("""COMPUTED_VALUE"""),"Vương Thúy Hằng")</f>
        <v>Vương Thúy Hằng</v>
      </c>
      <c r="E57" s="40" t="n">
        <f aca="false">IFERROR(__xludf.dummyfunction("""COMPUTED_VALUE"""),46195)</f>
        <v>46195</v>
      </c>
      <c r="F57" s="41" t="n">
        <f aca="false">IFERROR(__xludf.dummyfunction("""COMPUTED_VALUE"""),2)</f>
        <v>2</v>
      </c>
      <c r="G57" s="37" t="str">
        <f aca="false">IFERROR(__xludf.dummyfunction("""COMPUTED_VALUE"""),"21:30-23:30")</f>
        <v>21:30-23:30</v>
      </c>
      <c r="H57" s="42" t="str">
        <f aca="false">IFERROR(__xludf.dummyfunction("""COMPUTED_VALUE"""),"https://hocmai.vn/mod/scorm/view_file.php?id=181291")</f>
        <v>https://hocmai.vn/mod/scorm/view_file.php?id=181291</v>
      </c>
      <c r="I57" s="42" t="str">
        <f aca="false">IFERROR(__xludf.dummyfunction("""COMPUTED_VALUE"""),"https://hocmai.vn/mod/scorm/view_file.php?inpopup=true&amp;id=181303")</f>
        <v>https://hocmai.vn/mod/scorm/view_file.php?inpopup=true&amp;id=181303</v>
      </c>
      <c r="J57" s="42" t="str">
        <f aca="false">IFERROR(__xludf.dummyfunction("""COMPUTED_VALUE"""),"https://drive.google.com/file/d/1I4D--9YMOYbV6laGTSr36CG-8ZuStet5/view?usp=drive_link")</f>
        <v>https://drive.google.com/file/d/1I4D--9YMOYbV6laGTSr36CG-8ZuStet5/view?usp=drive_link</v>
      </c>
      <c r="K57" s="68" t="str">
        <f aca="false">IFERROR(__xludf.dummyfunction("""COMPUTED_VALUE"""),"Hangvt3")</f>
        <v>Hangvt3</v>
      </c>
      <c r="L57" s="68" t="str">
        <f aca="false">IFERROR(__xludf.dummyfunction("""COMPUTED_VALUE"""),"Phan Đức Kiên")</f>
        <v>Phan Đức Kiên</v>
      </c>
      <c r="M57" s="71"/>
      <c r="N57" s="77" t="str">
        <f aca="false">IFERROR(__xludf.dummyfunction("""COMPUTED_VALUE"""),"3109")</f>
        <v>3109</v>
      </c>
      <c r="O57" s="63" t="n">
        <f aca="false">IFERROR(__xludf.dummyfunction("""COMPUTED_VALUE"""),167225)</f>
        <v>167225</v>
      </c>
      <c r="P57" s="63"/>
      <c r="Q57" s="63"/>
      <c r="R57" s="41"/>
      <c r="S57" s="41"/>
      <c r="T57" s="63"/>
      <c r="U57" s="63"/>
      <c r="V57" s="70" t="n">
        <f aca="false">IFERROR(__xludf.dummyfunction("""COMPUTED_VALUE"""),46198)</f>
        <v>46198</v>
      </c>
      <c r="W57" s="39" t="str">
        <f aca="false">IFERROR(__xludf.dummyfunction("""COMPUTED_VALUE"""),"Hoàn thành XB")</f>
        <v>Hoàn thành XB</v>
      </c>
      <c r="X57" s="41" t="str">
        <f aca="false">IFERROR(__xludf.dummyfunction("""COMPUTED_VALUE"""),"Hoantt")</f>
        <v>Hoantt</v>
      </c>
      <c r="Y57" s="44" t="str">
        <f aca="false">IFERROR(__xludf.dummyfunction("""COMPUTED_VALUE"""),"done")</f>
        <v>done</v>
      </c>
      <c r="Z57" s="57" t="str">
        <f aca="false">IFERROR(__xludf.dummyfunction("""COMPUTED_VALUE"""),"#N/A")</f>
        <v>#N/A</v>
      </c>
      <c r="AA57" s="57"/>
      <c r="AB57" s="41" t="n">
        <f aca="false">IFERROR(__xludf.dummyfunction("""COMPUTED_VALUE"""),6)</f>
        <v>6</v>
      </c>
      <c r="AC57" s="57" t="str">
        <f aca="false">IFERROR(__xludf.dummyfunction("""COMPUTED_VALUE"""),"gv.hangvt@hocmai.edu.vn ")</f>
        <v>gv.hangvt@hocmai.edu.vn </v>
      </c>
      <c r="AD57" s="46" t="str">
        <f aca="false">IFERROR(__xludf.dummyfunction("""COMPUTED_VALUE"""),"duckien010607@gmail.com")</f>
        <v>duckien010607@gmail.com</v>
      </c>
      <c r="AE57" s="46"/>
      <c r="AF57" s="47" t="str">
        <f aca="false">IFERROR(__xludf.dummyfunction("""COMPUTED_VALUE"""),"lophoctoan-946195")</f>
        <v>lophoctoan-946195</v>
      </c>
      <c r="AG57" s="46" t="str">
        <f aca="false">IFERROR(__xludf.dummyfunction("""COMPUTED_VALUE"""),"")</f>
        <v/>
      </c>
      <c r="AH57" s="35"/>
      <c r="AI57" s="53" t="b">
        <f aca="false">IFERROR(__xludf.dummyfunction("""COMPUTED_VALUE"""),TRUE())</f>
        <v>1</v>
      </c>
      <c r="AJ57" s="35"/>
      <c r="AK57" s="35"/>
      <c r="AL57" s="35"/>
      <c r="AM57" s="35"/>
      <c r="AN57" s="35"/>
      <c r="AO57" s="46"/>
    </row>
    <row r="58" customFormat="false" ht="15.75" hidden="false" customHeight="true" outlineLevel="0" collapsed="false">
      <c r="A58" s="37" t="str">
        <f aca="false">IFERROR(__xludf.dummyfunction("""COMPUTED_VALUE"""),"Tiếng Anh")</f>
        <v>Tiếng Anh</v>
      </c>
      <c r="B58" s="37" t="str">
        <f aca="false">IFERROR(__xludf.dummyfunction("""COMPUTED_VALUE"""),"TOV_HV_TA02")</f>
        <v>TOV_HV_TA02</v>
      </c>
      <c r="C58" s="59" t="str">
        <f aca="false">IFERROR(__xludf.dummyfunction("""COMPUTED_VALUE"""),"Cấu tạo từ - Trật tự từ - Phép song hành")</f>
        <v>Cấu tạo từ - Trật tự từ - Phép song hành</v>
      </c>
      <c r="D58" s="39" t="str">
        <f aca="false">IFERROR(__xludf.dummyfunction("""COMPUTED_VALUE"""),"Nguyễn Thanh Hương")</f>
        <v>Nguyễn Thanh Hương</v>
      </c>
      <c r="E58" s="40" t="n">
        <f aca="false">IFERROR(__xludf.dummyfunction("""COMPUTED_VALUE"""),46195)</f>
        <v>46195</v>
      </c>
      <c r="F58" s="41" t="n">
        <f aca="false">IFERROR(__xludf.dummyfunction("""COMPUTED_VALUE"""),2)</f>
        <v>2</v>
      </c>
      <c r="G58" s="37" t="str">
        <f aca="false">IFERROR(__xludf.dummyfunction("""COMPUTED_VALUE"""),"20:00-22:00")</f>
        <v>20:00-22:00</v>
      </c>
      <c r="H58" s="42" t="str">
        <f aca="false">IFERROR(__xludf.dummyfunction("""COMPUTED_VALUE"""),"https://hocmai.vn/file.php/3140/TLHS_TOV_HV_TA0_Cau_tao_tu_-_Trat_tu_tu_-_Phep_song_hanh.pdf")</f>
        <v>https://hocmai.vn/file.php/3140/TLHS_TOV_HV_TA0_Cau_tao_tu_-_Trat_tu_tu_-_Phep_song_hanh.pdf</v>
      </c>
      <c r="I58" s="42" t="str">
        <f aca="false">IFERROR(__xludf.dummyfunction("""COMPUTED_VALUE"""),"https://hocmai.vn/mod/scorm/view_file.php?inpopup=true&amp;id=181331")</f>
        <v>https://hocmai.vn/mod/scorm/view_file.php?inpopup=true&amp;id=181331</v>
      </c>
      <c r="J58" s="42" t="str">
        <f aca="false">IFERROR(__xludf.dummyfunction("""COMPUTED_VALUE"""),"https://drive.google.com/file/d/1zSIPT2y1-wItf9l7W5XZUV2vHGzXLhOd/view?usp=drive_link")</f>
        <v>https://drive.google.com/file/d/1zSIPT2y1-wItf9l7W5XZUV2vHGzXLhOd/view?usp=drive_link</v>
      </c>
      <c r="K58" s="68" t="str">
        <f aca="false">IFERROR(__xludf.dummyfunction("""COMPUTED_VALUE"""),"Dienlt")</f>
        <v>Dienlt</v>
      </c>
      <c r="L58" s="68" t="str">
        <f aca="false">IFERROR(__xludf.dummyfunction("""COMPUTED_VALUE"""),"Nguyễn Lê Thụy Quyên ")</f>
        <v>Nguyễn Lê Thụy Quyên </v>
      </c>
      <c r="M58" s="71"/>
      <c r="N58" s="77" t="str">
        <f aca="false">IFERROR(__xludf.dummyfunction("""COMPUTED_VALUE"""),"3140,3165")</f>
        <v>3140,3165</v>
      </c>
      <c r="O58" s="73" t="n">
        <f aca="false">IFERROR(__xludf.dummyfunction("""COMPUTED_VALUE"""),167538.167606)</f>
        <v>167538.167606</v>
      </c>
      <c r="P58" s="63" t="str">
        <f aca="false">IFERROR(__xludf.dummyfunction("""COMPUTED_VALUE"""),"9030,9038,9047")</f>
        <v>9030,9038,9047</v>
      </c>
      <c r="Q58" s="63"/>
      <c r="R58" s="41"/>
      <c r="S58" s="41"/>
      <c r="T58" s="63"/>
      <c r="U58" s="63"/>
      <c r="V58" s="70" t="n">
        <f aca="false">IFERROR(__xludf.dummyfunction("""COMPUTED_VALUE"""),46198)</f>
        <v>46198</v>
      </c>
      <c r="W58" s="39" t="str">
        <f aca="false">IFERROR(__xludf.dummyfunction("""COMPUTED_VALUE"""),"Hoàn thành XB")</f>
        <v>Hoàn thành XB</v>
      </c>
      <c r="X58" s="41" t="str">
        <f aca="false">IFERROR(__xludf.dummyfunction("""COMPUTED_VALUE"""),"Dienlt")</f>
        <v>Dienlt</v>
      </c>
      <c r="Y58" s="44" t="str">
        <f aca="false">IFERROR(__xludf.dummyfunction("""COMPUTED_VALUE"""),"done")</f>
        <v>done</v>
      </c>
      <c r="Z58" s="57" t="str">
        <f aca="false">IFERROR(__xludf.dummyfunction("""COMPUTED_VALUE"""),"#N/A")</f>
        <v>#N/A</v>
      </c>
      <c r="AA58" s="57"/>
      <c r="AB58" s="41" t="n">
        <f aca="false">IFERROR(__xludf.dummyfunction("""COMPUTED_VALUE"""),6)</f>
        <v>6</v>
      </c>
      <c r="AC58" s="57" t="str">
        <f aca="false">IFERROR(__xludf.dummyfunction("""COMPUTED_VALUE"""),"gv.huongnt@hocmai.edu.vn ")</f>
        <v>gv.huongnt@hocmai.edu.vn </v>
      </c>
      <c r="AD58" s="46" t="str">
        <f aca="false">IFERROR(__xludf.dummyfunction("""COMPUTED_VALUE"""),"nguyenlethuyquyencp@gmail.com")</f>
        <v>nguyenlethuyquyencp@gmail.com</v>
      </c>
      <c r="AE58" s="46"/>
      <c r="AF58" s="47" t="str">
        <f aca="false">IFERROR(__xludf.dummyfunction("""COMPUTED_VALUE"""),"lophoctienganh46195")</f>
        <v>lophoctienganh46195</v>
      </c>
      <c r="AG58" s="46" t="str">
        <f aca="false">IFERROR(__xludf.dummyfunction("""COMPUTED_VALUE"""),"")</f>
        <v/>
      </c>
      <c r="AH58" s="35"/>
      <c r="AI58" s="35"/>
      <c r="AJ58" s="53" t="b">
        <f aca="false">IFERROR(__xludf.dummyfunction("""COMPUTED_VALUE"""),TRUE())</f>
        <v>1</v>
      </c>
      <c r="AK58" s="53" t="b">
        <f aca="false">IFERROR(__xludf.dummyfunction("""COMPUTED_VALUE"""),TRUE())</f>
        <v>1</v>
      </c>
      <c r="AL58" s="35"/>
      <c r="AM58" s="53" t="b">
        <f aca="false">IFERROR(__xludf.dummyfunction("""COMPUTED_VALUE"""),TRUE())</f>
        <v>1</v>
      </c>
      <c r="AN58" s="35"/>
      <c r="AO58" s="46"/>
    </row>
    <row r="59" customFormat="false" ht="15.75" hidden="false" customHeight="true" outlineLevel="0" collapsed="false">
      <c r="A59" s="37" t="str">
        <f aca="false">IFERROR(__xludf.dummyfunction("""COMPUTED_VALUE"""),"Hóa học ")</f>
        <v>Hóa học </v>
      </c>
      <c r="B59" s="37" t="str">
        <f aca="false">IFERROR(__xludf.dummyfunction("""COMPUTED_VALUE"""),"TOV_HSA_HH02")</f>
        <v>TOV_HSA_HH02</v>
      </c>
      <c r="C59" s="59" t="str">
        <f aca="false">IFERROR(__xludf.dummyfunction("""COMPUTED_VALUE"""),"Bảng tuần hoàn và xu hướng biến đổi")</f>
        <v>Bảng tuần hoàn và xu hướng biến đổi</v>
      </c>
      <c r="D59" s="39" t="str">
        <f aca="false">IFERROR(__xludf.dummyfunction("""COMPUTED_VALUE"""),"Chu Hải Long")</f>
        <v>Chu Hải Long</v>
      </c>
      <c r="E59" s="40" t="n">
        <f aca="false">IFERROR(__xludf.dummyfunction("""COMPUTED_VALUE"""),46195)</f>
        <v>46195</v>
      </c>
      <c r="F59" s="41" t="n">
        <f aca="false">IFERROR(__xludf.dummyfunction("""COMPUTED_VALUE"""),2)</f>
        <v>2</v>
      </c>
      <c r="G59" s="37" t="str">
        <f aca="false">IFERROR(__xludf.dummyfunction("""COMPUTED_VALUE"""),"20:00-22:00")</f>
        <v>20:00-22:00</v>
      </c>
      <c r="H59" s="42" t="str">
        <f aca="false">IFERROR(__xludf.dummyfunction("""COMPUTED_VALUE"""),"https://hocmai.vn/mod/scorm/view_file.php?id=181275")</f>
        <v>https://hocmai.vn/mod/scorm/view_file.php?id=181275</v>
      </c>
      <c r="I59" s="42" t="str">
        <f aca="false">IFERROR(__xludf.dummyfunction("""COMPUTED_VALUE"""),"https://hocmai.vn/mod/scorm/view_file.php?id=181288")</f>
        <v>https://hocmai.vn/mod/scorm/view_file.php?id=181288</v>
      </c>
      <c r="J59" s="42" t="str">
        <f aca="false">IFERROR(__xludf.dummyfunction("""COMPUTED_VALUE"""),"2. TOV_HSA_HH02 – BẢNG TUẦN HOÀN VÀ XU HƯỚNG BIẾN ĐỔI")</f>
        <v>2. TOV_HSA_HH02 – BẢNG TUẦN HOÀN VÀ XU HƯỚNG BIẾN ĐỔI</v>
      </c>
      <c r="K59" s="68" t="str">
        <f aca="false">IFERROR(__xludf.dummyfunction("""COMPUTED_VALUE"""),"Huebt")</f>
        <v>Huebt</v>
      </c>
      <c r="L59" s="68" t="str">
        <f aca="false">IFERROR(__xludf.dummyfunction("""COMPUTED_VALUE"""),"Võ Hương Giang")</f>
        <v>Võ Hương Giang</v>
      </c>
      <c r="M59" s="71"/>
      <c r="N59" s="77" t="str">
        <f aca="false">IFERROR(__xludf.dummyfunction("""COMPUTED_VALUE"""),"3120")</f>
        <v>3120</v>
      </c>
      <c r="O59" s="63" t="n">
        <f aca="false">IFERROR(__xludf.dummyfunction("""COMPUTED_VALUE"""),167426)</f>
        <v>167426</v>
      </c>
      <c r="P59" s="63"/>
      <c r="Q59" s="63"/>
      <c r="R59" s="41"/>
      <c r="S59" s="41"/>
      <c r="T59" s="63" t="n">
        <f aca="false">IFERROR(__xludf.dummyfunction("""COMPUTED_VALUE"""),23594)</f>
        <v>23594</v>
      </c>
      <c r="U59" s="63" t="n">
        <f aca="false">IFERROR(__xludf.dummyfunction("""COMPUTED_VALUE"""),10479)</f>
        <v>10479</v>
      </c>
      <c r="V59" s="70" t="n">
        <f aca="false">IFERROR(__xludf.dummyfunction("""COMPUTED_VALUE"""),46198)</f>
        <v>46198</v>
      </c>
      <c r="W59" s="39" t="str">
        <f aca="false">IFERROR(__xludf.dummyfunction("""COMPUTED_VALUE"""),"Hoàn thành XB")</f>
        <v>Hoàn thành XB</v>
      </c>
      <c r="X59" s="41" t="str">
        <f aca="false">IFERROR(__xludf.dummyfunction("""COMPUTED_VALUE"""),"Huebt")</f>
        <v>Huebt</v>
      </c>
      <c r="Y59" s="44" t="str">
        <f aca="false">IFERROR(__xludf.dummyfunction("""COMPUTED_VALUE"""),"done")</f>
        <v>done</v>
      </c>
      <c r="Z59" s="57" t="str">
        <f aca="false">IFERROR(__xludf.dummyfunction("""COMPUTED_VALUE"""),"#N/A")</f>
        <v>#N/A</v>
      </c>
      <c r="AA59" s="57"/>
      <c r="AB59" s="41" t="n">
        <f aca="false">IFERROR(__xludf.dummyfunction("""COMPUTED_VALUE"""),6)</f>
        <v>6</v>
      </c>
      <c r="AC59" s="57" t="str">
        <f aca="false">IFERROR(__xludf.dummyfunction("""COMPUTED_VALUE"""),"gv.longch@hocmai.edu.vn")</f>
        <v>gv.longch@hocmai.edu.vn</v>
      </c>
      <c r="AD59" s="46" t="str">
        <f aca="false">IFERROR(__xludf.dummyfunction("""COMPUTED_VALUE"""),"giangvh@ctv.hocmai.vn")</f>
        <v>giangvh@ctv.hocmai.vn</v>
      </c>
      <c r="AE59" s="46"/>
      <c r="AF59" s="74" t="b">
        <f aca="false">IFERROR(__xludf.dummyfunction("""COMPUTED_VALUE"""),FALSE())</f>
        <v>0</v>
      </c>
      <c r="AG59" s="46" t="str">
        <f aca="false">IFERROR(__xludf.dummyfunction("""COMPUTED_VALUE"""),"")</f>
        <v/>
      </c>
      <c r="AH59" s="35"/>
      <c r="AI59" s="35"/>
      <c r="AJ59" s="53" t="b">
        <f aca="false">IFERROR(__xludf.dummyfunction("""COMPUTED_VALUE"""),TRUE())</f>
        <v>1</v>
      </c>
      <c r="AK59" s="53" t="b">
        <f aca="false">IFERROR(__xludf.dummyfunction("""COMPUTED_VALUE"""),TRUE())</f>
        <v>1</v>
      </c>
      <c r="AL59" s="35"/>
      <c r="AM59" s="35"/>
      <c r="AN59" s="35"/>
      <c r="AO59" s="46"/>
    </row>
    <row r="60" customFormat="false" ht="15.75" hidden="false" customHeight="true" outlineLevel="0" collapsed="false">
      <c r="A60" s="37" t="str">
        <f aca="false">IFERROR(__xludf.dummyfunction("""COMPUTED_VALUE"""),"Toán")</f>
        <v>Toán</v>
      </c>
      <c r="B60" s="37" t="str">
        <f aca="false">IFERROR(__xludf.dummyfunction("""COMPUTED_VALUE"""),"TOV_TC_T02")</f>
        <v>TOV_TC_T02</v>
      </c>
      <c r="C60" s="59" t="str">
        <f aca="false">IFERROR(__xludf.dummyfunction("""COMPUTED_VALUE"""),"Các dạng câu hỏi điển hình về hàm số (P2)")</f>
        <v>Các dạng câu hỏi điển hình về hàm số (P2)</v>
      </c>
      <c r="D60" s="39" t="str">
        <f aca="false">IFERROR(__xludf.dummyfunction("""COMPUTED_VALUE"""),"Nguyễn Thanh Tùng")</f>
        <v>Nguyễn Thanh Tùng</v>
      </c>
      <c r="E60" s="40" t="n">
        <f aca="false">IFERROR(__xludf.dummyfunction("""COMPUTED_VALUE"""),46196)</f>
        <v>46196</v>
      </c>
      <c r="F60" s="41" t="n">
        <f aca="false">IFERROR(__xludf.dummyfunction("""COMPUTED_VALUE"""),3)</f>
        <v>3</v>
      </c>
      <c r="G60" s="37" t="str">
        <f aca="false">IFERROR(__xludf.dummyfunction("""COMPUTED_VALUE"""),"21:00-23:00")</f>
        <v>21:00-23:00</v>
      </c>
      <c r="H60" s="42" t="str">
        <f aca="false">IFERROR(__xludf.dummyfunction("""COMPUTED_VALUE"""),"https://hocmai.vn/file.php/3127/Tai_lieu_live_2026_-_2027/TLHS_TOV_TC_T02_CAC_DANG_CAU_HOI_DIEN_HINH_VE_HAM_SO_P2_.pdf")</f>
        <v>https://hocmai.vn/file.php/3127/Tai_lieu_live_2026_-_2027/TLHS_TOV_TC_T02_CAC_DANG_CAU_HOI_DIEN_HINH_VE_HAM_SO_P2_.pdf</v>
      </c>
      <c r="I60" s="37"/>
      <c r="J60" s="42" t="str">
        <f aca="false">IFERROR(__xludf.dummyfunction("""COMPUTED_VALUE"""),"https://drive.google.com/drive/folders/1pyNO0Em49CNepL2ayQ_d3u0JUCf7am5n?usp=drive_link")</f>
        <v>https://drive.google.com/drive/folders/1pyNO0Em49CNepL2ayQ_d3u0JUCf7am5n?usp=drive_link</v>
      </c>
      <c r="K60" s="68" t="str">
        <f aca="false">IFERROR(__xludf.dummyfunction("""COMPUTED_VALUE"""),"Chientd2")</f>
        <v>Chientd2</v>
      </c>
      <c r="L60" s="68" t="str">
        <f aca="false">IFERROR(__xludf.dummyfunction("""COMPUTED_VALUE"""),"Tưởng Thị Huyền Trang")</f>
        <v>Tưởng Thị Huyền Trang</v>
      </c>
      <c r="M60" s="71"/>
      <c r="N60" s="77" t="str">
        <f aca="false">IFERROR(__xludf.dummyfunction("""COMPUTED_VALUE"""),"3108,3117,3315,3127,3314")</f>
        <v>3108,3117,3315,3127,3314</v>
      </c>
      <c r="O60" s="63" t="str">
        <f aca="false">IFERROR(__xludf.dummyfunction("""COMPUTED_VALUE"""),"168357, 168572, 168313, 167460, 167060")</f>
        <v>168357, 168572, 168313, 167460, 167060</v>
      </c>
      <c r="P60" s="63" t="str">
        <f aca="false">IFERROR(__xludf.dummyfunction("""COMPUTED_VALUE"""),"9025,9028,9036,9104,9106,9017,9102")</f>
        <v>9025,9028,9036,9104,9106,9017,9102</v>
      </c>
      <c r="Q60" s="63" t="n">
        <f aca="false">IFERROR(__xludf.dummyfunction("""COMPUTED_VALUE"""),167060)</f>
        <v>167060</v>
      </c>
      <c r="R60" s="41"/>
      <c r="S60" s="41"/>
      <c r="T60" s="63" t="str">
        <f aca="false">IFERROR(__xludf.dummyfunction("""COMPUTED_VALUE"""),"23596, 23598, 23599")</f>
        <v>23596, 23598, 23599</v>
      </c>
      <c r="U60" s="63"/>
      <c r="V60" s="70" t="n">
        <f aca="false">IFERROR(__xludf.dummyfunction("""COMPUTED_VALUE"""),46199)</f>
        <v>46199</v>
      </c>
      <c r="W60" s="39" t="str">
        <f aca="false">IFERROR(__xludf.dummyfunction("""COMPUTED_VALUE"""),"Hoàn thành XB")</f>
        <v>Hoàn thành XB</v>
      </c>
      <c r="X60" s="41" t="str">
        <f aca="false">IFERROR(__xludf.dummyfunction("""COMPUTED_VALUE"""),"Chientd2")</f>
        <v>Chientd2</v>
      </c>
      <c r="Y60" s="44" t="str">
        <f aca="false">IFERROR(__xludf.dummyfunction("""COMPUTED_VALUE"""),"done")</f>
        <v>done</v>
      </c>
      <c r="Z60" s="57" t="str">
        <f aca="false">IFERROR(__xludf.dummyfunction("""COMPUTED_VALUE"""),"#N/A")</f>
        <v>#N/A</v>
      </c>
      <c r="AA60" s="57"/>
      <c r="AB60" s="41" t="n">
        <f aca="false">IFERROR(__xludf.dummyfunction("""COMPUTED_VALUE"""),6)</f>
        <v>6</v>
      </c>
      <c r="AC60" s="57" t="str">
        <f aca="false">IFERROR(__xludf.dummyfunction("""COMPUTED_VALUE"""),"gv.tungnt@hocmai.edu.vn ")</f>
        <v>gv.tungnt@hocmai.edu.vn </v>
      </c>
      <c r="AD60" s="46" t="str">
        <f aca="false">IFERROR(__xludf.dummyfunction("""COMPUTED_VALUE"""),"trangcrazy699@gmail.com")</f>
        <v>trangcrazy699@gmail.com</v>
      </c>
      <c r="AE60" s="46"/>
      <c r="AF60" s="47" t="str">
        <f aca="false">IFERROR(__xludf.dummyfunction("""COMPUTED_VALUE"""),"lophoctoan-946196")</f>
        <v>lophoctoan-946196</v>
      </c>
      <c r="AG60" s="46" t="str">
        <f aca="false">IFERROR(__xludf.dummyfunction("""COMPUTED_VALUE"""),"")</f>
        <v/>
      </c>
      <c r="AH60" s="35"/>
      <c r="AI60" s="53" t="b">
        <f aca="false">IFERROR(__xludf.dummyfunction("""COMPUTED_VALUE"""),TRUE())</f>
        <v>1</v>
      </c>
      <c r="AJ60" s="53" t="b">
        <f aca="false">IFERROR(__xludf.dummyfunction("""COMPUTED_VALUE"""),TRUE())</f>
        <v>1</v>
      </c>
      <c r="AK60" s="53" t="b">
        <f aca="false">IFERROR(__xludf.dummyfunction("""COMPUTED_VALUE"""),TRUE())</f>
        <v>1</v>
      </c>
      <c r="AL60" s="53" t="b">
        <f aca="false">IFERROR(__xludf.dummyfunction("""COMPUTED_VALUE"""),TRUE())</f>
        <v>1</v>
      </c>
      <c r="AM60" s="35"/>
      <c r="AN60" s="35"/>
      <c r="AO60" s="46"/>
    </row>
    <row r="61" customFormat="false" ht="15.75" hidden="false" customHeight="true" outlineLevel="0" collapsed="false">
      <c r="A61" s="37" t="str">
        <f aca="false">IFERROR(__xludf.dummyfunction("""COMPUTED_VALUE"""),"Tiếng Việt")</f>
        <v>Tiếng Việt</v>
      </c>
      <c r="B61" s="37" t="str">
        <f aca="false">IFERROR(__xludf.dummyfunction("""COMPUTED_VALUE"""),"TOV_V-ACT_TV02")</f>
        <v>TOV_V-ACT_TV02</v>
      </c>
      <c r="C61" s="59" t="str">
        <f aca="false">IFERROR(__xludf.dummyfunction("""COMPUTED_VALUE"""),"Khái quát lịch sử văn học Việt Nam")</f>
        <v>Khái quát lịch sử văn học Việt Nam</v>
      </c>
      <c r="D61" s="39" t="str">
        <f aca="false">IFERROR(__xludf.dummyfunction("""COMPUTED_VALUE"""),"Văn Trịnh Quỳnh An")</f>
        <v>Văn Trịnh Quỳnh An</v>
      </c>
      <c r="E61" s="40" t="n">
        <f aca="false">IFERROR(__xludf.dummyfunction("""COMPUTED_VALUE"""),46196)</f>
        <v>46196</v>
      </c>
      <c r="F61" s="41" t="n">
        <f aca="false">IFERROR(__xludf.dummyfunction("""COMPUTED_VALUE"""),3)</f>
        <v>3</v>
      </c>
      <c r="G61" s="37" t="str">
        <f aca="false">IFERROR(__xludf.dummyfunction("""COMPUTED_VALUE"""),"20:00-21:30")</f>
        <v>20:00-21:30</v>
      </c>
      <c r="H61" s="42" t="str">
        <f aca="false">IFERROR(__xludf.dummyfunction("""COMPUTED_VALUE"""),"https://hocmai.vn/mod/scorm/view_file.php?inpopup=true&amp;id=181449")</f>
        <v>https://hocmai.vn/mod/scorm/view_file.php?inpopup=true&amp;id=181449</v>
      </c>
      <c r="I61" s="42" t="str">
        <f aca="false">IFERROR(__xludf.dummyfunction("""COMPUTED_VALUE"""),"https://hocmai.vn/mod/scorm/view_file.php?inpopup=true&amp;id=181469")</f>
        <v>https://hocmai.vn/mod/scorm/view_file.php?inpopup=true&amp;id=181469</v>
      </c>
      <c r="J61" s="42" t="str">
        <f aca="false">IFERROR(__xludf.dummyfunction("""COMPUTED_VALUE"""),"https://drive.google.com/drive/folders/1JHDqVb3xRrwGnYimgACRrgTW5zPkDchA")</f>
        <v>https://drive.google.com/drive/folders/1JHDqVb3xRrwGnYimgACRrgTW5zPkDchA</v>
      </c>
      <c r="K61" s="68" t="str">
        <f aca="false">IFERROR(__xludf.dummyfunction("""COMPUTED_VALUE"""),"Hangvt3")</f>
        <v>Hangvt3</v>
      </c>
      <c r="L61" s="68" t="str">
        <f aca="false">IFERROR(__xludf.dummyfunction("""COMPUTED_VALUE"""),"Bùi Vĩnh Thọ")</f>
        <v>Bùi Vĩnh Thọ</v>
      </c>
      <c r="M61" s="71"/>
      <c r="N61" s="77" t="str">
        <f aca="false">IFERROR(__xludf.dummyfunction("""COMPUTED_VALUE"""),"3125,3338")</f>
        <v>3125,3338</v>
      </c>
      <c r="O61" s="63" t="n">
        <f aca="false">IFERROR(__xludf.dummyfunction("""COMPUTED_VALUE"""),167354)</f>
        <v>167354</v>
      </c>
      <c r="P61" s="63"/>
      <c r="Q61" s="63"/>
      <c r="R61" s="41"/>
      <c r="S61" s="41"/>
      <c r="T61" s="63"/>
      <c r="U61" s="63"/>
      <c r="V61" s="70" t="n">
        <f aca="false">IFERROR(__xludf.dummyfunction("""COMPUTED_VALUE"""),46199)</f>
        <v>46199</v>
      </c>
      <c r="W61" s="39" t="str">
        <f aca="false">IFERROR(__xludf.dummyfunction("""COMPUTED_VALUE"""),"Hoàn thành XB")</f>
        <v>Hoàn thành XB</v>
      </c>
      <c r="X61" s="41" t="str">
        <f aca="false">IFERROR(__xludf.dummyfunction("""COMPUTED_VALUE"""),"Hoantt")</f>
        <v>Hoantt</v>
      </c>
      <c r="Y61" s="44" t="str">
        <f aca="false">IFERROR(__xludf.dummyfunction("""COMPUTED_VALUE"""),"done")</f>
        <v>done</v>
      </c>
      <c r="Z61" s="57" t="str">
        <f aca="false">IFERROR(__xludf.dummyfunction("""COMPUTED_VALUE"""),"#N/A")</f>
        <v>#N/A</v>
      </c>
      <c r="AA61" s="57"/>
      <c r="AB61" s="41" t="n">
        <f aca="false">IFERROR(__xludf.dummyfunction("""COMPUTED_VALUE"""),6)</f>
        <v>6</v>
      </c>
      <c r="AC61" s="57" t="str">
        <f aca="false">IFERROR(__xludf.dummyfunction("""COMPUTED_VALUE"""),"gv.anvtq@hocmai.edu.vn ")</f>
        <v>gv.anvtq@hocmai.edu.vn </v>
      </c>
      <c r="AD61" s="46" t="str">
        <f aca="false">IFERROR(__xludf.dummyfunction("""COMPUTED_VALUE"""),"vinhtho0704@gmail.com")</f>
        <v>vinhtho0704@gmail.com</v>
      </c>
      <c r="AE61" s="46"/>
      <c r="AF61" s="74" t="b">
        <f aca="false">IFERROR(__xludf.dummyfunction("""COMPUTED_VALUE"""),FALSE())</f>
        <v>0</v>
      </c>
      <c r="AG61" s="46" t="str">
        <f aca="false">IFERROR(__xludf.dummyfunction("""COMPUTED_VALUE"""),"")</f>
        <v/>
      </c>
      <c r="AH61" s="35"/>
      <c r="AI61" s="35"/>
      <c r="AJ61" s="35"/>
      <c r="AK61" s="35"/>
      <c r="AL61" s="35"/>
      <c r="AM61" s="53" t="b">
        <f aca="false">IFERROR(__xludf.dummyfunction("""COMPUTED_VALUE"""),TRUE())</f>
        <v>1</v>
      </c>
      <c r="AN61" s="53" t="b">
        <f aca="false">IFERROR(__xludf.dummyfunction("""COMPUTED_VALUE"""),FALSE())</f>
        <v>0</v>
      </c>
      <c r="AO61" s="46"/>
    </row>
    <row r="62" customFormat="false" ht="15.75" hidden="false" customHeight="true" outlineLevel="0" collapsed="false">
      <c r="A62" s="37" t="str">
        <f aca="false">IFERROR(__xludf.dummyfunction("""COMPUTED_VALUE"""),"Khoa học")</f>
        <v>Khoa học</v>
      </c>
      <c r="B62" s="37" t="str">
        <f aca="false">IFERROR(__xludf.dummyfunction("""COMPUTED_VALUE"""),"TOS_V-ACT_KH02")</f>
        <v>TOS_V-ACT_KH02</v>
      </c>
      <c r="C62" s="59" t="str">
        <f aca="false">IFERROR(__xludf.dummyfunction("""COMPUTED_VALUE"""),"Kỹ năng scan &amp; skim – Chọn từ khóa trong văn bản khoa học.")</f>
        <v>Kỹ năng scan &amp; skim – Chọn từ khóa trong văn bản khoa học.</v>
      </c>
      <c r="D62" s="39" t="str">
        <f aca="false">IFERROR(__xludf.dummyfunction("""COMPUTED_VALUE"""),"Lê Văn Minh")</f>
        <v>Lê Văn Minh</v>
      </c>
      <c r="E62" s="40" t="n">
        <f aca="false">IFERROR(__xludf.dummyfunction("""COMPUTED_VALUE"""),46196)</f>
        <v>46196</v>
      </c>
      <c r="F62" s="41" t="n">
        <f aca="false">IFERROR(__xludf.dummyfunction("""COMPUTED_VALUE"""),3)</f>
        <v>3</v>
      </c>
      <c r="G62" s="37" t="str">
        <f aca="false">IFERROR(__xludf.dummyfunction("""COMPUTED_VALUE"""),"20:00-21:30")</f>
        <v>20:00-21:30</v>
      </c>
      <c r="H62" s="42" t="str">
        <f aca="false">IFERROR(__xludf.dummyfunction("""COMPUTED_VALUE"""),"https://hocmai.vn/mod/scorm/view_file.php?id=181063")</f>
        <v>https://hocmai.vn/mod/scorm/view_file.php?id=181063</v>
      </c>
      <c r="I62" s="42" t="str">
        <f aca="false">IFERROR(__xludf.dummyfunction("""COMPUTED_VALUE"""),"https://hocmai.vn/mod/scorm/view_file.php?inpopup=true&amp;id=181079")</f>
        <v>https://hocmai.vn/mod/scorm/view_file.php?inpopup=true&amp;id=181079</v>
      </c>
      <c r="J62" s="42" t="str">
        <f aca="false">IFERROR(__xludf.dummyfunction("""COMPUTED_VALUE"""),"https://drive.google.com/drive/folders/12ECceLYypgjNBQZUsOfyhJVoXlEymYHg")</f>
        <v>https://drive.google.com/drive/folders/12ECceLYypgjNBQZUsOfyhJVoXlEymYHg</v>
      </c>
      <c r="K62" s="68" t="str">
        <f aca="false">IFERROR(__xludf.dummyfunction("""COMPUTED_VALUE"""),"Trinhntt")</f>
        <v>Trinhntt</v>
      </c>
      <c r="L62" s="68" t="str">
        <f aca="false">IFERROR(__xludf.dummyfunction("""COMPUTED_VALUE"""),"Lê Quốc Việt")</f>
        <v>Lê Quốc Việt</v>
      </c>
      <c r="M62" s="71"/>
      <c r="N62" s="77" t="str">
        <f aca="false">IFERROR(__xludf.dummyfunction("""COMPUTED_VALUE"""),"3340")</f>
        <v>3340</v>
      </c>
      <c r="O62" s="63" t="n">
        <f aca="false">IFERROR(__xludf.dummyfunction("""COMPUTED_VALUE"""),167493)</f>
        <v>167493</v>
      </c>
      <c r="P62" s="63"/>
      <c r="Q62" s="63"/>
      <c r="R62" s="41"/>
      <c r="S62" s="41"/>
      <c r="T62" s="63"/>
      <c r="U62" s="63"/>
      <c r="V62" s="70" t="n">
        <f aca="false">IFERROR(__xludf.dummyfunction("""COMPUTED_VALUE"""),46199)</f>
        <v>46199</v>
      </c>
      <c r="W62" s="39" t="str">
        <f aca="false">IFERROR(__xludf.dummyfunction("""COMPUTED_VALUE"""),"Hoàn thành XB")</f>
        <v>Hoàn thành XB</v>
      </c>
      <c r="X62" s="41" t="str">
        <f aca="false">IFERROR(__xludf.dummyfunction("""COMPUTED_VALUE"""),"Kimnq")</f>
        <v>Kimnq</v>
      </c>
      <c r="Y62" s="44" t="str">
        <f aca="false">IFERROR(__xludf.dummyfunction("""COMPUTED_VALUE"""),"done")</f>
        <v>done</v>
      </c>
      <c r="Z62" s="57" t="str">
        <f aca="false">IFERROR(__xludf.dummyfunction("""COMPUTED_VALUE"""),"#N/A")</f>
        <v>#N/A</v>
      </c>
      <c r="AA62" s="57"/>
      <c r="AB62" s="41" t="n">
        <f aca="false">IFERROR(__xludf.dummyfunction("""COMPUTED_VALUE"""),6)</f>
        <v>6</v>
      </c>
      <c r="AC62" s="57" t="str">
        <f aca="false">IFERROR(__xludf.dummyfunction("""COMPUTED_VALUE"""),"gv.minhlv@hocmai.edu.vn		")</f>
        <v>gv.minhlv@hocmai.edu.vn		</v>
      </c>
      <c r="AD62" s="46" t="str">
        <f aca="false">IFERROR(__xludf.dummyfunction("""COMPUTED_VALUE"""),"Ralph02091@gmail.com")</f>
        <v>Ralph02091@gmail.com</v>
      </c>
      <c r="AE62" s="46"/>
      <c r="AF62" s="47" t="str">
        <f aca="false">IFERROR(__xludf.dummyfunction("""COMPUTED_VALUE"""),"lophoctoan-946196")</f>
        <v>lophoctoan-946196</v>
      </c>
      <c r="AG62" s="46" t="str">
        <f aca="false">IFERROR(__xludf.dummyfunction("""COMPUTED_VALUE"""),"")</f>
        <v/>
      </c>
      <c r="AH62" s="35"/>
      <c r="AI62" s="35"/>
      <c r="AJ62" s="35"/>
      <c r="AK62" s="35"/>
      <c r="AL62" s="35"/>
      <c r="AM62" s="35"/>
      <c r="AN62" s="53" t="b">
        <f aca="false">IFERROR(__xludf.dummyfunction("""COMPUTED_VALUE"""),TRUE())</f>
        <v>1</v>
      </c>
      <c r="AO62" s="46"/>
    </row>
    <row r="63" customFormat="false" ht="15.75" hidden="false" customHeight="true" outlineLevel="0" collapsed="false">
      <c r="A63" s="37" t="str">
        <f aca="false">IFERROR(__xludf.dummyfunction("""COMPUTED_VALUE"""),"Định tính")</f>
        <v>Định tính</v>
      </c>
      <c r="B63" s="37" t="str">
        <f aca="false">IFERROR(__xludf.dummyfunction("""COMPUTED_VALUE"""),"TOV_HSA_DT02")</f>
        <v>TOV_HSA_DT02</v>
      </c>
      <c r="C63" s="59" t="str">
        <f aca="false">IFERROR(__xludf.dummyfunction("""COMPUTED_VALUE"""),"Tiếng Việt: Từ loại và kết hợp từ trong câu")</f>
        <v>Tiếng Việt: Từ loại và kết hợp từ trong câu</v>
      </c>
      <c r="D63" s="39" t="str">
        <f aca="false">IFERROR(__xludf.dummyfunction("""COMPUTED_VALUE"""),"Phạm Hữu Cường")</f>
        <v>Phạm Hữu Cường</v>
      </c>
      <c r="E63" s="40" t="n">
        <f aca="false">IFERROR(__xludf.dummyfunction("""COMPUTED_VALUE"""),46197)</f>
        <v>46197</v>
      </c>
      <c r="F63" s="41" t="n">
        <f aca="false">IFERROR(__xludf.dummyfunction("""COMPUTED_VALUE"""),4)</f>
        <v>4</v>
      </c>
      <c r="G63" s="37" t="str">
        <f aca="false">IFERROR(__xludf.dummyfunction("""COMPUTED_VALUE"""),"21:00-23:00")</f>
        <v>21:00-23:00</v>
      </c>
      <c r="H63" s="42" t="str">
        <f aca="false">IFERROR(__xludf.dummyfunction("""COMPUTED_VALUE"""),"https://hocmai.vn/mod/scorm/view_file.php?inpopup=true&amp;id=181308")</f>
        <v>https://hocmai.vn/mod/scorm/view_file.php?inpopup=true&amp;id=181308</v>
      </c>
      <c r="I63" s="42" t="str">
        <f aca="false">IFERROR(__xludf.dummyfunction("""COMPUTED_VALUE"""),"https://hocmai.vn/mod/scorm/view_file.php?inpopup=true&amp;id=181517")</f>
        <v>https://hocmai.vn/mod/scorm/view_file.php?inpopup=true&amp;id=181517</v>
      </c>
      <c r="J63" s="42" t="str">
        <f aca="false">IFERROR(__xludf.dummyfunction("""COMPUTED_VALUE"""),"https://drive.google.com/file/d/1i8zcmxcDcNFt_IBXyatObqphrcK8bUMm/view?usp=drivesdk")</f>
        <v>https://drive.google.com/file/d/1i8zcmxcDcNFt_IBXyatObqphrcK8bUMm/view?usp=drivesdk</v>
      </c>
      <c r="K63" s="68" t="str">
        <f aca="false">IFERROR(__xludf.dummyfunction("""COMPUTED_VALUE"""),"Hangvt3")</f>
        <v>Hangvt3</v>
      </c>
      <c r="L63" s="68" t="str">
        <f aca="false">IFERROR(__xludf.dummyfunction("""COMPUTED_VALUE"""),"Kiều Bảo Minh")</f>
        <v>Kiều Bảo Minh</v>
      </c>
      <c r="M63" s="71"/>
      <c r="N63" s="77" t="str">
        <f aca="false">IFERROR(__xludf.dummyfunction("""COMPUTED_VALUE"""),"3118")</f>
        <v>3118</v>
      </c>
      <c r="O63" s="63" t="n">
        <f aca="false">IFERROR(__xludf.dummyfunction("""COMPUTED_VALUE"""),167291)</f>
        <v>167291</v>
      </c>
      <c r="P63" s="63"/>
      <c r="Q63" s="63"/>
      <c r="R63" s="41"/>
      <c r="S63" s="41"/>
      <c r="T63" s="63"/>
      <c r="U63" s="63"/>
      <c r="V63" s="70" t="n">
        <f aca="false">IFERROR(__xludf.dummyfunction("""COMPUTED_VALUE"""),46200)</f>
        <v>46200</v>
      </c>
      <c r="W63" s="39" t="str">
        <f aca="false">IFERROR(__xludf.dummyfunction("""COMPUTED_VALUE"""),"Hoàn thành XB")</f>
        <v>Hoàn thành XB</v>
      </c>
      <c r="X63" s="41" t="str">
        <f aca="false">IFERROR(__xludf.dummyfunction("""COMPUTED_VALUE"""),"Hoantt")</f>
        <v>Hoantt</v>
      </c>
      <c r="Y63" s="44" t="str">
        <f aca="false">IFERROR(__xludf.dummyfunction("""COMPUTED_VALUE"""),"done")</f>
        <v>done</v>
      </c>
      <c r="Z63" s="57" t="str">
        <f aca="false">IFERROR(__xludf.dummyfunction("""COMPUTED_VALUE"""),"#N/A")</f>
        <v>#N/A</v>
      </c>
      <c r="AA63" s="57"/>
      <c r="AB63" s="41" t="n">
        <f aca="false">IFERROR(__xludf.dummyfunction("""COMPUTED_VALUE"""),6)</f>
        <v>6</v>
      </c>
      <c r="AC63" s="57" t="str">
        <f aca="false">IFERROR(__xludf.dummyfunction("""COMPUTED_VALUE"""),"gv.cuongph@hocmai.edu.vn ")</f>
        <v>gv.cuongph@hocmai.edu.vn </v>
      </c>
      <c r="AD63" s="46" t="str">
        <f aca="false">IFERROR(__xludf.dummyfunction("""COMPUTED_VALUE"""),"mkieu2662@gmail.com")</f>
        <v>mkieu2662@gmail.com</v>
      </c>
      <c r="AE63" s="46"/>
      <c r="AF63" s="74" t="b">
        <f aca="false">IFERROR(__xludf.dummyfunction("""COMPUTED_VALUE"""),FALSE())</f>
        <v>0</v>
      </c>
      <c r="AG63" s="46" t="str">
        <f aca="false">IFERROR(__xludf.dummyfunction("""COMPUTED_VALUE"""),"")</f>
        <v/>
      </c>
      <c r="AH63" s="35"/>
      <c r="AI63" s="35"/>
      <c r="AJ63" s="53" t="b">
        <f aca="false">IFERROR(__xludf.dummyfunction("""COMPUTED_VALUE"""),TRUE())</f>
        <v>1</v>
      </c>
      <c r="AK63" s="53" t="b">
        <f aca="false">IFERROR(__xludf.dummyfunction("""COMPUTED_VALUE"""),TRUE())</f>
        <v>1</v>
      </c>
      <c r="AL63" s="35"/>
      <c r="AM63" s="35"/>
      <c r="AN63" s="35"/>
      <c r="AO63" s="46"/>
    </row>
    <row r="64" customFormat="false" ht="15.75" hidden="false" customHeight="true" outlineLevel="0" collapsed="false">
      <c r="A64" s="37" t="str">
        <f aca="false">IFERROR(__xludf.dummyfunction("""COMPUTED_VALUE"""),"SLKH")</f>
        <v>SLKH</v>
      </c>
      <c r="B64" s="37" t="str">
        <f aca="false">IFERROR(__xludf.dummyfunction("""COMPUTED_VALUE"""),"TOV_V-ACT_KH02")</f>
        <v>TOV_V-ACT_KH02</v>
      </c>
      <c r="C64" s="59" t="str">
        <f aca="false">IFERROR(__xludf.dummyfunction("""COMPUTED_VALUE"""),"Kỹ năng scan &amp; skim – Chọn từ khóa trong văn bản khoa học.")</f>
        <v>Kỹ năng scan &amp; skim – Chọn từ khóa trong văn bản khoa học.</v>
      </c>
      <c r="D64" s="39" t="str">
        <f aca="false">IFERROR(__xludf.dummyfunction("""COMPUTED_VALUE"""),"Vũ Khắc Ngọc")</f>
        <v>Vũ Khắc Ngọc</v>
      </c>
      <c r="E64" s="40" t="n">
        <f aca="false">IFERROR(__xludf.dummyfunction("""COMPUTED_VALUE"""),46197)</f>
        <v>46197</v>
      </c>
      <c r="F64" s="41" t="n">
        <f aca="false">IFERROR(__xludf.dummyfunction("""COMPUTED_VALUE"""),4)</f>
        <v>4</v>
      </c>
      <c r="G64" s="37" t="str">
        <f aca="false">IFERROR(__xludf.dummyfunction("""COMPUTED_VALUE"""),"21:30-23:00")</f>
        <v>21:30-23:00</v>
      </c>
      <c r="H64" s="42" t="str">
        <f aca="false">IFERROR(__xludf.dummyfunction("""COMPUTED_VALUE"""),"https://hocmai.vn/mod/scorm/view_file.php?inpopup=true&amp;id=181064")</f>
        <v>https://hocmai.vn/mod/scorm/view_file.php?inpopup=true&amp;id=181064</v>
      </c>
      <c r="I64" s="42" t="str">
        <f aca="false">IFERROR(__xludf.dummyfunction("""COMPUTED_VALUE"""),"https://hocmai.vn/mod/scorm/view_file.php?inpopup=true&amp;id=181073")</f>
        <v>https://hocmai.vn/mod/scorm/view_file.php?inpopup=true&amp;id=181073</v>
      </c>
      <c r="J64" s="42" t="str">
        <f aca="false">IFERROR(__xludf.dummyfunction("""COMPUTED_VALUE"""),"https://drive.google.com/drive/folders/12ECceLYypgjNBQZUsOfyhJVoXlEymYHg")</f>
        <v>https://drive.google.com/drive/folders/12ECceLYypgjNBQZUsOfyhJVoXlEymYHg</v>
      </c>
      <c r="K64" s="68" t="str">
        <f aca="false">IFERROR(__xludf.dummyfunction("""COMPUTED_VALUE"""),"Trinhntt")</f>
        <v>Trinhntt</v>
      </c>
      <c r="L64" s="68" t="str">
        <f aca="false">IFERROR(__xludf.dummyfunction("""COMPUTED_VALUE"""),"Lường Nhật Nam")</f>
        <v>Lường Nhật Nam</v>
      </c>
      <c r="M64" s="71"/>
      <c r="N64" s="77" t="str">
        <f aca="false">IFERROR(__xludf.dummyfunction("""COMPUTED_VALUE"""),"3126")</f>
        <v>3126</v>
      </c>
      <c r="O64" s="63" t="n">
        <f aca="false">IFERROR(__xludf.dummyfunction("""COMPUTED_VALUE"""),167378)</f>
        <v>167378</v>
      </c>
      <c r="P64" s="63"/>
      <c r="Q64" s="63"/>
      <c r="R64" s="41"/>
      <c r="S64" s="41"/>
      <c r="T64" s="63"/>
      <c r="U64" s="63"/>
      <c r="V64" s="70" t="n">
        <f aca="false">IFERROR(__xludf.dummyfunction("""COMPUTED_VALUE"""),46200)</f>
        <v>46200</v>
      </c>
      <c r="W64" s="39" t="str">
        <f aca="false">IFERROR(__xludf.dummyfunction("""COMPUTED_VALUE"""),"Hoàn thành XB")</f>
        <v>Hoàn thành XB</v>
      </c>
      <c r="X64" s="41" t="str">
        <f aca="false">IFERROR(__xludf.dummyfunction("""COMPUTED_VALUE"""),"Trinhntt")</f>
        <v>Trinhntt</v>
      </c>
      <c r="Y64" s="44" t="str">
        <f aca="false">IFERROR(__xludf.dummyfunction("""COMPUTED_VALUE"""),"done")</f>
        <v>done</v>
      </c>
      <c r="Z64" s="57" t="str">
        <f aca="false">IFERROR(__xludf.dummyfunction("""COMPUTED_VALUE"""),"#N/A")</f>
        <v>#N/A</v>
      </c>
      <c r="AA64" s="57"/>
      <c r="AB64" s="41" t="n">
        <f aca="false">IFERROR(__xludf.dummyfunction("""COMPUTED_VALUE"""),6)</f>
        <v>6</v>
      </c>
      <c r="AC64" s="57" t="str">
        <f aca="false">IFERROR(__xludf.dummyfunction("""COMPUTED_VALUE"""),"gv.ngocvk@hocmai.edu.vn")</f>
        <v>gv.ngocvk@hocmai.edu.vn</v>
      </c>
      <c r="AD64" s="46" t="str">
        <f aca="false">IFERROR(__xludf.dummyfunction("""COMPUTED_VALUE"""),"nhatnam1092@gmail.com")</f>
        <v>nhatnam1092@gmail.com</v>
      </c>
      <c r="AE64" s="46"/>
      <c r="AF64" s="74" t="b">
        <f aca="false">IFERROR(__xludf.dummyfunction("""COMPUTED_VALUE"""),FALSE())</f>
        <v>0</v>
      </c>
      <c r="AG64" s="46" t="str">
        <f aca="false">IFERROR(__xludf.dummyfunction("""COMPUTED_VALUE"""),"")</f>
        <v/>
      </c>
      <c r="AH64" s="35"/>
      <c r="AI64" s="35"/>
      <c r="AJ64" s="35"/>
      <c r="AK64" s="35"/>
      <c r="AL64" s="35"/>
      <c r="AM64" s="53" t="b">
        <f aca="false">IFERROR(__xludf.dummyfunction("""COMPUTED_VALUE"""),TRUE())</f>
        <v>1</v>
      </c>
      <c r="AN64" s="35"/>
      <c r="AO64" s="46"/>
    </row>
    <row r="65" customFormat="false" ht="15.75" hidden="false" customHeight="true" outlineLevel="0" collapsed="false">
      <c r="A65" s="37" t="str">
        <f aca="false">IFERROR(__xludf.dummyfunction("""COMPUTED_VALUE"""),"Vật lí")</f>
        <v>Vật lí</v>
      </c>
      <c r="B65" s="37" t="str">
        <f aca="false">IFERROR(__xludf.dummyfunction("""COMPUTED_VALUE"""),"TOV_TSA_L02")</f>
        <v>TOV_TSA_L02</v>
      </c>
      <c r="C65" s="59" t="str">
        <f aca="false">IFERROR(__xludf.dummyfunction("""COMPUTED_VALUE"""),"Chuyển động thẳng – Phân tích đồ thị và mô hình chuyển động")</f>
        <v>Chuyển động thẳng – Phân tích đồ thị và mô hình chuyển động</v>
      </c>
      <c r="D65" s="39" t="str">
        <f aca="false">IFERROR(__xludf.dummyfunction("""COMPUTED_VALUE"""),"Thiều Thị Dung")</f>
        <v>Thiều Thị Dung</v>
      </c>
      <c r="E65" s="40" t="n">
        <f aca="false">IFERROR(__xludf.dummyfunction("""COMPUTED_VALUE"""),46198)</f>
        <v>46198</v>
      </c>
      <c r="F65" s="41" t="n">
        <f aca="false">IFERROR(__xludf.dummyfunction("""COMPUTED_VALUE"""),5)</f>
        <v>5</v>
      </c>
      <c r="G65" s="37" t="str">
        <f aca="false">IFERROR(__xludf.dummyfunction("""COMPUTED_VALUE"""),"21:00-23:00")</f>
        <v>21:00-23:00</v>
      </c>
      <c r="H65" s="42" t="str">
        <f aca="false">IFERROR(__xludf.dummyfunction("""COMPUTED_VALUE"""),"https://hocmai.vn/file.php/3110/Nam_hoc_2026_-_2027/VAT_LI/TAI_LIEU_HOC_SINH/TLHS_TOV_TSA_T02_Chuyen_dong_thang_-_Phan_tich_do_thi_va_cac_mo_hinh_chuyen_dong.pdf")</f>
        <v>https://hocmai.vn/file.php/3110/Nam_hoc_2026_-_2027/VAT_LI/TAI_LIEU_HOC_SINH/TLHS_TOV_TSA_T02_Chuyen_dong_thang_-_Phan_tich_do_thi_va_cac_mo_hinh_chuyen_dong.pdf</v>
      </c>
      <c r="I65" s="42" t="str">
        <f aca="false">IFERROR(__xludf.dummyfunction("""COMPUTED_VALUE"""),"https://hocmai.vn/file.php/3110/Nam_hoc_2026_-_2027/VAT_LI/BTTL/BTTL_TOV_TSA_L02._Chuyen_dong_thang_-_Phan_tich_do_thi_va_mo_hinh_chuyen_dong.pdf")</f>
        <v>https://hocmai.vn/file.php/3110/Nam_hoc_2026_-_2027/VAT_LI/BTTL/BTTL_TOV_TSA_L02._Chuyen_dong_thang_-_Phan_tich_do_thi_va_mo_hinh_chuyen_dong.pdf</v>
      </c>
      <c r="J65" s="42" t="str">
        <f aca="false">IFERROR(__xludf.dummyfunction("""COMPUTED_VALUE"""),"https://drive.google.com/drive/folders/1dEynXH-7yADJPBMDK4vUjdcmDFPYz5T7")</f>
        <v>https://drive.google.com/drive/folders/1dEynXH-7yADJPBMDK4vUjdcmDFPYz5T7</v>
      </c>
      <c r="K65" s="68" t="str">
        <f aca="false">IFERROR(__xludf.dummyfunction("""COMPUTED_VALUE"""),"Trangnth2")</f>
        <v>Trangnth2</v>
      </c>
      <c r="L65" s="68" t="str">
        <f aca="false">IFERROR(__xludf.dummyfunction("""COMPUTED_VALUE"""),"Trần Đức Lương")</f>
        <v>Trần Đức Lương</v>
      </c>
      <c r="M65" s="71"/>
      <c r="N65" s="77" t="str">
        <f aca="false">IFERROR(__xludf.dummyfunction("""COMPUTED_VALUE"""),"3110")</f>
        <v>3110</v>
      </c>
      <c r="O65" s="63" t="n">
        <f aca="false">IFERROR(__xludf.dummyfunction("""COMPUTED_VALUE"""),167248)</f>
        <v>167248</v>
      </c>
      <c r="P65" s="63"/>
      <c r="Q65" s="63"/>
      <c r="R65" s="41"/>
      <c r="S65" s="41"/>
      <c r="T65" s="63" t="n">
        <f aca="false">IFERROR(__xludf.dummyfunction("""COMPUTED_VALUE"""),23729)</f>
        <v>23729</v>
      </c>
      <c r="U65" s="63"/>
      <c r="V65" s="70" t="n">
        <f aca="false">IFERROR(__xludf.dummyfunction("""COMPUTED_VALUE"""),46201)</f>
        <v>46201</v>
      </c>
      <c r="W65" s="39" t="str">
        <f aca="false">IFERROR(__xludf.dummyfunction("""COMPUTED_VALUE"""),"Hoàn thành XB")</f>
        <v>Hoàn thành XB</v>
      </c>
      <c r="X65" s="41" t="str">
        <f aca="false">IFERROR(__xludf.dummyfunction("""COMPUTED_VALUE"""),"Trangnth2")</f>
        <v>Trangnth2</v>
      </c>
      <c r="Y65" s="44" t="str">
        <f aca="false">IFERROR(__xludf.dummyfunction("""COMPUTED_VALUE"""),"done")</f>
        <v>done</v>
      </c>
      <c r="Z65" s="57" t="str">
        <f aca="false">IFERROR(__xludf.dummyfunction("""COMPUTED_VALUE"""),"#N/A")</f>
        <v>#N/A</v>
      </c>
      <c r="AA65" s="57"/>
      <c r="AB65" s="41" t="n">
        <f aca="false">IFERROR(__xludf.dummyfunction("""COMPUTED_VALUE"""),6)</f>
        <v>6</v>
      </c>
      <c r="AC65" s="57" t="str">
        <f aca="false">IFERROR(__xludf.dummyfunction("""COMPUTED_VALUE"""),"dungtt2@hocmai.vn                ")</f>
        <v>dungtt2@hocmai.vn                </v>
      </c>
      <c r="AD65" s="46" t="str">
        <f aca="false">IFERROR(__xludf.dummyfunction("""COMPUTED_VALUE"""),"ss.hsa01@ctv.hocmai.vn")</f>
        <v>ss.hsa01@ctv.hocmai.vn</v>
      </c>
      <c r="AE65" s="46"/>
      <c r="AF65" s="74" t="b">
        <f aca="false">IFERROR(__xludf.dummyfunction("""COMPUTED_VALUE"""),FALSE())</f>
        <v>0</v>
      </c>
      <c r="AG65" s="46" t="str">
        <f aca="false">IFERROR(__xludf.dummyfunction("""COMPUTED_VALUE"""),"")</f>
        <v/>
      </c>
      <c r="AH65" s="35"/>
      <c r="AI65" s="53" t="b">
        <f aca="false">IFERROR(__xludf.dummyfunction("""COMPUTED_VALUE"""),TRUE())</f>
        <v>1</v>
      </c>
      <c r="AJ65" s="35"/>
      <c r="AK65" s="35"/>
      <c r="AL65" s="35"/>
      <c r="AM65" s="35"/>
      <c r="AN65" s="35"/>
      <c r="AO65" s="46"/>
    </row>
    <row r="66" customFormat="false" ht="15.75" hidden="false" customHeight="true" outlineLevel="0" collapsed="false">
      <c r="A66" s="37" t="str">
        <f aca="false">IFERROR(__xludf.dummyfunction("""COMPUTED_VALUE"""),"Toán")</f>
        <v>Toán</v>
      </c>
      <c r="B66" s="37" t="str">
        <f aca="false">IFERROR(__xludf.dummyfunction("""COMPUTED_VALUE"""),"TOV_HSA_DL02")</f>
        <v>TOV_HSA_DL02</v>
      </c>
      <c r="C66" s="59" t="str">
        <f aca="false">IFERROR(__xludf.dummyfunction("""COMPUTED_VALUE"""),"Các bài toán về hàm hợp (P1)")</f>
        <v>Các bài toán về hàm hợp (P1)</v>
      </c>
      <c r="D66" s="39" t="str">
        <f aca="false">IFERROR(__xludf.dummyfunction("""COMPUTED_VALUE"""),"Nguyễn Thanh Tùng")</f>
        <v>Nguyễn Thanh Tùng</v>
      </c>
      <c r="E66" s="40" t="n">
        <f aca="false">IFERROR(__xludf.dummyfunction("""COMPUTED_VALUE"""),46198)</f>
        <v>46198</v>
      </c>
      <c r="F66" s="41" t="n">
        <f aca="false">IFERROR(__xludf.dummyfunction("""COMPUTED_VALUE"""),5)</f>
        <v>5</v>
      </c>
      <c r="G66" s="37" t="str">
        <f aca="false">IFERROR(__xludf.dummyfunction("""COMPUTED_VALUE"""),"18:00-20:00")</f>
        <v>18:00-20:00</v>
      </c>
      <c r="H66" s="42" t="str">
        <f aca="false">IFERROR(__xludf.dummyfunction("""COMPUTED_VALUE"""),"https://hocmai.vn/file.php/3315/Tai_lieu_live_2026_-_2027/TLHS_TOV_HSA_DL02_Cac_bai_toan_ve_ham_hop_P1.pdf")</f>
        <v>https://hocmai.vn/file.php/3315/Tai_lieu_live_2026_-_2027/TLHS_TOV_HSA_DL02_Cac_bai_toan_ve_ham_hop_P1.pdf</v>
      </c>
      <c r="I66" s="37"/>
      <c r="J66" s="42" t="str">
        <f aca="false">IFERROR(__xludf.dummyfunction("""COMPUTED_VALUE"""),"https://drive.google.com/file/d/1v7qy1prZ808bxMOqDgzx9ThU8mkyn1Uf/view?usp=drive_link")</f>
        <v>https://drive.google.com/file/d/1v7qy1prZ808bxMOqDgzx9ThU8mkyn1Uf/view?usp=drive_link</v>
      </c>
      <c r="K66" s="68" t="str">
        <f aca="false">IFERROR(__xludf.dummyfunction("""COMPUTED_VALUE"""),"Locdd")</f>
        <v>Locdd</v>
      </c>
      <c r="L66" s="68" t="str">
        <f aca="false">IFERROR(__xludf.dummyfunction("""COMPUTED_VALUE"""),"Tưởng Thị Huyền Trang")</f>
        <v>Tưởng Thị Huyền Trang</v>
      </c>
      <c r="M66" s="71"/>
      <c r="N66" s="77" t="str">
        <f aca="false">IFERROR(__xludf.dummyfunction("""COMPUTED_VALUE"""),"3117,3315")</f>
        <v>3117,3315</v>
      </c>
      <c r="O66" s="73" t="n">
        <f aca="false">IFERROR(__xludf.dummyfunction("""COMPUTED_VALUE"""),168573.168314)</f>
        <v>168573.168314</v>
      </c>
      <c r="P66" s="63" t="str">
        <f aca="false">IFERROR(__xludf.dummyfunction("""COMPUTED_VALUE"""),"9028,9036,9104,9106")</f>
        <v>9028,9036,9104,9106</v>
      </c>
      <c r="Q66" s="63" t="n">
        <f aca="false">IFERROR(__xludf.dummyfunction("""COMPUTED_VALUE"""),168314)</f>
        <v>168314</v>
      </c>
      <c r="R66" s="41"/>
      <c r="S66" s="41"/>
      <c r="T66" s="63"/>
      <c r="U66" s="63"/>
      <c r="V66" s="70" t="n">
        <f aca="false">IFERROR(__xludf.dummyfunction("""COMPUTED_VALUE"""),46201)</f>
        <v>46201</v>
      </c>
      <c r="W66" s="39" t="str">
        <f aca="false">IFERROR(__xludf.dummyfunction("""COMPUTED_VALUE"""),"Hoàn thành XB")</f>
        <v>Hoàn thành XB</v>
      </c>
      <c r="X66" s="41" t="str">
        <f aca="false">IFERROR(__xludf.dummyfunction("""COMPUTED_VALUE"""),"Locdd")</f>
        <v>Locdd</v>
      </c>
      <c r="Y66" s="44" t="str">
        <f aca="false">IFERROR(__xludf.dummyfunction("""COMPUTED_VALUE"""),"done")</f>
        <v>done</v>
      </c>
      <c r="Z66" s="57" t="str">
        <f aca="false">IFERROR(__xludf.dummyfunction("""COMPUTED_VALUE"""),"#N/A")</f>
        <v>#N/A</v>
      </c>
      <c r="AA66" s="56" t="str">
        <f aca="false">IFERROR(__xludf.dummyfunction("""COMPUTED_VALUE"""),"https://drive.google.com/file/d/1UxRO00rvXQCv76dx4dCWBiEd5dJOqHCH/view")</f>
        <v>https://drive.google.com/file/d/1UxRO00rvXQCv76dx4dCWBiEd5dJOqHCH/view</v>
      </c>
      <c r="AB66" s="41" t="n">
        <f aca="false">IFERROR(__xludf.dummyfunction("""COMPUTED_VALUE"""),6)</f>
        <v>6</v>
      </c>
      <c r="AC66" s="57" t="str">
        <f aca="false">IFERROR(__xludf.dummyfunction("""COMPUTED_VALUE"""),"gv.tungnt@hocmai.edu.vn ")</f>
        <v>gv.tungnt@hocmai.edu.vn </v>
      </c>
      <c r="AD66" s="46" t="str">
        <f aca="false">IFERROR(__xludf.dummyfunction("""COMPUTED_VALUE"""),"trangcrazy699@gmail.com")</f>
        <v>trangcrazy699@gmail.com</v>
      </c>
      <c r="AE66" s="46"/>
      <c r="AF66" s="47" t="str">
        <f aca="false">IFERROR(__xludf.dummyfunction("""COMPUTED_VALUE"""),"lophoctoan-946198")</f>
        <v>lophoctoan-946198</v>
      </c>
      <c r="AG66" s="46" t="str">
        <f aca="false">IFERROR(__xludf.dummyfunction("""COMPUTED_VALUE"""),"")</f>
        <v/>
      </c>
      <c r="AH66" s="35"/>
      <c r="AI66" s="35"/>
      <c r="AJ66" s="53" t="b">
        <f aca="false">IFERROR(__xludf.dummyfunction("""COMPUTED_VALUE"""),TRUE())</f>
        <v>1</v>
      </c>
      <c r="AK66" s="53" t="b">
        <f aca="false">IFERROR(__xludf.dummyfunction("""COMPUTED_VALUE"""),TRUE())</f>
        <v>1</v>
      </c>
      <c r="AL66" s="35"/>
      <c r="AM66" s="35"/>
      <c r="AN66" s="35"/>
      <c r="AO66" s="46"/>
    </row>
    <row r="67" customFormat="false" ht="15.75" hidden="false" customHeight="true" outlineLevel="0" collapsed="false">
      <c r="A67" s="37" t="str">
        <f aca="false">IFERROR(__xludf.dummyfunction("""COMPUTED_VALUE"""),"Vật lí")</f>
        <v>Vật lí</v>
      </c>
      <c r="B67" s="37" t="str">
        <f aca="false">IFERROR(__xludf.dummyfunction("""COMPUTED_VALUE"""),"TOV_HSA_VL02")</f>
        <v>TOV_HSA_VL02</v>
      </c>
      <c r="C67" s="59" t="str">
        <f aca="false">IFERROR(__xludf.dummyfunction("""COMPUTED_VALUE"""),"Động học – Quy luật chuyển động")</f>
        <v>Động học – Quy luật chuyển động</v>
      </c>
      <c r="D67" s="39" t="str">
        <f aca="false">IFERROR(__xludf.dummyfunction("""COMPUTED_VALUE"""),"Nguyễn Hữu Tình")</f>
        <v>Nguyễn Hữu Tình</v>
      </c>
      <c r="E67" s="40" t="n">
        <f aca="false">IFERROR(__xludf.dummyfunction("""COMPUTED_VALUE"""),46198)</f>
        <v>46198</v>
      </c>
      <c r="F67" s="41" t="n">
        <f aca="false">IFERROR(__xludf.dummyfunction("""COMPUTED_VALUE"""),5)</f>
        <v>5</v>
      </c>
      <c r="G67" s="37" t="str">
        <f aca="false">IFERROR(__xludf.dummyfunction("""COMPUTED_VALUE"""),"21:00-23:00")</f>
        <v>21:00-23:00</v>
      </c>
      <c r="H67" s="42" t="str">
        <f aca="false">IFERROR(__xludf.dummyfunction("""COMPUTED_VALUE"""),"https://hocmai.vn/file.php/3119/NAM_HOC_2026_-_2027/Tai_lieu_live/TLHS_TOV_HSA_VL02_Dong_hoc_-_Quy_luat_chuyen_dong.pdf")</f>
        <v>https://hocmai.vn/file.php/3119/NAM_HOC_2026_-_2027/Tai_lieu_live/TLHS_TOV_HSA_VL02_Dong_hoc_-_Quy_luat_chuyen_dong.pdf</v>
      </c>
      <c r="I67" s="42" t="str">
        <f aca="false">IFERROR(__xludf.dummyfunction("""COMPUTED_VALUE"""),"https://hocmai.vn/file.php/3119/NAM_HOC_2026_-_2027/BTTL/BTTL_TOV_HSA_VL02_Dong_hoc_-_Quy_luat_chuyen_dong.pdf")</f>
        <v>https://hocmai.vn/file.php/3119/NAM_HOC_2026_-_2027/BTTL/BTTL_TOV_HSA_VL02_Dong_hoc_-_Quy_luat_chuyen_dong.pdf</v>
      </c>
      <c r="J67" s="42" t="str">
        <f aca="false">IFERROR(__xludf.dummyfunction("""COMPUTED_VALUE"""),"https://drive.google.com/drive/folders/1R1JvqQ24x0EFH4sBgYvWtkZoG3P2j9Xo")</f>
        <v>https://drive.google.com/drive/folders/1R1JvqQ24x0EFH4sBgYvWtkZoG3P2j9Xo</v>
      </c>
      <c r="K67" s="68" t="str">
        <f aca="false">IFERROR(__xludf.dummyfunction("""COMPUTED_VALUE"""),"Trangnth2")</f>
        <v>Trangnth2</v>
      </c>
      <c r="L67" s="68" t="str">
        <f aca="false">IFERROR(__xludf.dummyfunction("""COMPUTED_VALUE"""),"Kiều Bảo Minh")</f>
        <v>Kiều Bảo Minh</v>
      </c>
      <c r="M67" s="71"/>
      <c r="N67" s="76" t="str">
        <f aca="false">IFERROR(__xludf.dummyfunction("""COMPUTED_VALUE"""),"3119")</f>
        <v>3119</v>
      </c>
      <c r="O67" s="63" t="n">
        <f aca="false">IFERROR(__xludf.dummyfunction("""COMPUTED_VALUE"""),167517)</f>
        <v>167517</v>
      </c>
      <c r="P67" s="63"/>
      <c r="Q67" s="63"/>
      <c r="R67" s="41"/>
      <c r="S67" s="41"/>
      <c r="T67" s="63"/>
      <c r="U67" s="63" t="n">
        <f aca="false">IFERROR(__xludf.dummyfunction("""COMPUTED_VALUE"""),10458)</f>
        <v>10458</v>
      </c>
      <c r="V67" s="70" t="n">
        <f aca="false">IFERROR(__xludf.dummyfunction("""COMPUTED_VALUE"""),46201)</f>
        <v>46201</v>
      </c>
      <c r="W67" s="39" t="str">
        <f aca="false">IFERROR(__xludf.dummyfunction("""COMPUTED_VALUE"""),"Hoàn thành XB")</f>
        <v>Hoàn thành XB</v>
      </c>
      <c r="X67" s="41" t="str">
        <f aca="false">IFERROR(__xludf.dummyfunction("""COMPUTED_VALUE"""),"Trangnth2")</f>
        <v>Trangnth2</v>
      </c>
      <c r="Y67" s="44" t="str">
        <f aca="false">IFERROR(__xludf.dummyfunction("""COMPUTED_VALUE"""),"done")</f>
        <v>done</v>
      </c>
      <c r="Z67" s="57" t="str">
        <f aca="false">IFERROR(__xludf.dummyfunction("""COMPUTED_VALUE"""),"#N/A")</f>
        <v>#N/A</v>
      </c>
      <c r="AA67" s="57"/>
      <c r="AB67" s="41" t="n">
        <f aca="false">IFERROR(__xludf.dummyfunction("""COMPUTED_VALUE"""),6)</f>
        <v>6</v>
      </c>
      <c r="AC67" s="57" t="str">
        <f aca="false">IFERROR(__xludf.dummyfunction("""COMPUTED_VALUE"""),"gv.tinhnh@hocmai.edu.vn ")</f>
        <v>gv.tinhnh@hocmai.edu.vn </v>
      </c>
      <c r="AD67" s="46" t="str">
        <f aca="false">IFERROR(__xludf.dummyfunction("""COMPUTED_VALUE"""),"mkieu2662@gmail.com")</f>
        <v>mkieu2662@gmail.com</v>
      </c>
      <c r="AE67" s="46"/>
      <c r="AF67" s="74" t="b">
        <f aca="false">IFERROR(__xludf.dummyfunction("""COMPUTED_VALUE"""),FALSE())</f>
        <v>0</v>
      </c>
      <c r="AG67" s="46" t="str">
        <f aca="false">IFERROR(__xludf.dummyfunction("""COMPUTED_VALUE"""),"")</f>
        <v/>
      </c>
      <c r="AH67" s="35"/>
      <c r="AI67" s="35"/>
      <c r="AJ67" s="53" t="b">
        <f aca="false">IFERROR(__xludf.dummyfunction("""COMPUTED_VALUE"""),TRUE())</f>
        <v>1</v>
      </c>
      <c r="AK67" s="53" t="b">
        <f aca="false">IFERROR(__xludf.dummyfunction("""COMPUTED_VALUE"""),TRUE())</f>
        <v>1</v>
      </c>
      <c r="AL67" s="35"/>
      <c r="AM67" s="35"/>
      <c r="AN67" s="35"/>
      <c r="AO67" s="46"/>
    </row>
    <row r="68" customFormat="false" ht="15.75" hidden="false" customHeight="true" outlineLevel="0" collapsed="false">
      <c r="A68" s="37" t="str">
        <f aca="false">IFERROR(__xludf.dummyfunction("""COMPUTED_VALUE"""),"Toán")</f>
        <v>Toán</v>
      </c>
      <c r="B68" s="37" t="str">
        <f aca="false">IFERROR(__xludf.dummyfunction("""COMPUTED_VALUE"""),"TOA_V-ACT_T02")</f>
        <v>TOA_V-ACT_T02</v>
      </c>
      <c r="C68" s="59" t="str">
        <f aca="false">IFERROR(__xludf.dummyfunction("""COMPUTED_VALUE"""),"Phương pháp, kĩ năng xử lí các bài toán về hình học phẳng (P1)")</f>
        <v>Phương pháp, kĩ năng xử lí các bài toán về hình học phẳng (P1)</v>
      </c>
      <c r="D68" s="39" t="str">
        <f aca="false">IFERROR(__xludf.dummyfunction("""COMPUTED_VALUE"""),"Nguyễn Hoài Nam")</f>
        <v>Nguyễn Hoài Nam</v>
      </c>
      <c r="E68" s="40" t="n">
        <f aca="false">IFERROR(__xludf.dummyfunction("""COMPUTED_VALUE"""),46198)</f>
        <v>46198</v>
      </c>
      <c r="F68" s="41" t="n">
        <f aca="false">IFERROR(__xludf.dummyfunction("""COMPUTED_VALUE"""),5)</f>
        <v>5</v>
      </c>
      <c r="G68" s="37" t="str">
        <f aca="false">IFERROR(__xludf.dummyfunction("""COMPUTED_VALUE"""),"21:00-22:30")</f>
        <v>21:00-22:30</v>
      </c>
      <c r="H68" s="42" t="str">
        <f aca="false">IFERROR(__xludf.dummyfunction("""COMPUTED_VALUE"""),"https://hocmai.vn/file.php/3124/TLHS_TOA_V-ACT_T02.pdf")</f>
        <v>https://hocmai.vn/file.php/3124/TLHS_TOA_V-ACT_T02.pdf</v>
      </c>
      <c r="I68" s="42" t="str">
        <f aca="false">IFERROR(__xludf.dummyfunction("""COMPUTED_VALUE"""),"https://hocmai.vn/file.php/3124/BTTL_TOA_V-ACT_T02.pdf")</f>
        <v>https://hocmai.vn/file.php/3124/BTTL_TOA_V-ACT_T02.pdf</v>
      </c>
      <c r="J68" s="42" t="str">
        <f aca="false">IFERROR(__xludf.dummyfunction("""COMPUTED_VALUE"""),"https://drive.google.com/drive/folders/1GbXRgXQ2sOIZvOC-18KUNslqyUgCIqqr?usp=sharing")</f>
        <v>https://drive.google.com/drive/folders/1GbXRgXQ2sOIZvOC-18KUNslqyUgCIqqr?usp=sharing</v>
      </c>
      <c r="K68" s="68" t="str">
        <f aca="false">IFERROR(__xludf.dummyfunction("""COMPUTED_VALUE"""),"Lent")</f>
        <v>Lent</v>
      </c>
      <c r="L68" s="68" t="str">
        <f aca="false">IFERROR(__xludf.dummyfunction("""COMPUTED_VALUE"""),"Lường Nhật Nam")</f>
        <v>Lường Nhật Nam</v>
      </c>
      <c r="M68" s="71"/>
      <c r="N68" s="77" t="str">
        <f aca="false">IFERROR(__xludf.dummyfunction("""COMPUTED_VALUE"""),"3124,3316")</f>
        <v>3124,3316</v>
      </c>
      <c r="O68" s="73" t="n">
        <f aca="false">IFERROR(__xludf.dummyfunction("""COMPUTED_VALUE"""),167186.166856)</f>
        <v>167186.166856</v>
      </c>
      <c r="P68" s="63" t="n">
        <f aca="false">IFERROR(__xludf.dummyfunction("""COMPUTED_VALUE"""),9044.9108)</f>
        <v>9044.9108</v>
      </c>
      <c r="Q68" s="63" t="n">
        <f aca="false">IFERROR(__xludf.dummyfunction("""COMPUTED_VALUE"""),167186)</f>
        <v>167186</v>
      </c>
      <c r="R68" s="41" t="n">
        <f aca="false">IFERROR(__xludf.dummyfunction("""COMPUTED_VALUE"""),166856)</f>
        <v>166856</v>
      </c>
      <c r="S68" s="41"/>
      <c r="T68" s="63"/>
      <c r="U68" s="63"/>
      <c r="V68" s="70" t="n">
        <f aca="false">IFERROR(__xludf.dummyfunction("""COMPUTED_VALUE"""),46201)</f>
        <v>46201</v>
      </c>
      <c r="W68" s="39" t="str">
        <f aca="false">IFERROR(__xludf.dummyfunction("""COMPUTED_VALUE"""),"Hoàn thành XB")</f>
        <v>Hoàn thành XB</v>
      </c>
      <c r="X68" s="41" t="str">
        <f aca="false">IFERROR(__xludf.dummyfunction("""COMPUTED_VALUE"""),"Lent")</f>
        <v>Lent</v>
      </c>
      <c r="Y68" s="44" t="str">
        <f aca="false">IFERROR(__xludf.dummyfunction("""COMPUTED_VALUE"""),"done")</f>
        <v>done</v>
      </c>
      <c r="Z68" s="57" t="str">
        <f aca="false">IFERROR(__xludf.dummyfunction("""COMPUTED_VALUE"""),"#N/A")</f>
        <v>#N/A</v>
      </c>
      <c r="AA68" s="57"/>
      <c r="AB68" s="41" t="n">
        <f aca="false">IFERROR(__xludf.dummyfunction("""COMPUTED_VALUE"""),6)</f>
        <v>6</v>
      </c>
      <c r="AC68" s="57" t="str">
        <f aca="false">IFERROR(__xludf.dummyfunction("""COMPUTED_VALUE"""),"gv.namnh@hocmai.edu.vn ")</f>
        <v>gv.namnh@hocmai.edu.vn </v>
      </c>
      <c r="AD68" s="46" t="str">
        <f aca="false">IFERROR(__xludf.dummyfunction("""COMPUTED_VALUE"""),"nhatnam1092@gmail.com")</f>
        <v>nhatnam1092@gmail.com</v>
      </c>
      <c r="AE68" s="46"/>
      <c r="AF68" s="47" t="str">
        <f aca="false">IFERROR(__xludf.dummyfunction("""COMPUTED_VALUE"""),"lophoctoan-946198")</f>
        <v>lophoctoan-946198</v>
      </c>
      <c r="AG68" s="46" t="str">
        <f aca="false">IFERROR(__xludf.dummyfunction("""COMPUTED_VALUE"""),"")</f>
        <v/>
      </c>
      <c r="AH68" s="35"/>
      <c r="AI68" s="35"/>
      <c r="AJ68" s="35"/>
      <c r="AK68" s="35"/>
      <c r="AL68" s="35"/>
      <c r="AM68" s="53" t="b">
        <f aca="false">IFERROR(__xludf.dummyfunction("""COMPUTED_VALUE"""),TRUE())</f>
        <v>1</v>
      </c>
      <c r="AN68" s="53" t="b">
        <f aca="false">IFERROR(__xludf.dummyfunction("""COMPUTED_VALUE"""),TRUE())</f>
        <v>1</v>
      </c>
      <c r="AO68" s="46"/>
    </row>
    <row r="69" customFormat="false" ht="15.75" hidden="false" customHeight="true" outlineLevel="0" collapsed="false">
      <c r="A69" s="37" t="str">
        <f aca="false">IFERROR(__xludf.dummyfunction("""COMPUTED_VALUE"""),"Toán")</f>
        <v>Toán</v>
      </c>
      <c r="B69" s="37" t="str">
        <f aca="false">IFERROR(__xludf.dummyfunction("""COMPUTED_VALUE"""),"TOV_TSA_T02")</f>
        <v>TOV_TSA_T02</v>
      </c>
      <c r="C69" s="59" t="str">
        <f aca="false">IFERROR(__xludf.dummyfunction("""COMPUTED_VALUE"""),"Đồng dư thức và các ứng dụng")</f>
        <v>Đồng dư thức và các ứng dụng</v>
      </c>
      <c r="D69" s="39" t="str">
        <f aca="false">IFERROR(__xludf.dummyfunction("""COMPUTED_VALUE"""),"Nguyễn Thanh Tùng")</f>
        <v>Nguyễn Thanh Tùng</v>
      </c>
      <c r="E69" s="40" t="n">
        <f aca="false">IFERROR(__xludf.dummyfunction("""COMPUTED_VALUE"""),46199)</f>
        <v>46199</v>
      </c>
      <c r="F69" s="41" t="n">
        <f aca="false">IFERROR(__xludf.dummyfunction("""COMPUTED_VALUE"""),6)</f>
        <v>6</v>
      </c>
      <c r="G69" s="37" t="str">
        <f aca="false">IFERROR(__xludf.dummyfunction("""COMPUTED_VALUE"""),"18:00-20:00")</f>
        <v>18:00-20:00</v>
      </c>
      <c r="H69" s="42" t="str">
        <f aca="false">IFERROR(__xludf.dummyfunction("""COMPUTED_VALUE"""),"https://hocmai.vn/mod/scorm/view_file.php?inpopup=true&amp;id=181350")</f>
        <v>https://hocmai.vn/mod/scorm/view_file.php?inpopup=true&amp;id=181350</v>
      </c>
      <c r="I69" s="37"/>
      <c r="J69" s="42" t="str">
        <f aca="false">IFERROR(__xludf.dummyfunction("""COMPUTED_VALUE"""),"https://drive.google.com/file/d/1KMzbSnzb7OIa7hCO9Axz0fKqT2KniZaC/view?usp=drive_link")</f>
        <v>https://drive.google.com/file/d/1KMzbSnzb7OIa7hCO9Axz0fKqT2KniZaC/view?usp=drive_link</v>
      </c>
      <c r="K69" s="68" t="str">
        <f aca="false">IFERROR(__xludf.dummyfunction("""COMPUTED_VALUE"""),"Locdd")</f>
        <v>Locdd</v>
      </c>
      <c r="L69" s="68" t="str">
        <f aca="false">IFERROR(__xludf.dummyfunction("""COMPUTED_VALUE"""),"Tưởng Thị Huyền Trang")</f>
        <v>Tưởng Thị Huyền Trang</v>
      </c>
      <c r="M69" s="71"/>
      <c r="N69" s="77" t="str">
        <f aca="false">IFERROR(__xludf.dummyfunction("""COMPUTED_VALUE"""),"3108")</f>
        <v>3108</v>
      </c>
      <c r="O69" s="63" t="n">
        <f aca="false">IFERROR(__xludf.dummyfunction("""COMPUTED_VALUE"""),168358)</f>
        <v>168358</v>
      </c>
      <c r="P69" s="63"/>
      <c r="Q69" s="63"/>
      <c r="R69" s="41"/>
      <c r="S69" s="41"/>
      <c r="T69" s="63"/>
      <c r="U69" s="63"/>
      <c r="V69" s="70" t="n">
        <f aca="false">IFERROR(__xludf.dummyfunction("""COMPUTED_VALUE"""),46202)</f>
        <v>46202</v>
      </c>
      <c r="W69" s="39" t="str">
        <f aca="false">IFERROR(__xludf.dummyfunction("""COMPUTED_VALUE"""),"Hoàn thành XB")</f>
        <v>Hoàn thành XB</v>
      </c>
      <c r="X69" s="41" t="str">
        <f aca="false">IFERROR(__xludf.dummyfunction("""COMPUTED_VALUE"""),"Locdd")</f>
        <v>Locdd</v>
      </c>
      <c r="Y69" s="44" t="str">
        <f aca="false">IFERROR(__xludf.dummyfunction("""COMPUTED_VALUE"""),"done")</f>
        <v>done</v>
      </c>
      <c r="Z69" s="57" t="str">
        <f aca="false">IFERROR(__xludf.dummyfunction("""COMPUTED_VALUE"""),"#N/A")</f>
        <v>#N/A</v>
      </c>
      <c r="AA69" s="57"/>
      <c r="AB69" s="41" t="n">
        <f aca="false">IFERROR(__xludf.dummyfunction("""COMPUTED_VALUE"""),6)</f>
        <v>6</v>
      </c>
      <c r="AC69" s="57" t="str">
        <f aca="false">IFERROR(__xludf.dummyfunction("""COMPUTED_VALUE"""),"gv.tungnt@hocmai.edu.vn ")</f>
        <v>gv.tungnt@hocmai.edu.vn </v>
      </c>
      <c r="AD69" s="46" t="str">
        <f aca="false">IFERROR(__xludf.dummyfunction("""COMPUTED_VALUE"""),"trangcrazy699@gmail.com")</f>
        <v>trangcrazy699@gmail.com</v>
      </c>
      <c r="AE69" s="46"/>
      <c r="AF69" s="47" t="str">
        <f aca="false">IFERROR(__xludf.dummyfunction("""COMPUTED_VALUE"""),"lophoctoan-946199")</f>
        <v>lophoctoan-946199</v>
      </c>
      <c r="AG69" s="46" t="str">
        <f aca="false">IFERROR(__xludf.dummyfunction("""COMPUTED_VALUE"""),"")</f>
        <v/>
      </c>
      <c r="AH69" s="35"/>
      <c r="AI69" s="53" t="b">
        <f aca="false">IFERROR(__xludf.dummyfunction("""COMPUTED_VALUE"""),TRUE())</f>
        <v>1</v>
      </c>
      <c r="AJ69" s="35"/>
      <c r="AK69" s="35"/>
      <c r="AL69" s="35"/>
      <c r="AM69" s="35"/>
      <c r="AN69" s="35"/>
      <c r="AO69" s="46"/>
    </row>
    <row r="70" customFormat="false" ht="15.75" hidden="false" customHeight="true" outlineLevel="0" collapsed="false">
      <c r="A70" s="37" t="str">
        <f aca="false">IFERROR(__xludf.dummyfunction("""COMPUTED_VALUE"""),"Sinh học")</f>
        <v>Sinh học</v>
      </c>
      <c r="B70" s="37" t="str">
        <f aca="false">IFERROR(__xludf.dummyfunction("""COMPUTED_VALUE"""),"TOV_HSA_SH02")</f>
        <v>TOV_HSA_SH02</v>
      </c>
      <c r="C70" s="59" t="str">
        <f aca="false">IFERROR(__xludf.dummyfunction("""COMPUTED_VALUE"""),"Thành phần hoá học tế bào – Enzyme")</f>
        <v>Thành phần hoá học tế bào – Enzyme</v>
      </c>
      <c r="D70" s="39" t="str">
        <f aca="false">IFERROR(__xludf.dummyfunction("""COMPUTED_VALUE"""),"Nguyễn Dương Ánh Hồng")</f>
        <v>Nguyễn Dương Ánh Hồng</v>
      </c>
      <c r="E70" s="40" t="n">
        <f aca="false">IFERROR(__xludf.dummyfunction("""COMPUTED_VALUE"""),46199)</f>
        <v>46199</v>
      </c>
      <c r="F70" s="41" t="n">
        <f aca="false">IFERROR(__xludf.dummyfunction("""COMPUTED_VALUE"""),6)</f>
        <v>6</v>
      </c>
      <c r="G70" s="37" t="str">
        <f aca="false">IFERROR(__xludf.dummyfunction("""COMPUTED_VALUE"""),"20:00-22:00")</f>
        <v>20:00-22:00</v>
      </c>
      <c r="H70" s="42" t="str">
        <f aca="false">IFERROR(__xludf.dummyfunction("""COMPUTED_VALUE"""),"https://hocmai.vn/mod/scorm/view_file.php?id=181395")</f>
        <v>https://hocmai.vn/mod/scorm/view_file.php?id=181395</v>
      </c>
      <c r="I70" s="42" t="str">
        <f aca="false">IFERROR(__xludf.dummyfunction("""COMPUTED_VALUE"""),"https://hocmai.vn/mod/scorm/view_file.php?inpopup=true&amp;id=181016")</f>
        <v>https://hocmai.vn/mod/scorm/view_file.php?inpopup=true&amp;id=181016</v>
      </c>
      <c r="J70" s="42" t="str">
        <f aca="false">IFERROR(__xludf.dummyfunction("""COMPUTED_VALUE"""),"https://drive.google.com/drive/folders/1tNUM6fkL3q6YdXVZytryIawi_Yv1ts6J?usp=drive_link")</f>
        <v>https://drive.google.com/drive/folders/1tNUM6fkL3q6YdXVZytryIawi_Yv1ts6J?usp=drive_link</v>
      </c>
      <c r="K70" s="68" t="str">
        <f aca="false">IFERROR(__xludf.dummyfunction("""COMPUTED_VALUE"""),"Phuongdt")</f>
        <v>Phuongdt</v>
      </c>
      <c r="L70" s="68" t="str">
        <f aca="false">IFERROR(__xludf.dummyfunction("""COMPUTED_VALUE"""),"Phạm Quang Thành")</f>
        <v>Phạm Quang Thành</v>
      </c>
      <c r="M70" s="71"/>
      <c r="N70" s="77" t="str">
        <f aca="false">IFERROR(__xludf.dummyfunction("""COMPUTED_VALUE"""),"3121")</f>
        <v>3121</v>
      </c>
      <c r="O70" s="63" t="n">
        <f aca="false">IFERROR(__xludf.dummyfunction("""COMPUTED_VALUE"""),167319)</f>
        <v>167319</v>
      </c>
      <c r="P70" s="63"/>
      <c r="Q70" s="63"/>
      <c r="R70" s="41"/>
      <c r="S70" s="41"/>
      <c r="T70" s="63" t="n">
        <f aca="false">IFERROR(__xludf.dummyfunction("""COMPUTED_VALUE"""),23455)</f>
        <v>23455</v>
      </c>
      <c r="U70" s="63"/>
      <c r="V70" s="70" t="n">
        <f aca="false">IFERROR(__xludf.dummyfunction("""COMPUTED_VALUE"""),46202)</f>
        <v>46202</v>
      </c>
      <c r="W70" s="39" t="str">
        <f aca="false">IFERROR(__xludf.dummyfunction("""COMPUTED_VALUE"""),"Hoàn thành XB")</f>
        <v>Hoàn thành XB</v>
      </c>
      <c r="X70" s="41" t="str">
        <f aca="false">IFERROR(__xludf.dummyfunction("""COMPUTED_VALUE"""),"Phuongdt")</f>
        <v>Phuongdt</v>
      </c>
      <c r="Y70" s="44" t="str">
        <f aca="false">IFERROR(__xludf.dummyfunction("""COMPUTED_VALUE"""),"done")</f>
        <v>done</v>
      </c>
      <c r="Z70" s="57" t="str">
        <f aca="false">IFERROR(__xludf.dummyfunction("""COMPUTED_VALUE"""),"#N/A")</f>
        <v>#N/A</v>
      </c>
      <c r="AA70" s="57"/>
      <c r="AB70" s="41" t="n">
        <f aca="false">IFERROR(__xludf.dummyfunction("""COMPUTED_VALUE"""),6)</f>
        <v>6</v>
      </c>
      <c r="AC70" s="57" t="str">
        <f aca="false">IFERROR(__xludf.dummyfunction("""COMPUTED_VALUE"""),"gv.hongnda@hocmai.edu.vn ")</f>
        <v>gv.hongnda@hocmai.edu.vn </v>
      </c>
      <c r="AD70" s="46" t="str">
        <f aca="false">IFERROR(__xludf.dummyfunction("""COMPUTED_VALUE"""),"nguyenquockhanh8823@gmail.com")</f>
        <v>nguyenquockhanh8823@gmail.com</v>
      </c>
      <c r="AE70" s="46"/>
      <c r="AF70" s="74" t="b">
        <f aca="false">IFERROR(__xludf.dummyfunction("""COMPUTED_VALUE"""),FALSE())</f>
        <v>0</v>
      </c>
      <c r="AG70" s="46" t="str">
        <f aca="false">IFERROR(__xludf.dummyfunction("""COMPUTED_VALUE"""),"")</f>
        <v/>
      </c>
      <c r="AH70" s="35"/>
      <c r="AI70" s="35"/>
      <c r="AJ70" s="53" t="b">
        <f aca="false">IFERROR(__xludf.dummyfunction("""COMPUTED_VALUE"""),TRUE())</f>
        <v>1</v>
      </c>
      <c r="AK70" s="53" t="b">
        <f aca="false">IFERROR(__xludf.dummyfunction("""COMPUTED_VALUE"""),TRUE())</f>
        <v>1</v>
      </c>
      <c r="AL70" s="35"/>
      <c r="AM70" s="35"/>
      <c r="AN70" s="35"/>
      <c r="AO70" s="46"/>
    </row>
    <row r="71" customFormat="false" ht="15.75" hidden="false" customHeight="true" outlineLevel="0" collapsed="false">
      <c r="A71" s="37" t="str">
        <f aca="false">IFERROR(__xludf.dummyfunction("""COMPUTED_VALUE"""),"Sinh học")</f>
        <v>Sinh học</v>
      </c>
      <c r="B71" s="37" t="str">
        <f aca="false">IFERROR(__xludf.dummyfunction("""COMPUTED_VALUE"""),"TOV_TSA_S01")</f>
        <v>TOV_TSA_S01</v>
      </c>
      <c r="C71" s="59" t="str">
        <f aca="false">IFERROR(__xludf.dummyfunction("""COMPUTED_VALUE"""),"Thành phần hóa học và cấu trúc của tế bào")</f>
        <v>Thành phần hóa học và cấu trúc của tế bào</v>
      </c>
      <c r="D71" s="39" t="str">
        <f aca="false">IFERROR(__xludf.dummyfunction("""COMPUTED_VALUE"""),"Vũ Khắc Ngọc")</f>
        <v>Vũ Khắc Ngọc</v>
      </c>
      <c r="E71" s="40" t="n">
        <f aca="false">IFERROR(__xludf.dummyfunction("""COMPUTED_VALUE"""),46200)</f>
        <v>46200</v>
      </c>
      <c r="F71" s="41" t="n">
        <f aca="false">IFERROR(__xludf.dummyfunction("""COMPUTED_VALUE"""),7)</f>
        <v>7</v>
      </c>
      <c r="G71" s="37" t="str">
        <f aca="false">IFERROR(__xludf.dummyfunction("""COMPUTED_VALUE"""),"21:30-23:30")</f>
        <v>21:30-23:30</v>
      </c>
      <c r="H71" s="42" t="str">
        <f aca="false">IFERROR(__xludf.dummyfunction("""COMPUTED_VALUE"""),"https://hocmai.vn/mod/scorm/view_file.php?inpopup=true&amp;id=181087")</f>
        <v>https://hocmai.vn/mod/scorm/view_file.php?inpopup=true&amp;id=181087</v>
      </c>
      <c r="I71" s="42" t="str">
        <f aca="false">IFERROR(__xludf.dummyfunction("""COMPUTED_VALUE"""),"https://hocmai.vn/mod/scorm/view_file.php?inpopup=true&amp;id=181088")</f>
        <v>https://hocmai.vn/mod/scorm/view_file.php?inpopup=true&amp;id=181088</v>
      </c>
      <c r="J71" s="42" t="str">
        <f aca="false">IFERROR(__xludf.dummyfunction("""COMPUTED_VALUE"""),"https://drive.google.com/drive/folders/1zGeSvI82GLpI3FKLLfzXY3DgEiDOY4ar?usp=drive_link")</f>
        <v>https://drive.google.com/drive/folders/1zGeSvI82GLpI3FKLLfzXY3DgEiDOY4ar?usp=drive_link</v>
      </c>
      <c r="K71" s="68" t="str">
        <f aca="false">IFERROR(__xludf.dummyfunction("""COMPUTED_VALUE"""),"Phuongdt")</f>
        <v>Phuongdt</v>
      </c>
      <c r="L71" s="68" t="str">
        <f aca="false">IFERROR(__xludf.dummyfunction("""COMPUTED_VALUE"""),"Bùi Vĩnh Thọ")</f>
        <v>Bùi Vĩnh Thọ</v>
      </c>
      <c r="M71" s="71"/>
      <c r="N71" s="77" t="str">
        <f aca="false">IFERROR(__xludf.dummyfunction("""COMPUTED_VALUE"""),"3110")</f>
        <v>3110</v>
      </c>
      <c r="O71" s="63" t="n">
        <f aca="false">IFERROR(__xludf.dummyfunction("""COMPUTED_VALUE"""),167249)</f>
        <v>167249</v>
      </c>
      <c r="P71" s="63"/>
      <c r="Q71" s="63"/>
      <c r="R71" s="41"/>
      <c r="S71" s="41"/>
      <c r="T71" s="63" t="n">
        <f aca="false">IFERROR(__xludf.dummyfunction("""COMPUTED_VALUE"""),23456)</f>
        <v>23456</v>
      </c>
      <c r="U71" s="63" t="n">
        <f aca="false">IFERROR(__xludf.dummyfunction("""COMPUTED_VALUE"""),10611)</f>
        <v>10611</v>
      </c>
      <c r="V71" s="70" t="n">
        <f aca="false">IFERROR(__xludf.dummyfunction("""COMPUTED_VALUE"""),46203)</f>
        <v>46203</v>
      </c>
      <c r="W71" s="39" t="str">
        <f aca="false">IFERROR(__xludf.dummyfunction("""COMPUTED_VALUE"""),"Hoàn thành XB")</f>
        <v>Hoàn thành XB</v>
      </c>
      <c r="X71" s="41" t="str">
        <f aca="false">IFERROR(__xludf.dummyfunction("""COMPUTED_VALUE"""),"Phuongdt")</f>
        <v>Phuongdt</v>
      </c>
      <c r="Y71" s="44" t="str">
        <f aca="false">IFERROR(__xludf.dummyfunction("""COMPUTED_VALUE"""),"done")</f>
        <v>done</v>
      </c>
      <c r="Z71" s="57" t="str">
        <f aca="false">IFERROR(__xludf.dummyfunction("""COMPUTED_VALUE"""),"#N/A")</f>
        <v>#N/A</v>
      </c>
      <c r="AA71" s="57"/>
      <c r="AB71" s="41" t="n">
        <f aca="false">IFERROR(__xludf.dummyfunction("""COMPUTED_VALUE"""),6)</f>
        <v>6</v>
      </c>
      <c r="AC71" s="57" t="str">
        <f aca="false">IFERROR(__xludf.dummyfunction("""COMPUTED_VALUE"""),"gv.ngocvk@hocmai.edu.vn")</f>
        <v>gv.ngocvk@hocmai.edu.vn</v>
      </c>
      <c r="AD71" s="46" t="str">
        <f aca="false">IFERROR(__xludf.dummyfunction("""COMPUTED_VALUE"""),"vinhtho0704@gmail.com")</f>
        <v>vinhtho0704@gmail.com</v>
      </c>
      <c r="AE71" s="46"/>
      <c r="AF71" s="74" t="b">
        <f aca="false">IFERROR(__xludf.dummyfunction("""COMPUTED_VALUE"""),FALSE())</f>
        <v>0</v>
      </c>
      <c r="AG71" s="46" t="str">
        <f aca="false">IFERROR(__xludf.dummyfunction("""COMPUTED_VALUE"""),"")</f>
        <v/>
      </c>
      <c r="AH71" s="35"/>
      <c r="AI71" s="53" t="b">
        <f aca="false">IFERROR(__xludf.dummyfunction("""COMPUTED_VALUE"""),TRUE())</f>
        <v>1</v>
      </c>
      <c r="AJ71" s="35"/>
      <c r="AK71" s="35"/>
      <c r="AL71" s="35"/>
      <c r="AM71" s="35"/>
      <c r="AN71" s="35"/>
      <c r="AO71" s="46"/>
    </row>
    <row r="72" customFormat="false" ht="15.75" hidden="false" customHeight="true" outlineLevel="0" collapsed="false">
      <c r="A72" s="37" t="str">
        <f aca="false">IFERROR(__xludf.dummyfunction("""COMPUTED_VALUE"""),"Tiếng Anh")</f>
        <v>Tiếng Anh</v>
      </c>
      <c r="B72" s="37" t="str">
        <f aca="false">IFERROR(__xludf.dummyfunction("""COMPUTED_VALUE"""),"TOS_V-ACT_TA02")</f>
        <v>TOS_V-ACT_TA02</v>
      </c>
      <c r="C72" s="59" t="str">
        <f aca="false">IFERROR(__xludf.dummyfunction("""COMPUTED_VALUE"""),"Tổng ôn ngữ pháp: Động từ")</f>
        <v>Tổng ôn ngữ pháp: Động từ</v>
      </c>
      <c r="D72" s="39" t="str">
        <f aca="false">IFERROR(__xludf.dummyfunction("""COMPUTED_VALUE"""),"Nguyễn Phương Linh")</f>
        <v>Nguyễn Phương Linh</v>
      </c>
      <c r="E72" s="40" t="n">
        <f aca="false">IFERROR(__xludf.dummyfunction("""COMPUTED_VALUE"""),46200)</f>
        <v>46200</v>
      </c>
      <c r="F72" s="41" t="n">
        <f aca="false">IFERROR(__xludf.dummyfunction("""COMPUTED_VALUE"""),7)</f>
        <v>7</v>
      </c>
      <c r="G72" s="37" t="str">
        <f aca="false">IFERROR(__xludf.dummyfunction("""COMPUTED_VALUE"""),"18:00-19:30")</f>
        <v>18:00-19:30</v>
      </c>
      <c r="H72" s="42" t="str">
        <f aca="false">IFERROR(__xludf.dummyfunction("""COMPUTED_VALUE"""),"https://hocmai.vn/mod/scorm/view_file.php?inpopup=true&amp;id=181492")</f>
        <v>https://hocmai.vn/mod/scorm/view_file.php?inpopup=true&amp;id=181492</v>
      </c>
      <c r="I72" s="42" t="str">
        <f aca="false">IFERROR(__xludf.dummyfunction("""COMPUTED_VALUE"""),"https://hocmai.vn/mod/scorm/view_file.php?inpopup=true&amp;id=181493")</f>
        <v>https://hocmai.vn/mod/scorm/view_file.php?inpopup=true&amp;id=181493</v>
      </c>
      <c r="J72" s="42" t="str">
        <f aca="false">IFERROR(__xludf.dummyfunction("""COMPUTED_VALUE"""),"https://drive.google.com/file/d/14P5nOSktJSKKdWW0YREcCn-FhA3RjKfi/view?usp=drive_link")</f>
        <v>https://drive.google.com/file/d/14P5nOSktJSKKdWW0YREcCn-FhA3RjKfi/view?usp=drive_link</v>
      </c>
      <c r="K72" s="68" t="str">
        <f aca="false">IFERROR(__xludf.dummyfunction("""COMPUTED_VALUE"""),"Dienlt")</f>
        <v>Dienlt</v>
      </c>
      <c r="L72" s="68" t="str">
        <f aca="false">IFERROR(__xludf.dummyfunction("""COMPUTED_VALUE"""),"Lê Quốc Việt")</f>
        <v>Lê Quốc Việt</v>
      </c>
      <c r="M72" s="71"/>
      <c r="N72" s="77" t="str">
        <f aca="false">IFERROR(__xludf.dummyfunction("""COMPUTED_VALUE"""),"3339")</f>
        <v>3339</v>
      </c>
      <c r="O72" s="63" t="n">
        <f aca="false">IFERROR(__xludf.dummyfunction("""COMPUTED_VALUE"""),167630)</f>
        <v>167630</v>
      </c>
      <c r="P72" s="63"/>
      <c r="Q72" s="63"/>
      <c r="R72" s="41"/>
      <c r="S72" s="41"/>
      <c r="T72" s="63"/>
      <c r="U72" s="63"/>
      <c r="V72" s="70" t="n">
        <f aca="false">IFERROR(__xludf.dummyfunction("""COMPUTED_VALUE"""),46203)</f>
        <v>46203</v>
      </c>
      <c r="W72" s="39" t="str">
        <f aca="false">IFERROR(__xludf.dummyfunction("""COMPUTED_VALUE"""),"Hoàn thành XB")</f>
        <v>Hoàn thành XB</v>
      </c>
      <c r="X72" s="41" t="str">
        <f aca="false">IFERROR(__xludf.dummyfunction("""COMPUTED_VALUE"""),"Dienlt")</f>
        <v>Dienlt</v>
      </c>
      <c r="Y72" s="44" t="str">
        <f aca="false">IFERROR(__xludf.dummyfunction("""COMPUTED_VALUE"""),"done")</f>
        <v>done</v>
      </c>
      <c r="Z72" s="57" t="str">
        <f aca="false">IFERROR(__xludf.dummyfunction("""COMPUTED_VALUE"""),"#N/A")</f>
        <v>#N/A</v>
      </c>
      <c r="AA72" s="57"/>
      <c r="AB72" s="41" t="n">
        <f aca="false">IFERROR(__xludf.dummyfunction("""COMPUTED_VALUE"""),6)</f>
        <v>6</v>
      </c>
      <c r="AC72" s="57" t="str">
        <f aca="false">IFERROR(__xludf.dummyfunction("""COMPUTED_VALUE"""),"gv.linhnp@hocmai.edu.vn		")</f>
        <v>gv.linhnp@hocmai.edu.vn		</v>
      </c>
      <c r="AD72" s="46" t="str">
        <f aca="false">IFERROR(__xludf.dummyfunction("""COMPUTED_VALUE"""),"Ralph02091@gmail.com")</f>
        <v>Ralph02091@gmail.com</v>
      </c>
      <c r="AE72" s="46"/>
      <c r="AF72" s="47" t="str">
        <f aca="false">IFERROR(__xludf.dummyfunction("""COMPUTED_VALUE"""),"lophoctienganh46200")</f>
        <v>lophoctienganh46200</v>
      </c>
      <c r="AG72" s="46" t="str">
        <f aca="false">IFERROR(__xludf.dummyfunction("""COMPUTED_VALUE"""),"")</f>
        <v/>
      </c>
      <c r="AH72" s="35"/>
      <c r="AI72" s="35"/>
      <c r="AJ72" s="35"/>
      <c r="AK72" s="35"/>
      <c r="AL72" s="35"/>
      <c r="AM72" s="35"/>
      <c r="AN72" s="53" t="b">
        <f aca="false">IFERROR(__xludf.dummyfunction("""COMPUTED_VALUE"""),TRUE())</f>
        <v>1</v>
      </c>
      <c r="AO72" s="46"/>
    </row>
    <row r="73" customFormat="false" ht="15.75" hidden="false" customHeight="true" outlineLevel="0" collapsed="false">
      <c r="A73" s="37" t="str">
        <f aca="false">IFERROR(__xludf.dummyfunction("""COMPUTED_VALUE"""),"Toán")</f>
        <v>Toán</v>
      </c>
      <c r="B73" s="37" t="str">
        <f aca="false">IFERROR(__xludf.dummyfunction("""COMPUTED_VALUE"""),"NT_N_11")</f>
        <v>NT_N_11</v>
      </c>
      <c r="C73" s="59" t="str">
        <f aca="false">IFERROR(__xludf.dummyfunction("""COMPUTED_VALUE"""),"Tiệm cận của đồ thị hàm số (P1)")</f>
        <v>Tiệm cận của đồ thị hàm số (P1)</v>
      </c>
      <c r="D73" s="39" t="str">
        <f aca="false">IFERROR(__xludf.dummyfunction("""COMPUTED_VALUE"""),"Nguyễn Hoài Nam")</f>
        <v>Nguyễn Hoài Nam</v>
      </c>
      <c r="E73" s="40" t="n">
        <f aca="false">IFERROR(__xludf.dummyfunction("""COMPUTED_VALUE"""),46201)</f>
        <v>46201</v>
      </c>
      <c r="F73" s="41" t="str">
        <f aca="false">IFERROR(__xludf.dummyfunction("""COMPUTED_VALUE"""),"CN")</f>
        <v>CN</v>
      </c>
      <c r="G73" s="37" t="str">
        <f aca="false">IFERROR(__xludf.dummyfunction("""COMPUTED_VALUE"""),"21:00-22:30")</f>
        <v>21:00-22:30</v>
      </c>
      <c r="H73" s="42" t="str">
        <f aca="false">IFERROR(__xludf.dummyfunction("""COMPUTED_VALUE"""),"https://hocmai.vn/mod/scorm/view_file.php?inpopup=true&amp;id=181516")</f>
        <v>https://hocmai.vn/mod/scorm/view_file.php?inpopup=true&amp;id=181516</v>
      </c>
      <c r="I73" s="42" t="str">
        <f aca="false">IFERROR(__xludf.dummyfunction("""COMPUTED_VALUE"""),"https://hocmai.vn/mod/scorm/view_file.php?inpopup=true&amp;id=181520")</f>
        <v>https://hocmai.vn/mod/scorm/view_file.php?inpopup=true&amp;id=181520</v>
      </c>
      <c r="J73" s="42" t="str">
        <f aca="false">IFERROR(__xludf.dummyfunction("""COMPUTED_VALUE"""),"https://drive.google.com/drive/folders/16XszIDTs79FfM3eC9t4ZPF8ACAu8VD01?usp=sharing")</f>
        <v>https://drive.google.com/drive/folders/16XszIDTs79FfM3eC9t4ZPF8ACAu8VD01?usp=sharing</v>
      </c>
      <c r="K73" s="68" t="str">
        <f aca="false">IFERROR(__xludf.dummyfunction("""COMPUTED_VALUE"""),"lent")</f>
        <v>lent</v>
      </c>
      <c r="L73" s="68" t="str">
        <f aca="false">IFERROR(__xludf.dummyfunction("""COMPUTED_VALUE"""),"Tưởng Thị Huyền Trang")</f>
        <v>Tưởng Thị Huyền Trang</v>
      </c>
      <c r="M73" s="69" t="str">
        <f aca="false">IFERROR(__xludf.dummyfunction("""COMPUTED_VALUE"""),"https://hocmai.sharepoint.com/Education_Development/Lists/San_xuat_video/DispForm.aspx?ID=12198")</f>
        <v>https://hocmai.sharepoint.com/Education_Development/Lists/San_xuat_video/DispForm.aspx?ID=12198</v>
      </c>
      <c r="N73" s="78" t="n">
        <f aca="false">IFERROR(__xludf.dummyfunction("""COMPUTED_VALUE"""),3313)</f>
        <v>3313</v>
      </c>
      <c r="O73" s="63" t="n">
        <f aca="false">IFERROR(__xludf.dummyfunction("""COMPUTED_VALUE"""),166636)</f>
        <v>166636</v>
      </c>
      <c r="P73" s="63"/>
      <c r="Q73" s="63" t="n">
        <f aca="false">IFERROR(__xludf.dummyfunction("""COMPUTED_VALUE"""),8018)</f>
        <v>8018</v>
      </c>
      <c r="R73" s="41"/>
      <c r="S73" s="41"/>
      <c r="T73" s="63" t="n">
        <f aca="false">IFERROR(__xludf.dummyfunction("""COMPUTED_VALUE"""),8019)</f>
        <v>8019</v>
      </c>
      <c r="U73" s="63" t="n">
        <f aca="false">IFERROR(__xludf.dummyfunction("""COMPUTED_VALUE"""),23713)</f>
        <v>23713</v>
      </c>
      <c r="V73" s="70" t="n">
        <f aca="false">IFERROR(__xludf.dummyfunction("""COMPUTED_VALUE"""),46203)</f>
        <v>46203</v>
      </c>
      <c r="W73" s="39" t="str">
        <f aca="false">IFERROR(__xludf.dummyfunction("""COMPUTED_VALUE"""),"Hoàn thành XB")</f>
        <v>Hoàn thành XB</v>
      </c>
      <c r="X73" s="41" t="str">
        <f aca="false">IFERROR(__xludf.dummyfunction("""COMPUTED_VALUE"""),"Huent7")</f>
        <v>Huent7</v>
      </c>
      <c r="Y73" s="44"/>
      <c r="Z73" s="57"/>
      <c r="AA73" s="57"/>
      <c r="AB73" s="41" t="n">
        <f aca="false">IFERROR(__xludf.dummyfunction("""COMPUTED_VALUE"""),6)</f>
        <v>6</v>
      </c>
      <c r="AC73" s="57"/>
      <c r="AD73" s="46"/>
      <c r="AE73" s="46"/>
      <c r="AF73" s="47" t="str">
        <f aca="false">IFERROR(__xludf.dummyfunction("""COMPUTED_VALUE"""),"lophoctoan-946201")</f>
        <v>lophoctoan-946201</v>
      </c>
      <c r="AG73" s="46" t="str">
        <f aca="false">IFERROR(__xludf.dummyfunction("""COMPUTED_VALUE"""),"")</f>
        <v/>
      </c>
      <c r="AH73" s="53" t="b">
        <f aca="false">IFERROR(__xludf.dummyfunction("""COMPUTED_VALUE"""),TRUE())</f>
        <v>1</v>
      </c>
      <c r="AI73" s="35"/>
      <c r="AJ73" s="35"/>
      <c r="AK73" s="35"/>
      <c r="AL73" s="35"/>
      <c r="AM73" s="35"/>
      <c r="AN73" s="35"/>
      <c r="AO73" s="46"/>
    </row>
    <row r="74" customFormat="false" ht="15.75" hidden="false" customHeight="true" outlineLevel="0" collapsed="false">
      <c r="A74" s="37" t="str">
        <f aca="false">IFERROR(__xludf.dummyfunction("""COMPUTED_VALUE"""),"Toán")</f>
        <v>Toán</v>
      </c>
      <c r="B74" s="37" t="str">
        <f aca="false">IFERROR(__xludf.dummyfunction("""COMPUTED_VALUE"""),"NT_T_27")</f>
        <v>NT_T_27</v>
      </c>
      <c r="C74" s="59" t="str">
        <f aca="false">IFERROR(__xludf.dummyfunction("""COMPUTED_VALUE"""),"Tích phân và phương pháp tính")</f>
        <v>Tích phân và phương pháp tính</v>
      </c>
      <c r="D74" s="39" t="str">
        <f aca="false">IFERROR(__xludf.dummyfunction("""COMPUTED_VALUE"""),"Nguyễn Thanh Tùng")</f>
        <v>Nguyễn Thanh Tùng</v>
      </c>
      <c r="E74" s="40" t="n">
        <f aca="false">IFERROR(__xludf.dummyfunction("""COMPUTED_VALUE"""),46201)</f>
        <v>46201</v>
      </c>
      <c r="F74" s="41" t="str">
        <f aca="false">IFERROR(__xludf.dummyfunction("""COMPUTED_VALUE"""),"CN")</f>
        <v>CN</v>
      </c>
      <c r="G74" s="37" t="str">
        <f aca="false">IFERROR(__xludf.dummyfunction("""COMPUTED_VALUE"""),"18:00-20:00")</f>
        <v>18:00-20:00</v>
      </c>
      <c r="H74" s="42" t="str">
        <f aca="false">IFERROR(__xludf.dummyfunction("""COMPUTED_VALUE"""),"https://hocmai.vn/mod/scorm/view_file.php?id=181573")</f>
        <v>https://hocmai.vn/mod/scorm/view_file.php?id=181573</v>
      </c>
      <c r="I74" s="42" t="str">
        <f aca="false">IFERROR(__xludf.dummyfunction("""COMPUTED_VALUE"""),"https://hocmai.vn/mod/scorm/view_file.php?id=181641")</f>
        <v>https://hocmai.vn/mod/scorm/view_file.php?id=181641</v>
      </c>
      <c r="J74" s="42" t="str">
        <f aca="false">IFERROR(__xludf.dummyfunction("""COMPUTED_VALUE"""),"https://drive.google.com/drive/folders/1JD_Wqht1ev3CUcyCmKEMEbFyaZ9SUFsI?usp=drive_link")</f>
        <v>https://drive.google.com/drive/folders/1JD_Wqht1ev3CUcyCmKEMEbFyaZ9SUFsI?usp=drive_link</v>
      </c>
      <c r="K74" s="68" t="str">
        <f aca="false">IFERROR(__xludf.dummyfunction("""COMPUTED_VALUE"""),"Chientd2")</f>
        <v>Chientd2</v>
      </c>
      <c r="L74" s="68" t="str">
        <f aca="false">IFERROR(__xludf.dummyfunction("""COMPUTED_VALUE"""),"Tưởng Thị Huyền Trang")</f>
        <v>Tưởng Thị Huyền Trang</v>
      </c>
      <c r="M74" s="69" t="str">
        <f aca="false">IFERROR(__xludf.dummyfunction("""COMPUTED_VALUE"""),"https://hocmai.sharepoint.com/Education_Development/Lists/San_xuat_video/DispForm.aspx?ID=12166")</f>
        <v>https://hocmai.sharepoint.com/Education_Development/Lists/San_xuat_video/DispForm.aspx?ID=12166</v>
      </c>
      <c r="N74" s="63" t="n">
        <f aca="false">IFERROR(__xludf.dummyfunction("""COMPUTED_VALUE"""),3312)</f>
        <v>3312</v>
      </c>
      <c r="O74" s="63" t="n">
        <f aca="false">IFERROR(__xludf.dummyfunction("""COMPUTED_VALUE"""),166560)</f>
        <v>166560</v>
      </c>
      <c r="P74" s="63"/>
      <c r="Q74" s="63" t="n">
        <f aca="false">IFERROR(__xludf.dummyfunction("""COMPUTED_VALUE"""),7936)</f>
        <v>7936</v>
      </c>
      <c r="R74" s="41"/>
      <c r="S74" s="41"/>
      <c r="T74" s="63" t="n">
        <f aca="false">IFERROR(__xludf.dummyfunction("""COMPUTED_VALUE"""),7937)</f>
        <v>7937</v>
      </c>
      <c r="U74" s="63" t="n">
        <f aca="false">IFERROR(__xludf.dummyfunction("""COMPUTED_VALUE"""),23738)</f>
        <v>23738</v>
      </c>
      <c r="V74" s="70" t="n">
        <f aca="false">IFERROR(__xludf.dummyfunction("""COMPUTED_VALUE"""),46204)</f>
        <v>46204</v>
      </c>
      <c r="W74" s="39" t="str">
        <f aca="false">IFERROR(__xludf.dummyfunction("""COMPUTED_VALUE"""),"Hoàn thành XB")</f>
        <v>Hoàn thành XB</v>
      </c>
      <c r="X74" s="41" t="str">
        <f aca="false">IFERROR(__xludf.dummyfunction("""COMPUTED_VALUE"""),"Huent7")</f>
        <v>Huent7</v>
      </c>
      <c r="Y74" s="44"/>
      <c r="Z74" s="57"/>
      <c r="AA74" s="57"/>
      <c r="AB74" s="41" t="n">
        <f aca="false">IFERROR(__xludf.dummyfunction("""COMPUTED_VALUE"""),6)</f>
        <v>6</v>
      </c>
      <c r="AC74" s="57"/>
      <c r="AD74" s="46"/>
      <c r="AE74" s="46"/>
      <c r="AF74" s="47" t="str">
        <f aca="false">IFERROR(__xludf.dummyfunction("""COMPUTED_VALUE"""),"lophoctoan-946201")</f>
        <v>lophoctoan-946201</v>
      </c>
      <c r="AG74" s="46" t="str">
        <f aca="false">IFERROR(__xludf.dummyfunction("""COMPUTED_VALUE"""),"")</f>
        <v/>
      </c>
      <c r="AH74" s="53" t="b">
        <f aca="false">IFERROR(__xludf.dummyfunction("""COMPUTED_VALUE"""),TRUE())</f>
        <v>1</v>
      </c>
      <c r="AI74" s="35"/>
      <c r="AJ74" s="35"/>
      <c r="AK74" s="35"/>
      <c r="AL74" s="35"/>
      <c r="AM74" s="35"/>
      <c r="AN74" s="35"/>
      <c r="AO74" s="46"/>
    </row>
    <row r="75" customFormat="false" ht="15.75" hidden="false" customHeight="true" outlineLevel="0" collapsed="false">
      <c r="A75" s="37" t="str">
        <f aca="false">IFERROR(__xludf.dummyfunction("""COMPUTED_VALUE"""),"Đọc hiểu")</f>
        <v>Đọc hiểu</v>
      </c>
      <c r="B75" s="37" t="str">
        <f aca="false">IFERROR(__xludf.dummyfunction("""COMPUTED_VALUE"""),"TOV_TSA_DH03")</f>
        <v>TOV_TSA_DH03</v>
      </c>
      <c r="C75" s="59" t="str">
        <f aca="false">IFERROR(__xludf.dummyfunction("""COMPUTED_VALUE"""),"Từ ngữ và câu văn trong mạch nghĩa của văn bản")</f>
        <v>Từ ngữ và câu văn trong mạch nghĩa của văn bản</v>
      </c>
      <c r="D75" s="39" t="str">
        <f aca="false">IFERROR(__xludf.dummyfunction("""COMPUTED_VALUE"""),"Vũ Khắc Ngọc")</f>
        <v>Vũ Khắc Ngọc</v>
      </c>
      <c r="E75" s="40" t="n">
        <f aca="false">IFERROR(__xludf.dummyfunction("""COMPUTED_VALUE"""),46202)</f>
        <v>46202</v>
      </c>
      <c r="F75" s="41" t="n">
        <f aca="false">IFERROR(__xludf.dummyfunction("""COMPUTED_VALUE"""),2)</f>
        <v>2</v>
      </c>
      <c r="G75" s="37" t="str">
        <f aca="false">IFERROR(__xludf.dummyfunction("""COMPUTED_VALUE"""),"21:30-23:30")</f>
        <v>21:30-23:30</v>
      </c>
      <c r="H75" s="42" t="str">
        <f aca="false">IFERROR(__xludf.dummyfunction("""COMPUTED_VALUE"""),"https://hocmai.vn/mod/scorm/view_file.php?inpopup=true&amp;id=181305")</f>
        <v>https://hocmai.vn/mod/scorm/view_file.php?inpopup=true&amp;id=181305</v>
      </c>
      <c r="I75" s="42" t="str">
        <f aca="false">IFERROR(__xludf.dummyfunction("""COMPUTED_VALUE"""),"https://hocmai.vn/mod/scorm/view_file.php?inpopup=true&amp;id=181306")</f>
        <v>https://hocmai.vn/mod/scorm/view_file.php?inpopup=true&amp;id=181306</v>
      </c>
      <c r="J75" s="42" t="str">
        <f aca="false">IFERROR(__xludf.dummyfunction("""COMPUTED_VALUE"""),"https://drive.google.com/file/d/11f9UwVOxIhuR98wV-Mdg0vTMk_byUXZ5/view?usp=drive_link")</f>
        <v>https://drive.google.com/file/d/11f9UwVOxIhuR98wV-Mdg0vTMk_byUXZ5/view?usp=drive_link</v>
      </c>
      <c r="K75" s="68" t="str">
        <f aca="false">IFERROR(__xludf.dummyfunction("""COMPUTED_VALUE"""),"Hangvt3")</f>
        <v>Hangvt3</v>
      </c>
      <c r="L75" s="68" t="str">
        <f aca="false">IFERROR(__xludf.dummyfunction("""COMPUTED_VALUE"""),"Phan Đức Kiên")</f>
        <v>Phan Đức Kiên</v>
      </c>
      <c r="M75" s="71"/>
      <c r="N75" s="77" t="str">
        <f aca="false">IFERROR(__xludf.dummyfunction("""COMPUTED_VALUE"""),"3109")</f>
        <v>3109</v>
      </c>
      <c r="O75" s="63" t="n">
        <f aca="false">IFERROR(__xludf.dummyfunction("""COMPUTED_VALUE"""),167226)</f>
        <v>167226</v>
      </c>
      <c r="P75" s="63"/>
      <c r="Q75" s="63"/>
      <c r="R75" s="41"/>
      <c r="S75" s="41"/>
      <c r="T75" s="63"/>
      <c r="U75" s="63"/>
      <c r="V75" s="70" t="n">
        <f aca="false">IFERROR(__xludf.dummyfunction("""COMPUTED_VALUE"""),46205)</f>
        <v>46205</v>
      </c>
      <c r="W75" s="39" t="str">
        <f aca="false">IFERROR(__xludf.dummyfunction("""COMPUTED_VALUE"""),"Hoàn thành XB")</f>
        <v>Hoàn thành XB</v>
      </c>
      <c r="X75" s="41" t="str">
        <f aca="false">IFERROR(__xludf.dummyfunction("""COMPUTED_VALUE"""),"Hoantt")</f>
        <v>Hoantt</v>
      </c>
      <c r="Y75" s="44" t="str">
        <f aca="false">IFERROR(__xludf.dummyfunction("""COMPUTED_VALUE"""),"done")</f>
        <v>done</v>
      </c>
      <c r="Z75" s="57" t="str">
        <f aca="false">IFERROR(__xludf.dummyfunction("""COMPUTED_VALUE"""),"#N/A")</f>
        <v>#N/A</v>
      </c>
      <c r="AA75" s="57"/>
      <c r="AB75" s="41" t="n">
        <f aca="false">IFERROR(__xludf.dummyfunction("""COMPUTED_VALUE"""),6)</f>
        <v>6</v>
      </c>
      <c r="AC75" s="57" t="str">
        <f aca="false">IFERROR(__xludf.dummyfunction("""COMPUTED_VALUE"""),"gv.ngocvk@hocmai.edu.vn")</f>
        <v>gv.ngocvk@hocmai.edu.vn</v>
      </c>
      <c r="AD75" s="46" t="str">
        <f aca="false">IFERROR(__xludf.dummyfunction("""COMPUTED_VALUE"""),"duckien010607@gmail.com")</f>
        <v>duckien010607@gmail.com</v>
      </c>
      <c r="AE75" s="46"/>
      <c r="AF75" s="47" t="str">
        <f aca="false">IFERROR(__xludf.dummyfunction("""COMPUTED_VALUE"""),"lophoctoan-946202")</f>
        <v>lophoctoan-946202</v>
      </c>
      <c r="AG75" s="46" t="str">
        <f aca="false">IFERROR(__xludf.dummyfunction("""COMPUTED_VALUE"""),"")</f>
        <v/>
      </c>
      <c r="AH75" s="35"/>
      <c r="AI75" s="53" t="b">
        <f aca="false">IFERROR(__xludf.dummyfunction("""COMPUTED_VALUE"""),TRUE())</f>
        <v>1</v>
      </c>
      <c r="AJ75" s="35"/>
      <c r="AK75" s="35"/>
      <c r="AL75" s="35"/>
      <c r="AM75" s="35"/>
      <c r="AN75" s="35"/>
      <c r="AO75" s="46"/>
    </row>
    <row r="76" customFormat="false" ht="15.75" hidden="false" customHeight="true" outlineLevel="0" collapsed="false">
      <c r="A76" s="37" t="str">
        <f aca="false">IFERROR(__xludf.dummyfunction("""COMPUTED_VALUE"""),"Tiếng Anh")</f>
        <v>Tiếng Anh</v>
      </c>
      <c r="B76" s="37" t="str">
        <f aca="false">IFERROR(__xludf.dummyfunction("""COMPUTED_VALUE"""),"TOV_HV_TA03")</f>
        <v>TOV_HV_TA03</v>
      </c>
      <c r="C76" s="59" t="str">
        <f aca="false">IFERROR(__xludf.dummyfunction("""COMPUTED_VALUE"""),"Mạo từ - Lượng từ - Liên từ")</f>
        <v>Mạo từ - Lượng từ - Liên từ</v>
      </c>
      <c r="D76" s="39" t="str">
        <f aca="false">IFERROR(__xludf.dummyfunction("""COMPUTED_VALUE"""),"Nguyễn Thanh Hương")</f>
        <v>Nguyễn Thanh Hương</v>
      </c>
      <c r="E76" s="40" t="n">
        <f aca="false">IFERROR(__xludf.dummyfunction("""COMPUTED_VALUE"""),46202)</f>
        <v>46202</v>
      </c>
      <c r="F76" s="41" t="n">
        <f aca="false">IFERROR(__xludf.dummyfunction("""COMPUTED_VALUE"""),2)</f>
        <v>2</v>
      </c>
      <c r="G76" s="37" t="str">
        <f aca="false">IFERROR(__xludf.dummyfunction("""COMPUTED_VALUE"""),"20:00-22:00")</f>
        <v>20:00-22:00</v>
      </c>
      <c r="H76" s="37"/>
      <c r="I76" s="37"/>
      <c r="J76" s="42" t="str">
        <f aca="false">IFERROR(__xludf.dummyfunction("""COMPUTED_VALUE"""),"https://drive.google.com/file/d/1GlIDqfdMRpEVmlDQil3n5aIqLjNgX9dH/view?usp=drive_link")</f>
        <v>https://drive.google.com/file/d/1GlIDqfdMRpEVmlDQil3n5aIqLjNgX9dH/view?usp=drive_link</v>
      </c>
      <c r="K76" s="68" t="str">
        <f aca="false">IFERROR(__xludf.dummyfunction("""COMPUTED_VALUE"""),"Dienlt")</f>
        <v>Dienlt</v>
      </c>
      <c r="L76" s="68" t="str">
        <f aca="false">IFERROR(__xludf.dummyfunction("""COMPUTED_VALUE"""),"Nguyễn Lê Thụy Quyên ")</f>
        <v>Nguyễn Lê Thụy Quyên </v>
      </c>
      <c r="M76" s="71"/>
      <c r="N76" s="77" t="str">
        <f aca="false">IFERROR(__xludf.dummyfunction("""COMPUTED_VALUE"""),"3140,3165,3339")</f>
        <v>3140,3165,3339</v>
      </c>
      <c r="O76" s="73" t="str">
        <f aca="false">IFERROR(__xludf.dummyfunction("""COMPUTED_VALUE"""),"167539,167607,167631")</f>
        <v>167539,167607,167631</v>
      </c>
      <c r="P76" s="63" t="str">
        <f aca="false">IFERROR(__xludf.dummyfunction("""COMPUTED_VALUE"""),"9030,9038,9047,9119")</f>
        <v>9030,9038,9047,9119</v>
      </c>
      <c r="Q76" s="63"/>
      <c r="R76" s="41"/>
      <c r="S76" s="41"/>
      <c r="T76" s="63"/>
      <c r="U76" s="63"/>
      <c r="V76" s="70" t="n">
        <f aca="false">IFERROR(__xludf.dummyfunction("""COMPUTED_VALUE"""),46205)</f>
        <v>46205</v>
      </c>
      <c r="W76" s="39" t="str">
        <f aca="false">IFERROR(__xludf.dummyfunction("""COMPUTED_VALUE"""),"Hoàn thành XB")</f>
        <v>Hoàn thành XB</v>
      </c>
      <c r="X76" s="41" t="str">
        <f aca="false">IFERROR(__xludf.dummyfunction("""COMPUTED_VALUE"""),"Dienlt")</f>
        <v>Dienlt</v>
      </c>
      <c r="Y76" s="44" t="str">
        <f aca="false">IFERROR(__xludf.dummyfunction("""COMPUTED_VALUE"""),"done")</f>
        <v>done</v>
      </c>
      <c r="Z76" s="57" t="str">
        <f aca="false">IFERROR(__xludf.dummyfunction("""COMPUTED_VALUE"""),"#N/A")</f>
        <v>#N/A</v>
      </c>
      <c r="AA76" s="57"/>
      <c r="AB76" s="41" t="n">
        <f aca="false">IFERROR(__xludf.dummyfunction("""COMPUTED_VALUE"""),6)</f>
        <v>6</v>
      </c>
      <c r="AC76" s="57" t="str">
        <f aca="false">IFERROR(__xludf.dummyfunction("""COMPUTED_VALUE"""),"gv.huongnt@hocmai.edu.vn ")</f>
        <v>gv.huongnt@hocmai.edu.vn </v>
      </c>
      <c r="AD76" s="46" t="str">
        <f aca="false">IFERROR(__xludf.dummyfunction("""COMPUTED_VALUE"""),"nguyenlethuyquyencp@gmail.com")</f>
        <v>nguyenlethuyquyencp@gmail.com</v>
      </c>
      <c r="AE76" s="46"/>
      <c r="AF76" s="47" t="str">
        <f aca="false">IFERROR(__xludf.dummyfunction("""COMPUTED_VALUE"""),"lophoctienganh46202")</f>
        <v>lophoctienganh46202</v>
      </c>
      <c r="AG76" s="46" t="str">
        <f aca="false">IFERROR(__xludf.dummyfunction("""COMPUTED_VALUE"""),"")</f>
        <v/>
      </c>
      <c r="AH76" s="35"/>
      <c r="AI76" s="35"/>
      <c r="AJ76" s="53" t="b">
        <f aca="false">IFERROR(__xludf.dummyfunction("""COMPUTED_VALUE"""),TRUE())</f>
        <v>1</v>
      </c>
      <c r="AK76" s="53" t="b">
        <f aca="false">IFERROR(__xludf.dummyfunction("""COMPUTED_VALUE"""),TRUE())</f>
        <v>1</v>
      </c>
      <c r="AL76" s="35"/>
      <c r="AM76" s="53" t="b">
        <f aca="false">IFERROR(__xludf.dummyfunction("""COMPUTED_VALUE"""),TRUE())</f>
        <v>1</v>
      </c>
      <c r="AN76" s="53" t="b">
        <f aca="false">IFERROR(__xludf.dummyfunction("""COMPUTED_VALUE"""),TRUE())</f>
        <v>1</v>
      </c>
      <c r="AO76" s="46"/>
    </row>
    <row r="77" customFormat="false" ht="15.75" hidden="false" customHeight="true" outlineLevel="0" collapsed="false">
      <c r="A77" s="37" t="str">
        <f aca="false">IFERROR(__xludf.dummyfunction("""COMPUTED_VALUE"""),"Hóa học")</f>
        <v>Hóa học</v>
      </c>
      <c r="B77" s="37" t="str">
        <f aca="false">IFERROR(__xludf.dummyfunction("""COMPUTED_VALUE"""),"TOV_HSA_HH03")</f>
        <v>TOV_HSA_HH03</v>
      </c>
      <c r="C77" s="59" t="str">
        <f aca="false">IFERROR(__xludf.dummyfunction("""COMPUTED_VALUE"""),"Liên kết hóa học")</f>
        <v>Liên kết hóa học</v>
      </c>
      <c r="D77" s="39" t="str">
        <f aca="false">IFERROR(__xludf.dummyfunction("""COMPUTED_VALUE"""),"Chu Hải Long")</f>
        <v>Chu Hải Long</v>
      </c>
      <c r="E77" s="40" t="n">
        <f aca="false">IFERROR(__xludf.dummyfunction("""COMPUTED_VALUE"""),46202)</f>
        <v>46202</v>
      </c>
      <c r="F77" s="41" t="n">
        <f aca="false">IFERROR(__xludf.dummyfunction("""COMPUTED_VALUE"""),2)</f>
        <v>2</v>
      </c>
      <c r="G77" s="37" t="str">
        <f aca="false">IFERROR(__xludf.dummyfunction("""COMPUTED_VALUE"""),"20:00-22:00")</f>
        <v>20:00-22:00</v>
      </c>
      <c r="H77" s="42" t="str">
        <f aca="false">IFERROR(__xludf.dummyfunction("""COMPUTED_VALUE"""),"https://hocmai.vn/mod/scorm/view_file.php?id=181574")</f>
        <v>https://hocmai.vn/mod/scorm/view_file.php?id=181574</v>
      </c>
      <c r="I77" s="42" t="str">
        <f aca="false">IFERROR(__xludf.dummyfunction("""COMPUTED_VALUE"""),"https://hocmai.vn/mod/scorm/view_file.php?id=181575")</f>
        <v>https://hocmai.vn/mod/scorm/view_file.php?id=181575</v>
      </c>
      <c r="J77" s="42" t="str">
        <f aca="false">IFERROR(__xludf.dummyfunction("""COMPUTED_VALUE"""),"3. TOV_HSA_HH03 – LIÊN KẾT HÓA HỌC")</f>
        <v>3. TOV_HSA_HH03 – LIÊN KẾT HÓA HỌC</v>
      </c>
      <c r="K77" s="68" t="str">
        <f aca="false">IFERROR(__xludf.dummyfunction("""COMPUTED_VALUE"""),"Huebt")</f>
        <v>Huebt</v>
      </c>
      <c r="L77" s="68" t="str">
        <f aca="false">IFERROR(__xludf.dummyfunction("""COMPUTED_VALUE"""),"Võ Hương Giang")</f>
        <v>Võ Hương Giang</v>
      </c>
      <c r="M77" s="71"/>
      <c r="N77" s="77" t="str">
        <f aca="false">IFERROR(__xludf.dummyfunction("""COMPUTED_VALUE"""),"3120")</f>
        <v>3120</v>
      </c>
      <c r="O77" s="63" t="n">
        <f aca="false">IFERROR(__xludf.dummyfunction("""COMPUTED_VALUE"""),167427)</f>
        <v>167427</v>
      </c>
      <c r="P77" s="63"/>
      <c r="Q77" s="63"/>
      <c r="R77" s="41"/>
      <c r="S77" s="41"/>
      <c r="T77" s="63" t="n">
        <f aca="false">IFERROR(__xludf.dummyfunction("""COMPUTED_VALUE"""),23731)</f>
        <v>23731</v>
      </c>
      <c r="U77" s="63" t="n">
        <f aca="false">IFERROR(__xludf.dummyfunction("""COMPUTED_VALUE"""),10480)</f>
        <v>10480</v>
      </c>
      <c r="V77" s="70" t="n">
        <f aca="false">IFERROR(__xludf.dummyfunction("""COMPUTED_VALUE"""),46205)</f>
        <v>46205</v>
      </c>
      <c r="W77" s="39" t="str">
        <f aca="false">IFERROR(__xludf.dummyfunction("""COMPUTED_VALUE"""),"Hoàn thành XB")</f>
        <v>Hoàn thành XB</v>
      </c>
      <c r="X77" s="41" t="str">
        <f aca="false">IFERROR(__xludf.dummyfunction("""COMPUTED_VALUE"""),"Huebt")</f>
        <v>Huebt</v>
      </c>
      <c r="Y77" s="44" t="str">
        <f aca="false">IFERROR(__xludf.dummyfunction("""COMPUTED_VALUE"""),"done")</f>
        <v>done</v>
      </c>
      <c r="Z77" s="57" t="str">
        <f aca="false">IFERROR(__xludf.dummyfunction("""COMPUTED_VALUE"""),"#N/A")</f>
        <v>#N/A</v>
      </c>
      <c r="AA77" s="57"/>
      <c r="AB77" s="41" t="n">
        <f aca="false">IFERROR(__xludf.dummyfunction("""COMPUTED_VALUE"""),6)</f>
        <v>6</v>
      </c>
      <c r="AC77" s="57" t="str">
        <f aca="false">IFERROR(__xludf.dummyfunction("""COMPUTED_VALUE"""),"gv.longch@hocmai.edu.vn")</f>
        <v>gv.longch@hocmai.edu.vn</v>
      </c>
      <c r="AD77" s="46" t="str">
        <f aca="false">IFERROR(__xludf.dummyfunction("""COMPUTED_VALUE"""),"giangvh@ctv.hocmai.vn")</f>
        <v>giangvh@ctv.hocmai.vn</v>
      </c>
      <c r="AE77" s="46"/>
      <c r="AF77" s="74" t="b">
        <f aca="false">IFERROR(__xludf.dummyfunction("""COMPUTED_VALUE"""),FALSE())</f>
        <v>0</v>
      </c>
      <c r="AG77" s="46" t="str">
        <f aca="false">IFERROR(__xludf.dummyfunction("""COMPUTED_VALUE"""),"")</f>
        <v/>
      </c>
      <c r="AH77" s="35"/>
      <c r="AI77" s="35"/>
      <c r="AJ77" s="53" t="b">
        <f aca="false">IFERROR(__xludf.dummyfunction("""COMPUTED_VALUE"""),TRUE())</f>
        <v>1</v>
      </c>
      <c r="AK77" s="53" t="b">
        <f aca="false">IFERROR(__xludf.dummyfunction("""COMPUTED_VALUE"""),TRUE())</f>
        <v>1</v>
      </c>
      <c r="AL77" s="35"/>
      <c r="AM77" s="35"/>
      <c r="AN77" s="35"/>
      <c r="AO77" s="46"/>
    </row>
    <row r="78" customFormat="false" ht="15.75" hidden="false" customHeight="true" outlineLevel="0" collapsed="false">
      <c r="A78" s="37" t="str">
        <f aca="false">IFERROR(__xludf.dummyfunction("""COMPUTED_VALUE"""),"Toán")</f>
        <v>Toán</v>
      </c>
      <c r="B78" s="37" t="str">
        <f aca="false">IFERROR(__xludf.dummyfunction("""COMPUTED_VALUE"""),"TOV_TC_T03")</f>
        <v>TOV_TC_T03</v>
      </c>
      <c r="C78" s="59" t="str">
        <f aca="false">IFERROR(__xludf.dummyfunction("""COMPUTED_VALUE"""),"Bài toán thực tế có yếu tố cực trị, tối ưu")</f>
        <v>Bài toán thực tế có yếu tố cực trị, tối ưu</v>
      </c>
      <c r="D78" s="39" t="str">
        <f aca="false">IFERROR(__xludf.dummyfunction("""COMPUTED_VALUE"""),"Nguyễn Thanh Tùng")</f>
        <v>Nguyễn Thanh Tùng</v>
      </c>
      <c r="E78" s="40" t="n">
        <f aca="false">IFERROR(__xludf.dummyfunction("""COMPUTED_VALUE"""),46203)</f>
        <v>46203</v>
      </c>
      <c r="F78" s="41" t="n">
        <f aca="false">IFERROR(__xludf.dummyfunction("""COMPUTED_VALUE"""),3)</f>
        <v>3</v>
      </c>
      <c r="G78" s="37" t="str">
        <f aca="false">IFERROR(__xludf.dummyfunction("""COMPUTED_VALUE"""),"21:00-23:00")</f>
        <v>21:00-23:00</v>
      </c>
      <c r="H78" s="42" t="str">
        <f aca="false">IFERROR(__xludf.dummyfunction("""COMPUTED_VALUE"""),"https://hocmai.vn/file.php/3315/Tai_lieu_live_2026_-_2027/TLHS_TOV_TC_T03_BAI_TOAN_THUC_TE_CO_YEU_TO_CUC_TRI_TOI_UU.pdf")</f>
        <v>https://hocmai.vn/file.php/3315/Tai_lieu_live_2026_-_2027/TLHS_TOV_TC_T03_BAI_TOAN_THUC_TE_CO_YEU_TO_CUC_TRI_TOI_UU.pdf</v>
      </c>
      <c r="I78" s="37"/>
      <c r="J78" s="42" t="str">
        <f aca="false">IFERROR(__xludf.dummyfunction("""COMPUTED_VALUE"""),"https://drive.google.com/drive/folders/1vRR9fM63F8zLQuvNu4w5wJEifI4wd4aS?usp=drive_link")</f>
        <v>https://drive.google.com/drive/folders/1vRR9fM63F8zLQuvNu4w5wJEifI4wd4aS?usp=drive_link</v>
      </c>
      <c r="K78" s="68" t="str">
        <f aca="false">IFERROR(__xludf.dummyfunction("""COMPUTED_VALUE"""),"Chientd2")</f>
        <v>Chientd2</v>
      </c>
      <c r="L78" s="68" t="str">
        <f aca="false">IFERROR(__xludf.dummyfunction("""COMPUTED_VALUE"""),"Tưởng Thị Huyền Trang")</f>
        <v>Tưởng Thị Huyền Trang</v>
      </c>
      <c r="M78" s="71"/>
      <c r="N78" s="77" t="str">
        <f aca="false">IFERROR(__xludf.dummyfunction("""COMPUTED_VALUE"""),"3108,3117,3315,3127,3314")</f>
        <v>3108,3117,3315,3127,3314</v>
      </c>
      <c r="O78" s="63" t="str">
        <f aca="false">IFERROR(__xludf.dummyfunction("""COMPUTED_VALUE"""),"168359, 168574, 168315, 167461, 167061")</f>
        <v>168359, 168574, 168315, 167461, 167061</v>
      </c>
      <c r="P78" s="63" t="str">
        <f aca="false">IFERROR(__xludf.dummyfunction("""COMPUTED_VALUE"""),"9025,9028,9036,9104,9106,9017,9102")</f>
        <v>9025,9028,9036,9104,9106,9017,9102</v>
      </c>
      <c r="Q78" s="63" t="n">
        <f aca="false">IFERROR(__xludf.dummyfunction("""COMPUTED_VALUE"""),167061)</f>
        <v>167061</v>
      </c>
      <c r="R78" s="41"/>
      <c r="S78" s="41"/>
      <c r="T78" s="63" t="str">
        <f aca="false">IFERROR(__xludf.dummyfunction("""COMPUTED_VALUE"""),"23749, 23757, 23758")</f>
        <v>23749, 23757, 23758</v>
      </c>
      <c r="U78" s="63"/>
      <c r="V78" s="70" t="n">
        <f aca="false">IFERROR(__xludf.dummyfunction("""COMPUTED_VALUE"""),46206)</f>
        <v>46206</v>
      </c>
      <c r="W78" s="39" t="str">
        <f aca="false">IFERROR(__xludf.dummyfunction("""COMPUTED_VALUE"""),"Hoàn thành XB")</f>
        <v>Hoàn thành XB</v>
      </c>
      <c r="X78" s="41" t="str">
        <f aca="false">IFERROR(__xludf.dummyfunction("""COMPUTED_VALUE"""),"Chientd2")</f>
        <v>Chientd2</v>
      </c>
      <c r="Y78" s="44" t="str">
        <f aca="false">IFERROR(__xludf.dummyfunction("""COMPUTED_VALUE"""),"done")</f>
        <v>done</v>
      </c>
      <c r="Z78" s="57" t="str">
        <f aca="false">IFERROR(__xludf.dummyfunction("""COMPUTED_VALUE"""),"#N/A")</f>
        <v>#N/A</v>
      </c>
      <c r="AA78" s="57"/>
      <c r="AB78" s="41" t="n">
        <f aca="false">IFERROR(__xludf.dummyfunction("""COMPUTED_VALUE"""),6)</f>
        <v>6</v>
      </c>
      <c r="AC78" s="57" t="str">
        <f aca="false">IFERROR(__xludf.dummyfunction("""COMPUTED_VALUE"""),"gv.tungnt@hocmai.edu.vn ")</f>
        <v>gv.tungnt@hocmai.edu.vn </v>
      </c>
      <c r="AD78" s="46" t="str">
        <f aca="false">IFERROR(__xludf.dummyfunction("""COMPUTED_VALUE"""),"trangcrazy699@gmail.com")</f>
        <v>trangcrazy699@gmail.com</v>
      </c>
      <c r="AE78" s="46"/>
      <c r="AF78" s="47" t="str">
        <f aca="false">IFERROR(__xludf.dummyfunction("""COMPUTED_VALUE"""),"lophoctoan-946203")</f>
        <v>lophoctoan-946203</v>
      </c>
      <c r="AG78" s="46" t="str">
        <f aca="false">IFERROR(__xludf.dummyfunction("""COMPUTED_VALUE"""),"")</f>
        <v/>
      </c>
      <c r="AH78" s="35"/>
      <c r="AI78" s="53" t="b">
        <f aca="false">IFERROR(__xludf.dummyfunction("""COMPUTED_VALUE"""),TRUE())</f>
        <v>1</v>
      </c>
      <c r="AJ78" s="53" t="b">
        <f aca="false">IFERROR(__xludf.dummyfunction("""COMPUTED_VALUE"""),TRUE())</f>
        <v>1</v>
      </c>
      <c r="AK78" s="53" t="b">
        <f aca="false">IFERROR(__xludf.dummyfunction("""COMPUTED_VALUE"""),TRUE())</f>
        <v>1</v>
      </c>
      <c r="AL78" s="53" t="b">
        <f aca="false">IFERROR(__xludf.dummyfunction("""COMPUTED_VALUE"""),TRUE())</f>
        <v>1</v>
      </c>
      <c r="AM78" s="35"/>
      <c r="AN78" s="35"/>
      <c r="AO78" s="46"/>
    </row>
    <row r="79" customFormat="false" ht="15.75" hidden="false" customHeight="true" outlineLevel="0" collapsed="false">
      <c r="A79" s="37" t="str">
        <f aca="false">IFERROR(__xludf.dummyfunction("""COMPUTED_VALUE"""),"Tiếng Việt")</f>
        <v>Tiếng Việt</v>
      </c>
      <c r="B79" s="37" t="str">
        <f aca="false">IFERROR(__xludf.dummyfunction("""COMPUTED_VALUE"""),"TOV_V-ACT_TV03")</f>
        <v>TOV_V-ACT_TV03</v>
      </c>
      <c r="C79" s="59" t="str">
        <f aca="false">IFERROR(__xludf.dummyfunction("""COMPUTED_VALUE"""),"Một số thể loại văn học dân gian tiêu biểu_Phần 1")</f>
        <v>Một số thể loại văn học dân gian tiêu biểu_Phần 1</v>
      </c>
      <c r="D79" s="39" t="str">
        <f aca="false">IFERROR(__xludf.dummyfunction("""COMPUTED_VALUE"""),"Văn Trịnh Quỳnh An")</f>
        <v>Văn Trịnh Quỳnh An</v>
      </c>
      <c r="E79" s="40" t="n">
        <f aca="false">IFERROR(__xludf.dummyfunction("""COMPUTED_VALUE"""),46203)</f>
        <v>46203</v>
      </c>
      <c r="F79" s="41" t="n">
        <f aca="false">IFERROR(__xludf.dummyfunction("""COMPUTED_VALUE"""),3)</f>
        <v>3</v>
      </c>
      <c r="G79" s="37" t="str">
        <f aca="false">IFERROR(__xludf.dummyfunction("""COMPUTED_VALUE"""),"20:00-21:30")</f>
        <v>20:00-21:30</v>
      </c>
      <c r="H79" s="37"/>
      <c r="I79" s="37"/>
      <c r="J79" s="42" t="str">
        <f aca="false">IFERROR(__xludf.dummyfunction("""COMPUTED_VALUE"""),"https://drive.google.com/drive/folders/1nztZLDoxOaI0yXB_fmec7KbycJIqPRst")</f>
        <v>https://drive.google.com/drive/folders/1nztZLDoxOaI0yXB_fmec7KbycJIqPRst</v>
      </c>
      <c r="K79" s="68" t="str">
        <f aca="false">IFERROR(__xludf.dummyfunction("""COMPUTED_VALUE"""),"Hangvt3")</f>
        <v>Hangvt3</v>
      </c>
      <c r="L79" s="68" t="str">
        <f aca="false">IFERROR(__xludf.dummyfunction("""COMPUTED_VALUE"""),"Bùi Vĩnh Thọ")</f>
        <v>Bùi Vĩnh Thọ</v>
      </c>
      <c r="M79" s="71"/>
      <c r="N79" s="77" t="str">
        <f aca="false">IFERROR(__xludf.dummyfunction("""COMPUTED_VALUE"""),"3125,3338")</f>
        <v>3125,3338</v>
      </c>
      <c r="O79" s="73" t="n">
        <f aca="false">IFERROR(__xludf.dummyfunction("""COMPUTED_VALUE"""),167355.17477)</f>
        <v>167355.17477</v>
      </c>
      <c r="P79" s="63" t="n">
        <f aca="false">IFERROR(__xludf.dummyfunction("""COMPUTED_VALUE"""),174770)</f>
        <v>174770</v>
      </c>
      <c r="Q79" s="63"/>
      <c r="R79" s="41"/>
      <c r="S79" s="41"/>
      <c r="T79" s="63"/>
      <c r="U79" s="63"/>
      <c r="V79" s="70" t="n">
        <f aca="false">IFERROR(__xludf.dummyfunction("""COMPUTED_VALUE"""),46206)</f>
        <v>46206</v>
      </c>
      <c r="W79" s="39" t="str">
        <f aca="false">IFERROR(__xludf.dummyfunction("""COMPUTED_VALUE"""),"Hoàn thành XB")</f>
        <v>Hoàn thành XB</v>
      </c>
      <c r="X79" s="41" t="str">
        <f aca="false">IFERROR(__xludf.dummyfunction("""COMPUTED_VALUE"""),"Hoantt")</f>
        <v>Hoantt</v>
      </c>
      <c r="Y79" s="44" t="str">
        <f aca="false">IFERROR(__xludf.dummyfunction("""COMPUTED_VALUE"""),"done")</f>
        <v>done</v>
      </c>
      <c r="Z79" s="57" t="str">
        <f aca="false">IFERROR(__xludf.dummyfunction("""COMPUTED_VALUE"""),"#N/A")</f>
        <v>#N/A</v>
      </c>
      <c r="AA79" s="57"/>
      <c r="AB79" s="41" t="n">
        <f aca="false">IFERROR(__xludf.dummyfunction("""COMPUTED_VALUE"""),6)</f>
        <v>6</v>
      </c>
      <c r="AC79" s="57" t="str">
        <f aca="false">IFERROR(__xludf.dummyfunction("""COMPUTED_VALUE"""),"gv.anvtq@hocmai.edu.vn ")</f>
        <v>gv.anvtq@hocmai.edu.vn </v>
      </c>
      <c r="AD79" s="46" t="str">
        <f aca="false">IFERROR(__xludf.dummyfunction("""COMPUTED_VALUE"""),"vinhtho0704@gmail.com")</f>
        <v>vinhtho0704@gmail.com</v>
      </c>
      <c r="AE79" s="46"/>
      <c r="AF79" s="74" t="b">
        <f aca="false">IFERROR(__xludf.dummyfunction("""COMPUTED_VALUE"""),FALSE())</f>
        <v>0</v>
      </c>
      <c r="AG79" s="46" t="str">
        <f aca="false">IFERROR(__xludf.dummyfunction("""COMPUTED_VALUE"""),"")</f>
        <v/>
      </c>
      <c r="AH79" s="35"/>
      <c r="AI79" s="35"/>
      <c r="AJ79" s="35"/>
      <c r="AK79" s="35"/>
      <c r="AL79" s="35"/>
      <c r="AM79" s="53" t="b">
        <f aca="false">IFERROR(__xludf.dummyfunction("""COMPUTED_VALUE"""),TRUE())</f>
        <v>1</v>
      </c>
      <c r="AN79" s="53" t="b">
        <f aca="false">IFERROR(__xludf.dummyfunction("""COMPUTED_VALUE"""),TRUE())</f>
        <v>1</v>
      </c>
      <c r="AO79" s="46"/>
    </row>
    <row r="80" customFormat="false" ht="15.75" hidden="false" customHeight="true" outlineLevel="0" collapsed="false">
      <c r="A80" s="37" t="str">
        <f aca="false">IFERROR(__xludf.dummyfunction("""COMPUTED_VALUE"""),"Định tính")</f>
        <v>Định tính</v>
      </c>
      <c r="B80" s="39" t="str">
        <f aca="false">IFERROR(__xludf.dummyfunction("""COMPUTED_VALUE"""),"TOV_HSA_DT03")</f>
        <v>TOV_HSA_DT03</v>
      </c>
      <c r="C80" s="37" t="str">
        <f aca="false">IFERROR(__xludf.dummyfunction("""COMPUTED_VALUE"""),"Tiếng Việt: Cấu trúc, liên kết câu và logic diễn đạt")</f>
        <v>Tiếng Việt: Cấu trúc, liên kết câu và logic diễn đạt</v>
      </c>
      <c r="D80" s="39" t="str">
        <f aca="false">IFERROR(__xludf.dummyfunction("""COMPUTED_VALUE"""),"Vương Thúy Hằng")</f>
        <v>Vương Thúy Hằng</v>
      </c>
      <c r="E80" s="40" t="n">
        <f aca="false">IFERROR(__xludf.dummyfunction("""COMPUTED_VALUE"""),46204)</f>
        <v>46204</v>
      </c>
      <c r="F80" s="41" t="n">
        <f aca="false">IFERROR(__xludf.dummyfunction("""COMPUTED_VALUE"""),4)</f>
        <v>4</v>
      </c>
      <c r="G80" s="37" t="str">
        <f aca="false">IFERROR(__xludf.dummyfunction("""COMPUTED_VALUE"""),"21:00-23:00")</f>
        <v>21:00-23:00</v>
      </c>
      <c r="H80" s="42" t="str">
        <f aca="false">IFERROR(__xludf.dummyfunction("""COMPUTED_VALUE"""),"https://hocmai.vn/mod/scorm/view_file.php?inpopup=true&amp;id=181519")</f>
        <v>https://hocmai.vn/mod/scorm/view_file.php?inpopup=true&amp;id=181519</v>
      </c>
      <c r="I80" s="37"/>
      <c r="J80" s="42" t="str">
        <f aca="false">IFERROR(__xludf.dummyfunction("""COMPUTED_VALUE"""),"https://drive.google.com/file/d/1SAd0E-YbkOdUwUNQphAjou6JwMZ8nJIM/view?usp=drive_link")</f>
        <v>https://drive.google.com/file/d/1SAd0E-YbkOdUwUNQphAjou6JwMZ8nJIM/view?usp=drive_link</v>
      </c>
      <c r="K80" s="68" t="str">
        <f aca="false">IFERROR(__xludf.dummyfunction("""COMPUTED_VALUE"""),"Hangvt3")</f>
        <v>Hangvt3</v>
      </c>
      <c r="L80" s="68" t="str">
        <f aca="false">IFERROR(__xludf.dummyfunction("""COMPUTED_VALUE"""),"Kiều Bảo Minh")</f>
        <v>Kiều Bảo Minh</v>
      </c>
      <c r="M80" s="71"/>
      <c r="N80" s="77" t="str">
        <f aca="false">IFERROR(__xludf.dummyfunction("""COMPUTED_VALUE"""),"3118")</f>
        <v>3118</v>
      </c>
      <c r="O80" s="63" t="n">
        <f aca="false">IFERROR(__xludf.dummyfunction("""COMPUTED_VALUE"""),167292)</f>
        <v>167292</v>
      </c>
      <c r="P80" s="63"/>
      <c r="Q80" s="63"/>
      <c r="R80" s="41"/>
      <c r="S80" s="41"/>
      <c r="T80" s="63"/>
      <c r="U80" s="63"/>
      <c r="V80" s="70" t="n">
        <f aca="false">IFERROR(__xludf.dummyfunction("""COMPUTED_VALUE"""),46207)</f>
        <v>46207</v>
      </c>
      <c r="W80" s="39" t="str">
        <f aca="false">IFERROR(__xludf.dummyfunction("""COMPUTED_VALUE"""),"Hoàn thành XB")</f>
        <v>Hoàn thành XB</v>
      </c>
      <c r="X80" s="41" t="str">
        <f aca="false">IFERROR(__xludf.dummyfunction("""COMPUTED_VALUE"""),"Hoantt")</f>
        <v>Hoantt</v>
      </c>
      <c r="Y80" s="44" t="str">
        <f aca="false">IFERROR(__xludf.dummyfunction("""COMPUTED_VALUE"""),"done")</f>
        <v>done</v>
      </c>
      <c r="Z80" s="57" t="str">
        <f aca="false">IFERROR(__xludf.dummyfunction("""COMPUTED_VALUE"""),"#N/A")</f>
        <v>#N/A</v>
      </c>
      <c r="AA80" s="57"/>
      <c r="AB80" s="41" t="n">
        <f aca="false">IFERROR(__xludf.dummyfunction("""COMPUTED_VALUE"""),7)</f>
        <v>7</v>
      </c>
      <c r="AC80" s="57" t="str">
        <f aca="false">IFERROR(__xludf.dummyfunction("""COMPUTED_VALUE"""),"gv.hangvt@hocmai.edu.vn ")</f>
        <v>gv.hangvt@hocmai.edu.vn </v>
      </c>
      <c r="AD80" s="46" t="str">
        <f aca="false">IFERROR(__xludf.dummyfunction("""COMPUTED_VALUE"""),"mkieu2662@gmail.com")</f>
        <v>mkieu2662@gmail.com</v>
      </c>
      <c r="AE80" s="46"/>
      <c r="AF80" s="74" t="b">
        <f aca="false">IFERROR(__xludf.dummyfunction("""COMPUTED_VALUE"""),FALSE())</f>
        <v>0</v>
      </c>
      <c r="AG80" s="46" t="str">
        <f aca="false">IFERROR(__xludf.dummyfunction("""COMPUTED_VALUE"""),"")</f>
        <v/>
      </c>
      <c r="AH80" s="35"/>
      <c r="AI80" s="35"/>
      <c r="AJ80" s="53" t="b">
        <f aca="false">IFERROR(__xludf.dummyfunction("""COMPUTED_VALUE"""),TRUE())</f>
        <v>1</v>
      </c>
      <c r="AK80" s="53" t="b">
        <f aca="false">IFERROR(__xludf.dummyfunction("""COMPUTED_VALUE"""),TRUE())</f>
        <v>1</v>
      </c>
      <c r="AL80" s="35"/>
      <c r="AM80" s="35"/>
      <c r="AN80" s="35"/>
      <c r="AO80" s="46"/>
    </row>
    <row r="81" customFormat="false" ht="15.75" hidden="false" customHeight="true" outlineLevel="0" collapsed="false">
      <c r="A81" s="37" t="str">
        <f aca="false">IFERROR(__xludf.dummyfunction("""COMPUTED_VALUE"""),"Vật lí")</f>
        <v>Vật lí</v>
      </c>
      <c r="B81" s="37" t="str">
        <f aca="false">IFERROR(__xludf.dummyfunction("""COMPUTED_VALUE"""),"TOV_TSA_L03")</f>
        <v>TOV_TSA_L03</v>
      </c>
      <c r="C81" s="59" t="str">
        <f aca="false">IFERROR(__xludf.dummyfunction("""COMPUTED_VALUE"""),"Rơi tự do, chuyển động ném và chuyển động tròn")</f>
        <v>Rơi tự do, chuyển động ném và chuyển động tròn</v>
      </c>
      <c r="D81" s="39" t="str">
        <f aca="false">IFERROR(__xludf.dummyfunction("""COMPUTED_VALUE"""),"Thiều Thị Dung")</f>
        <v>Thiều Thị Dung</v>
      </c>
      <c r="E81" s="40" t="n">
        <f aca="false">IFERROR(__xludf.dummyfunction("""COMPUTED_VALUE"""),46205)</f>
        <v>46205</v>
      </c>
      <c r="F81" s="41" t="n">
        <f aca="false">IFERROR(__xludf.dummyfunction("""COMPUTED_VALUE"""),5)</f>
        <v>5</v>
      </c>
      <c r="G81" s="37" t="str">
        <f aca="false">IFERROR(__xludf.dummyfunction("""COMPUTED_VALUE"""),"21:00-23:00")</f>
        <v>21:00-23:00</v>
      </c>
      <c r="H81" s="42" t="str">
        <f aca="false">IFERROR(__xludf.dummyfunction("""COMPUTED_VALUE"""),"https://hocmai.vn/file.php/3110/Nam_hoc_2026_-_2027/VAT_LI/TAI_LIEU_HOC_SINH/TLHS_TOV_TSA_L03._Roi_tu_do_chuyen_dong_nem_va_chuyen_dong_tron.pdf")</f>
        <v>https://hocmai.vn/file.php/3110/Nam_hoc_2026_-_2027/VAT_LI/TAI_LIEU_HOC_SINH/TLHS_TOV_TSA_L03._Roi_tu_do_chuyen_dong_nem_va_chuyen_dong_tron.pdf</v>
      </c>
      <c r="I81" s="42" t="str">
        <f aca="false">IFERROR(__xludf.dummyfunction("""COMPUTED_VALUE"""),"https://hocmai.vn/file.php/3110/Nam_hoc_2026_-_2027/VAT_LI/BTTL/BTTL_TOV_TSA_L03._Roi_tu_do_chuyen_dong_nem_va_chuyen_dong_tron.pdf")</f>
        <v>https://hocmai.vn/file.php/3110/Nam_hoc_2026_-_2027/VAT_LI/BTTL/BTTL_TOV_TSA_L03._Roi_tu_do_chuyen_dong_nem_va_chuyen_dong_tron.pdf</v>
      </c>
      <c r="J81" s="42" t="str">
        <f aca="false">IFERROR(__xludf.dummyfunction("""COMPUTED_VALUE"""),"https://drive.google.com/drive/folders/1ZoHAVaoedEunp9pMyTySpikj6095yDTI")</f>
        <v>https://drive.google.com/drive/folders/1ZoHAVaoedEunp9pMyTySpikj6095yDTI</v>
      </c>
      <c r="K81" s="68" t="str">
        <f aca="false">IFERROR(__xludf.dummyfunction("""COMPUTED_VALUE"""),"Trangnth2")</f>
        <v>Trangnth2</v>
      </c>
      <c r="L81" s="68" t="str">
        <f aca="false">IFERROR(__xludf.dummyfunction("""COMPUTED_VALUE"""),"Trần Đức Lương")</f>
        <v>Trần Đức Lương</v>
      </c>
      <c r="M81" s="71"/>
      <c r="N81" s="77" t="str">
        <f aca="false">IFERROR(__xludf.dummyfunction("""COMPUTED_VALUE"""),"3110")</f>
        <v>3110</v>
      </c>
      <c r="O81" s="63" t="n">
        <f aca="false">IFERROR(__xludf.dummyfunction("""COMPUTED_VALUE"""),167250)</f>
        <v>167250</v>
      </c>
      <c r="P81" s="63"/>
      <c r="Q81" s="63"/>
      <c r="R81" s="41"/>
      <c r="S81" s="41"/>
      <c r="T81" s="63"/>
      <c r="U81" s="63"/>
      <c r="V81" s="70" t="n">
        <f aca="false">IFERROR(__xludf.dummyfunction("""COMPUTED_VALUE"""),46208)</f>
        <v>46208</v>
      </c>
      <c r="W81" s="39" t="str">
        <f aca="false">IFERROR(__xludf.dummyfunction("""COMPUTED_VALUE"""),"Hoàn thành XB")</f>
        <v>Hoàn thành XB</v>
      </c>
      <c r="X81" s="41" t="str">
        <f aca="false">IFERROR(__xludf.dummyfunction("""COMPUTED_VALUE"""),"Trangnth2")</f>
        <v>Trangnth2</v>
      </c>
      <c r="Y81" s="44" t="str">
        <f aca="false">IFERROR(__xludf.dummyfunction("""COMPUTED_VALUE"""),"done")</f>
        <v>done</v>
      </c>
      <c r="Z81" s="57" t="str">
        <f aca="false">IFERROR(__xludf.dummyfunction("""COMPUTED_VALUE"""),"#N/A")</f>
        <v>#N/A</v>
      </c>
      <c r="AA81" s="57"/>
      <c r="AB81" s="41" t="n">
        <f aca="false">IFERROR(__xludf.dummyfunction("""COMPUTED_VALUE"""),7)</f>
        <v>7</v>
      </c>
      <c r="AC81" s="57" t="str">
        <f aca="false">IFERROR(__xludf.dummyfunction("""COMPUTED_VALUE"""),"dungtt2@hocmai.vn                ")</f>
        <v>dungtt2@hocmai.vn                </v>
      </c>
      <c r="AD81" s="46" t="str">
        <f aca="false">IFERROR(__xludf.dummyfunction("""COMPUTED_VALUE"""),"ss.hsa01@ctv.hocmai.vn")</f>
        <v>ss.hsa01@ctv.hocmai.vn</v>
      </c>
      <c r="AE81" s="46"/>
      <c r="AF81" s="74" t="b">
        <f aca="false">IFERROR(__xludf.dummyfunction("""COMPUTED_VALUE"""),FALSE())</f>
        <v>0</v>
      </c>
      <c r="AG81" s="46" t="str">
        <f aca="false">IFERROR(__xludf.dummyfunction("""COMPUTED_VALUE"""),"")</f>
        <v/>
      </c>
      <c r="AH81" s="35"/>
      <c r="AI81" s="53" t="b">
        <f aca="false">IFERROR(__xludf.dummyfunction("""COMPUTED_VALUE"""),TRUE())</f>
        <v>1</v>
      </c>
      <c r="AJ81" s="35"/>
      <c r="AK81" s="35"/>
      <c r="AL81" s="35"/>
      <c r="AM81" s="35"/>
      <c r="AN81" s="35"/>
      <c r="AO81" s="46"/>
    </row>
    <row r="82" customFormat="false" ht="15.75" hidden="false" customHeight="true" outlineLevel="0" collapsed="false">
      <c r="A82" s="37" t="str">
        <f aca="false">IFERROR(__xludf.dummyfunction("""COMPUTED_VALUE"""),"Toán")</f>
        <v>Toán</v>
      </c>
      <c r="B82" s="37" t="str">
        <f aca="false">IFERROR(__xludf.dummyfunction("""COMPUTED_VALUE"""),"TOV_HSA_DL03")</f>
        <v>TOV_HSA_DL03</v>
      </c>
      <c r="C82" s="59" t="str">
        <f aca="false">IFERROR(__xludf.dummyfunction("""COMPUTED_VALUE"""),"Các bài toán về hàm hợp (P2)")</f>
        <v>Các bài toán về hàm hợp (P2)</v>
      </c>
      <c r="D82" s="39" t="str">
        <f aca="false">IFERROR(__xludf.dummyfunction("""COMPUTED_VALUE"""),"Nguyễn Thanh Tùng")</f>
        <v>Nguyễn Thanh Tùng</v>
      </c>
      <c r="E82" s="40" t="n">
        <f aca="false">IFERROR(__xludf.dummyfunction("""COMPUTED_VALUE"""),46205)</f>
        <v>46205</v>
      </c>
      <c r="F82" s="41" t="n">
        <f aca="false">IFERROR(__xludf.dummyfunction("""COMPUTED_VALUE"""),5)</f>
        <v>5</v>
      </c>
      <c r="G82" s="37" t="str">
        <f aca="false">IFERROR(__xludf.dummyfunction("""COMPUTED_VALUE"""),"18:00-20:00")</f>
        <v>18:00-20:00</v>
      </c>
      <c r="H82" s="37"/>
      <c r="I82" s="37"/>
      <c r="J82" s="42" t="str">
        <f aca="false">IFERROR(__xludf.dummyfunction("""COMPUTED_VALUE"""),"https://drive.google.com/drive/folders/1VDhTxsO5zToJ523Nbl8Ztmr4PmlKeN69?usp=drive_link")</f>
        <v>https://drive.google.com/drive/folders/1VDhTxsO5zToJ523Nbl8Ztmr4PmlKeN69?usp=drive_link</v>
      </c>
      <c r="K82" s="68" t="str">
        <f aca="false">IFERROR(__xludf.dummyfunction("""COMPUTED_VALUE"""),"Locdd")</f>
        <v>Locdd</v>
      </c>
      <c r="L82" s="68" t="str">
        <f aca="false">IFERROR(__xludf.dummyfunction("""COMPUTED_VALUE"""),"Tưởng Thị Huyền Trang")</f>
        <v>Tưởng Thị Huyền Trang</v>
      </c>
      <c r="M82" s="71"/>
      <c r="N82" s="77" t="str">
        <f aca="false">IFERROR(__xludf.dummyfunction("""COMPUTED_VALUE"""),"3117,3315")</f>
        <v>3117,3315</v>
      </c>
      <c r="O82" s="73" t="n">
        <f aca="false">IFERROR(__xludf.dummyfunction("""COMPUTED_VALUE"""),168575.168316)</f>
        <v>168575.168316</v>
      </c>
      <c r="P82" s="63" t="str">
        <f aca="false">IFERROR(__xludf.dummyfunction("""COMPUTED_VALUE"""),"9028,9036,9104,9106")</f>
        <v>9028,9036,9104,9106</v>
      </c>
      <c r="Q82" s="63" t="n">
        <f aca="false">IFERROR(__xludf.dummyfunction("""COMPUTED_VALUE"""),168316)</f>
        <v>168316</v>
      </c>
      <c r="R82" s="41"/>
      <c r="S82" s="41"/>
      <c r="T82" s="63"/>
      <c r="U82" s="63"/>
      <c r="V82" s="70" t="n">
        <f aca="false">IFERROR(__xludf.dummyfunction("""COMPUTED_VALUE"""),46208)</f>
        <v>46208</v>
      </c>
      <c r="W82" s="39" t="str">
        <f aca="false">IFERROR(__xludf.dummyfunction("""COMPUTED_VALUE"""),"Hoàn thành XB")</f>
        <v>Hoàn thành XB</v>
      </c>
      <c r="X82" s="41" t="str">
        <f aca="false">IFERROR(__xludf.dummyfunction("""COMPUTED_VALUE"""),"Locdd")</f>
        <v>Locdd</v>
      </c>
      <c r="Y82" s="44" t="str">
        <f aca="false">IFERROR(__xludf.dummyfunction("""COMPUTED_VALUE"""),"done")</f>
        <v>done</v>
      </c>
      <c r="Z82" s="57" t="str">
        <f aca="false">IFERROR(__xludf.dummyfunction("""COMPUTED_VALUE"""),"#N/A")</f>
        <v>#N/A</v>
      </c>
      <c r="AA82" s="56" t="str">
        <f aca="false">IFERROR(__xludf.dummyfunction("""COMPUTED_VALUE"""),"https://drive.google.com/file/d/1wURVMbkq5ltQGHc6oAOo8NR5ymGaXjJO/view")</f>
        <v>https://drive.google.com/file/d/1wURVMbkq5ltQGHc6oAOo8NR5ymGaXjJO/view</v>
      </c>
      <c r="AB82" s="41" t="n">
        <f aca="false">IFERROR(__xludf.dummyfunction("""COMPUTED_VALUE"""),7)</f>
        <v>7</v>
      </c>
      <c r="AC82" s="57" t="str">
        <f aca="false">IFERROR(__xludf.dummyfunction("""COMPUTED_VALUE"""),"gv.tungnt@hocmai.edu.vn ")</f>
        <v>gv.tungnt@hocmai.edu.vn </v>
      </c>
      <c r="AD82" s="46" t="str">
        <f aca="false">IFERROR(__xludf.dummyfunction("""COMPUTED_VALUE"""),"trangcrazy699@gmail.com")</f>
        <v>trangcrazy699@gmail.com</v>
      </c>
      <c r="AE82" s="46"/>
      <c r="AF82" s="47" t="str">
        <f aca="false">IFERROR(__xludf.dummyfunction("""COMPUTED_VALUE"""),"lophoctoan-946205")</f>
        <v>lophoctoan-946205</v>
      </c>
      <c r="AG82" s="46" t="str">
        <f aca="false">IFERROR(__xludf.dummyfunction("""COMPUTED_VALUE"""),"")</f>
        <v/>
      </c>
      <c r="AH82" s="35"/>
      <c r="AI82" s="35"/>
      <c r="AJ82" s="53" t="b">
        <f aca="false">IFERROR(__xludf.dummyfunction("""COMPUTED_VALUE"""),TRUE())</f>
        <v>1</v>
      </c>
      <c r="AK82" s="53" t="b">
        <f aca="false">IFERROR(__xludf.dummyfunction("""COMPUTED_VALUE"""),TRUE())</f>
        <v>1</v>
      </c>
      <c r="AL82" s="35"/>
      <c r="AM82" s="35"/>
      <c r="AN82" s="35"/>
      <c r="AO82" s="46"/>
    </row>
    <row r="83" customFormat="false" ht="15.75" hidden="false" customHeight="true" outlineLevel="0" collapsed="false">
      <c r="A83" s="37" t="str">
        <f aca="false">IFERROR(__xludf.dummyfunction("""COMPUTED_VALUE"""),"Vật lí")</f>
        <v>Vật lí</v>
      </c>
      <c r="B83" s="37" t="str">
        <f aca="false">IFERROR(__xludf.dummyfunction("""COMPUTED_VALUE"""),"TOV_HSA_VL03")</f>
        <v>TOV_HSA_VL03</v>
      </c>
      <c r="C83" s="59" t="str">
        <f aca="false">IFERROR(__xludf.dummyfunction("""COMPUTED_VALUE"""),"Động lực học")</f>
        <v>Động lực học</v>
      </c>
      <c r="D83" s="39" t="str">
        <f aca="false">IFERROR(__xludf.dummyfunction("""COMPUTED_VALUE"""),"Nguyễn Hữu Tình")</f>
        <v>Nguyễn Hữu Tình</v>
      </c>
      <c r="E83" s="40" t="n">
        <f aca="false">IFERROR(__xludf.dummyfunction("""COMPUTED_VALUE"""),46205)</f>
        <v>46205</v>
      </c>
      <c r="F83" s="41" t="n">
        <f aca="false">IFERROR(__xludf.dummyfunction("""COMPUTED_VALUE"""),5)</f>
        <v>5</v>
      </c>
      <c r="G83" s="37" t="str">
        <f aca="false">IFERROR(__xludf.dummyfunction("""COMPUTED_VALUE"""),"21:00-23:00")</f>
        <v>21:00-23:00</v>
      </c>
      <c r="H83" s="42" t="str">
        <f aca="false">IFERROR(__xludf.dummyfunction("""COMPUTED_VALUE"""),"https://hocmai.vn/file.php/3119/NAM_HOC_2026_-_2027/Tai_lieu_live/TLHS_TOV_HSA_VL03._Dong_luc_hoc.pdf")</f>
        <v>https://hocmai.vn/file.php/3119/NAM_HOC_2026_-_2027/Tai_lieu_live/TLHS_TOV_HSA_VL03._Dong_luc_hoc.pdf</v>
      </c>
      <c r="I83" s="42" t="str">
        <f aca="false">IFERROR(__xludf.dummyfunction("""COMPUTED_VALUE"""),"https://hocmai.vn/file.php/3119/NAM_HOC_2026_-_2027/BTTL/BTTL_TOV_HSA_VL03._Dong_luc_hoc.pdf")</f>
        <v>https://hocmai.vn/file.php/3119/NAM_HOC_2026_-_2027/BTTL/BTTL_TOV_HSA_VL03._Dong_luc_hoc.pdf</v>
      </c>
      <c r="J83" s="42" t="str">
        <f aca="false">IFERROR(__xludf.dummyfunction("""COMPUTED_VALUE"""),"https://drive.google.com/drive/folders/1kE3bb_SlVnngVbzik63riPWnJQI2A6MM")</f>
        <v>https://drive.google.com/drive/folders/1kE3bb_SlVnngVbzik63riPWnJQI2A6MM</v>
      </c>
      <c r="K83" s="68" t="str">
        <f aca="false">IFERROR(__xludf.dummyfunction("""COMPUTED_VALUE"""),"Trangnth2")</f>
        <v>Trangnth2</v>
      </c>
      <c r="L83" s="68" t="str">
        <f aca="false">IFERROR(__xludf.dummyfunction("""COMPUTED_VALUE"""),"Kiều Bảo Minh")</f>
        <v>Kiều Bảo Minh</v>
      </c>
      <c r="M83" s="71"/>
      <c r="N83" s="76" t="str">
        <f aca="false">IFERROR(__xludf.dummyfunction("""COMPUTED_VALUE"""),"3119")</f>
        <v>3119</v>
      </c>
      <c r="O83" s="63" t="n">
        <f aca="false">IFERROR(__xludf.dummyfunction("""COMPUTED_VALUE"""),167518)</f>
        <v>167518</v>
      </c>
      <c r="P83" s="63"/>
      <c r="Q83" s="63"/>
      <c r="R83" s="41"/>
      <c r="S83" s="41"/>
      <c r="T83" s="63"/>
      <c r="U83" s="63" t="n">
        <f aca="false">IFERROR(__xludf.dummyfunction("""COMPUTED_VALUE"""),10459)</f>
        <v>10459</v>
      </c>
      <c r="V83" s="70" t="n">
        <f aca="false">IFERROR(__xludf.dummyfunction("""COMPUTED_VALUE"""),46208)</f>
        <v>46208</v>
      </c>
      <c r="W83" s="39" t="str">
        <f aca="false">IFERROR(__xludf.dummyfunction("""COMPUTED_VALUE"""),"Hoàn thành XB")</f>
        <v>Hoàn thành XB</v>
      </c>
      <c r="X83" s="41" t="str">
        <f aca="false">IFERROR(__xludf.dummyfunction("""COMPUTED_VALUE"""),"Trangnth2")</f>
        <v>Trangnth2</v>
      </c>
      <c r="Y83" s="44" t="str">
        <f aca="false">IFERROR(__xludf.dummyfunction("""COMPUTED_VALUE"""),"done")</f>
        <v>done</v>
      </c>
      <c r="Z83" s="57" t="str">
        <f aca="false">IFERROR(__xludf.dummyfunction("""COMPUTED_VALUE"""),"#N/A")</f>
        <v>#N/A</v>
      </c>
      <c r="AA83" s="57"/>
      <c r="AB83" s="41" t="n">
        <f aca="false">IFERROR(__xludf.dummyfunction("""COMPUTED_VALUE"""),7)</f>
        <v>7</v>
      </c>
      <c r="AC83" s="57" t="str">
        <f aca="false">IFERROR(__xludf.dummyfunction("""COMPUTED_VALUE"""),"gv.tinhnh@hocmai.edu.vn ")</f>
        <v>gv.tinhnh@hocmai.edu.vn </v>
      </c>
      <c r="AD83" s="46" t="str">
        <f aca="false">IFERROR(__xludf.dummyfunction("""COMPUTED_VALUE"""),"mkieu2662@gmail.com")</f>
        <v>mkieu2662@gmail.com</v>
      </c>
      <c r="AE83" s="46"/>
      <c r="AF83" s="74" t="b">
        <f aca="false">IFERROR(__xludf.dummyfunction("""COMPUTED_VALUE"""),FALSE())</f>
        <v>0</v>
      </c>
      <c r="AG83" s="46" t="str">
        <f aca="false">IFERROR(__xludf.dummyfunction("""COMPUTED_VALUE"""),"")</f>
        <v/>
      </c>
      <c r="AH83" s="35"/>
      <c r="AI83" s="35"/>
      <c r="AJ83" s="53" t="b">
        <f aca="false">IFERROR(__xludf.dummyfunction("""COMPUTED_VALUE"""),TRUE())</f>
        <v>1</v>
      </c>
      <c r="AK83" s="53" t="b">
        <f aca="false">IFERROR(__xludf.dummyfunction("""COMPUTED_VALUE"""),TRUE())</f>
        <v>1</v>
      </c>
      <c r="AL83" s="35"/>
      <c r="AM83" s="35"/>
      <c r="AN83" s="35"/>
      <c r="AO83" s="46"/>
    </row>
    <row r="84" customFormat="false" ht="15.75" hidden="false" customHeight="true" outlineLevel="0" collapsed="false">
      <c r="A84" s="37" t="str">
        <f aca="false">IFERROR(__xludf.dummyfunction("""COMPUTED_VALUE"""),"Toán")</f>
        <v>Toán</v>
      </c>
      <c r="B84" s="37" t="str">
        <f aca="false">IFERROR(__xludf.dummyfunction("""COMPUTED_VALUE"""),"TOA_V-ACT_T03")</f>
        <v>TOA_V-ACT_T03</v>
      </c>
      <c r="C84" s="59" t="str">
        <f aca="false">IFERROR(__xludf.dummyfunction("""COMPUTED_VALUE"""),"Phương pháp, kĩ năng xử lí các bài toán về hình học phẳng (P2)")</f>
        <v>Phương pháp, kĩ năng xử lí các bài toán về hình học phẳng (P2)</v>
      </c>
      <c r="D84" s="39" t="str">
        <f aca="false">IFERROR(__xludf.dummyfunction("""COMPUTED_VALUE"""),"Nguyễn Hoài Nam")</f>
        <v>Nguyễn Hoài Nam</v>
      </c>
      <c r="E84" s="40" t="n">
        <f aca="false">IFERROR(__xludf.dummyfunction("""COMPUTED_VALUE"""),46205)</f>
        <v>46205</v>
      </c>
      <c r="F84" s="41" t="n">
        <f aca="false">IFERROR(__xludf.dummyfunction("""COMPUTED_VALUE"""),5)</f>
        <v>5</v>
      </c>
      <c r="G84" s="37" t="str">
        <f aca="false">IFERROR(__xludf.dummyfunction("""COMPUTED_VALUE"""),"21:00-22:30")</f>
        <v>21:00-22:30</v>
      </c>
      <c r="H84" s="37"/>
      <c r="I84" s="37"/>
      <c r="J84" s="42" t="str">
        <f aca="false">IFERROR(__xludf.dummyfunction("""COMPUTED_VALUE"""),"https://drive.google.com/drive/folders/1xMmxJvQKhr2FJ8A2HtKaxvN-bfKZzRYx?usp=sharing")</f>
        <v>https://drive.google.com/drive/folders/1xMmxJvQKhr2FJ8A2HtKaxvN-bfKZzRYx?usp=sharing</v>
      </c>
      <c r="K84" s="68" t="str">
        <f aca="false">IFERROR(__xludf.dummyfunction("""COMPUTED_VALUE"""),"Lent")</f>
        <v>Lent</v>
      </c>
      <c r="L84" s="68" t="str">
        <f aca="false">IFERROR(__xludf.dummyfunction("""COMPUTED_VALUE"""),"Lường Nhật Nam")</f>
        <v>Lường Nhật Nam</v>
      </c>
      <c r="M84" s="71"/>
      <c r="N84" s="77" t="str">
        <f aca="false">IFERROR(__xludf.dummyfunction("""COMPUTED_VALUE"""),"3124,3316")</f>
        <v>3124,3316</v>
      </c>
      <c r="O84" s="73" t="n">
        <f aca="false">IFERROR(__xludf.dummyfunction("""COMPUTED_VALUE"""),167188.166857)</f>
        <v>167188.166857</v>
      </c>
      <c r="P84" s="63" t="n">
        <f aca="false">IFERROR(__xludf.dummyfunction("""COMPUTED_VALUE"""),9044.9108)</f>
        <v>9044.9108</v>
      </c>
      <c r="Q84" s="63" t="n">
        <f aca="false">IFERROR(__xludf.dummyfunction("""COMPUTED_VALUE"""),167188)</f>
        <v>167188</v>
      </c>
      <c r="R84" s="41" t="n">
        <f aca="false">IFERROR(__xludf.dummyfunction("""COMPUTED_VALUE"""),166857)</f>
        <v>166857</v>
      </c>
      <c r="S84" s="41"/>
      <c r="T84" s="63"/>
      <c r="U84" s="63"/>
      <c r="V84" s="70" t="n">
        <f aca="false">IFERROR(__xludf.dummyfunction("""COMPUTED_VALUE"""),46208)</f>
        <v>46208</v>
      </c>
      <c r="W84" s="39" t="str">
        <f aca="false">IFERROR(__xludf.dummyfunction("""COMPUTED_VALUE"""),"Hoàn thành XB")</f>
        <v>Hoàn thành XB</v>
      </c>
      <c r="X84" s="41" t="str">
        <f aca="false">IFERROR(__xludf.dummyfunction("""COMPUTED_VALUE"""),"Lent")</f>
        <v>Lent</v>
      </c>
      <c r="Y84" s="44" t="str">
        <f aca="false">IFERROR(__xludf.dummyfunction("""COMPUTED_VALUE"""),"done")</f>
        <v>done</v>
      </c>
      <c r="Z84" s="57" t="str">
        <f aca="false">IFERROR(__xludf.dummyfunction("""COMPUTED_VALUE"""),"#N/A")</f>
        <v>#N/A</v>
      </c>
      <c r="AA84" s="57"/>
      <c r="AB84" s="41" t="n">
        <f aca="false">IFERROR(__xludf.dummyfunction("""COMPUTED_VALUE"""),7)</f>
        <v>7</v>
      </c>
      <c r="AC84" s="57" t="str">
        <f aca="false">IFERROR(__xludf.dummyfunction("""COMPUTED_VALUE"""),"gv.namnh@hocmai.edu.vn ")</f>
        <v>gv.namnh@hocmai.edu.vn </v>
      </c>
      <c r="AD84" s="46" t="str">
        <f aca="false">IFERROR(__xludf.dummyfunction("""COMPUTED_VALUE"""),"nhatnam1092@gmail.com")</f>
        <v>nhatnam1092@gmail.com</v>
      </c>
      <c r="AE84" s="46"/>
      <c r="AF84" s="47" t="str">
        <f aca="false">IFERROR(__xludf.dummyfunction("""COMPUTED_VALUE"""),"lophoctoan-946205")</f>
        <v>lophoctoan-946205</v>
      </c>
      <c r="AG84" s="46" t="str">
        <f aca="false">IFERROR(__xludf.dummyfunction("""COMPUTED_VALUE"""),"")</f>
        <v/>
      </c>
      <c r="AH84" s="35"/>
      <c r="AI84" s="35"/>
      <c r="AJ84" s="35"/>
      <c r="AK84" s="35"/>
      <c r="AL84" s="35"/>
      <c r="AM84" s="53" t="b">
        <f aca="false">IFERROR(__xludf.dummyfunction("""COMPUTED_VALUE"""),TRUE())</f>
        <v>1</v>
      </c>
      <c r="AN84" s="53" t="b">
        <f aca="false">IFERROR(__xludf.dummyfunction("""COMPUTED_VALUE"""),TRUE())</f>
        <v>1</v>
      </c>
      <c r="AO84" s="46"/>
    </row>
    <row r="85" customFormat="false" ht="15.75" hidden="false" customHeight="true" outlineLevel="0" collapsed="false">
      <c r="A85" s="37" t="str">
        <f aca="false">IFERROR(__xludf.dummyfunction("""COMPUTED_VALUE"""),"Sinh học")</f>
        <v>Sinh học</v>
      </c>
      <c r="B85" s="37" t="str">
        <f aca="false">IFERROR(__xludf.dummyfunction("""COMPUTED_VALUE"""),"TOV_HSA_SH03")</f>
        <v>TOV_HSA_SH03</v>
      </c>
      <c r="C85" s="59" t="str">
        <f aca="false">IFERROR(__xludf.dummyfunction("""COMPUTED_VALUE"""),"Cấu trúc tế bào – Vận chuyển qua màng – Thông tin tế bào")</f>
        <v>Cấu trúc tế bào – Vận chuyển qua màng – Thông tin tế bào</v>
      </c>
      <c r="D85" s="39" t="str">
        <f aca="false">IFERROR(__xludf.dummyfunction("""COMPUTED_VALUE"""),"Nguyễn Dương Ánh Hồng")</f>
        <v>Nguyễn Dương Ánh Hồng</v>
      </c>
      <c r="E85" s="40" t="n">
        <f aca="false">IFERROR(__xludf.dummyfunction("""COMPUTED_VALUE"""),46206)</f>
        <v>46206</v>
      </c>
      <c r="F85" s="41" t="n">
        <f aca="false">IFERROR(__xludf.dummyfunction("""COMPUTED_VALUE"""),6)</f>
        <v>6</v>
      </c>
      <c r="G85" s="37" t="str">
        <f aca="false">IFERROR(__xludf.dummyfunction("""COMPUTED_VALUE"""),"19:30-21:30")</f>
        <v>19:30-21:30</v>
      </c>
      <c r="H85" s="37"/>
      <c r="I85" s="37"/>
      <c r="J85" s="42" t="str">
        <f aca="false">IFERROR(__xludf.dummyfunction("""COMPUTED_VALUE"""),"https://drive.google.com/drive/folders/1O9cOqRVs8gx0Kp47FLmNdVJ9FG3ZelhA?usp=sharing")</f>
        <v>https://drive.google.com/drive/folders/1O9cOqRVs8gx0Kp47FLmNdVJ9FG3ZelhA?usp=sharing</v>
      </c>
      <c r="K85" s="68" t="str">
        <f aca="false">IFERROR(__xludf.dummyfunction("""COMPUTED_VALUE"""),"Phuongdt")</f>
        <v>Phuongdt</v>
      </c>
      <c r="L85" s="68" t="str">
        <f aca="false">IFERROR(__xludf.dummyfunction("""COMPUTED_VALUE"""),"Phan Đức Kiên")</f>
        <v>Phan Đức Kiên</v>
      </c>
      <c r="M85" s="71"/>
      <c r="N85" s="77" t="str">
        <f aca="false">IFERROR(__xludf.dummyfunction("""COMPUTED_VALUE"""),"3121")</f>
        <v>3121</v>
      </c>
      <c r="O85" s="63" t="n">
        <f aca="false">IFERROR(__xludf.dummyfunction("""COMPUTED_VALUE"""),167320)</f>
        <v>167320</v>
      </c>
      <c r="P85" s="63"/>
      <c r="Q85" s="63"/>
      <c r="R85" s="41"/>
      <c r="S85" s="41"/>
      <c r="T85" s="63" t="n">
        <f aca="false">IFERROR(__xludf.dummyfunction("""COMPUTED_VALUE"""),23565)</f>
        <v>23565</v>
      </c>
      <c r="U85" s="63"/>
      <c r="V85" s="70" t="n">
        <f aca="false">IFERROR(__xludf.dummyfunction("""COMPUTED_VALUE"""),46209)</f>
        <v>46209</v>
      </c>
      <c r="W85" s="39" t="str">
        <f aca="false">IFERROR(__xludf.dummyfunction("""COMPUTED_VALUE"""),"Hoàn thành XB")</f>
        <v>Hoàn thành XB</v>
      </c>
      <c r="X85" s="41" t="str">
        <f aca="false">IFERROR(__xludf.dummyfunction("""COMPUTED_VALUE"""),"Phuongdt")</f>
        <v>Phuongdt</v>
      </c>
      <c r="Y85" s="44" t="str">
        <f aca="false">IFERROR(__xludf.dummyfunction("""COMPUTED_VALUE"""),"done")</f>
        <v>done</v>
      </c>
      <c r="Z85" s="57" t="str">
        <f aca="false">IFERROR(__xludf.dummyfunction("""COMPUTED_VALUE"""),"#N/A")</f>
        <v>#N/A</v>
      </c>
      <c r="AA85" s="57"/>
      <c r="AB85" s="41" t="n">
        <f aca="false">IFERROR(__xludf.dummyfunction("""COMPUTED_VALUE"""),7)</f>
        <v>7</v>
      </c>
      <c r="AC85" s="57" t="str">
        <f aca="false">IFERROR(__xludf.dummyfunction("""COMPUTED_VALUE"""),"gv.hongnda@hocmai.edu.vn ")</f>
        <v>gv.hongnda@hocmai.edu.vn </v>
      </c>
      <c r="AD85" s="46" t="str">
        <f aca="false">IFERROR(__xludf.dummyfunction("""COMPUTED_VALUE"""),"duckien010607@gmail.com")</f>
        <v>duckien010607@gmail.com</v>
      </c>
      <c r="AE85" s="46"/>
      <c r="AF85" s="74" t="b">
        <f aca="false">IFERROR(__xludf.dummyfunction("""COMPUTED_VALUE"""),FALSE())</f>
        <v>0</v>
      </c>
      <c r="AG85" s="46" t="str">
        <f aca="false">IFERROR(__xludf.dummyfunction("""COMPUTED_VALUE"""),"")</f>
        <v/>
      </c>
      <c r="AH85" s="35"/>
      <c r="AI85" s="35"/>
      <c r="AJ85" s="53" t="b">
        <f aca="false">IFERROR(__xludf.dummyfunction("""COMPUTED_VALUE"""),TRUE())</f>
        <v>1</v>
      </c>
      <c r="AK85" s="53" t="b">
        <f aca="false">IFERROR(__xludf.dummyfunction("""COMPUTED_VALUE"""),TRUE())</f>
        <v>1</v>
      </c>
      <c r="AL85" s="35"/>
      <c r="AM85" s="35"/>
      <c r="AN85" s="35"/>
      <c r="AO85" s="46"/>
    </row>
    <row r="86" customFormat="false" ht="15.75" hidden="false" customHeight="true" outlineLevel="0" collapsed="false">
      <c r="A86" s="37" t="str">
        <f aca="false">IFERROR(__xludf.dummyfunction("""COMPUTED_VALUE"""),"Lịch sử")</f>
        <v>Lịch sử</v>
      </c>
      <c r="B86" s="37" t="str">
        <f aca="false">IFERROR(__xludf.dummyfunction("""COMPUTED_VALUE"""),"TOV_HSA_LS01")</f>
        <v>TOV_HSA_LS01</v>
      </c>
      <c r="C86" s="59" t="str">
        <f aca="false">IFERROR(__xludf.dummyfunction("""COMPUTED_VALUE"""),"Một số nền văn minh thế giới cổ - trung đại")</f>
        <v>Một số nền văn minh thế giới cổ - trung đại</v>
      </c>
      <c r="D86" s="39" t="str">
        <f aca="false">IFERROR(__xludf.dummyfunction("""COMPUTED_VALUE"""),"Dương Thị Huyền")</f>
        <v>Dương Thị Huyền</v>
      </c>
      <c r="E86" s="40" t="n">
        <f aca="false">IFERROR(__xludf.dummyfunction("""COMPUTED_VALUE"""),46206)</f>
        <v>46206</v>
      </c>
      <c r="F86" s="41" t="n">
        <f aca="false">IFERROR(__xludf.dummyfunction("""COMPUTED_VALUE"""),6)</f>
        <v>6</v>
      </c>
      <c r="G86" s="37" t="str">
        <f aca="false">IFERROR(__xludf.dummyfunction("""COMPUTED_VALUE"""),"21:30-23:30")</f>
        <v>21:30-23:30</v>
      </c>
      <c r="H86" s="37"/>
      <c r="I86" s="37"/>
      <c r="J86" s="42" t="str">
        <f aca="false">IFERROR(__xludf.dummyfunction("""COMPUTED_VALUE"""),"https://drive.google.com/drive/folders/1DRNlxn83BWIcDQxYT7x81ccGFKJv8AJo")</f>
        <v>https://drive.google.com/drive/folders/1DRNlxn83BWIcDQxYT7x81ccGFKJv8AJo</v>
      </c>
      <c r="K86" s="68" t="str">
        <f aca="false">IFERROR(__xludf.dummyfunction("""COMPUTED_VALUE"""),"Trinhntt")</f>
        <v>Trinhntt</v>
      </c>
      <c r="L86" s="68" t="str">
        <f aca="false">IFERROR(__xludf.dummyfunction("""COMPUTED_VALUE"""),"Phan Đức Kiên")</f>
        <v>Phan Đức Kiên</v>
      </c>
      <c r="M86" s="71"/>
      <c r="N86" s="77" t="str">
        <f aca="false">IFERROR(__xludf.dummyfunction("""COMPUTED_VALUE"""),"3122")</f>
        <v>3122</v>
      </c>
      <c r="O86" s="63" t="n">
        <f aca="false">IFERROR(__xludf.dummyfunction("""COMPUTED_VALUE"""),174728)</f>
        <v>174728</v>
      </c>
      <c r="P86" s="63"/>
      <c r="Q86" s="63"/>
      <c r="R86" s="41"/>
      <c r="S86" s="41"/>
      <c r="T86" s="63"/>
      <c r="U86" s="63"/>
      <c r="V86" s="70" t="n">
        <f aca="false">IFERROR(__xludf.dummyfunction("""COMPUTED_VALUE"""),46209)</f>
        <v>46209</v>
      </c>
      <c r="W86" s="39" t="str">
        <f aca="false">IFERROR(__xludf.dummyfunction("""COMPUTED_VALUE"""),"Hoàn thành XB")</f>
        <v>Hoàn thành XB</v>
      </c>
      <c r="X86" s="41" t="str">
        <f aca="false">IFERROR(__xludf.dummyfunction("""COMPUTED_VALUE"""),"Trinhntt")</f>
        <v>Trinhntt</v>
      </c>
      <c r="Y86" s="44"/>
      <c r="Z86" s="57" t="str">
        <f aca="false">IFERROR(__xludf.dummyfunction("""COMPUTED_VALUE"""),"#N/A")</f>
        <v>#N/A</v>
      </c>
      <c r="AA86" s="57"/>
      <c r="AB86" s="41"/>
      <c r="AC86" s="57" t="str">
        <f aca="false">IFERROR(__xludf.dummyfunction("""COMPUTED_VALUE"""),"gv.huyendt2@hocmai.edu.vn")</f>
        <v>gv.huyendt2@hocmai.edu.vn</v>
      </c>
      <c r="AD86" s="46" t="str">
        <f aca="false">IFERROR(__xludf.dummyfunction("""COMPUTED_VALUE"""),"duckien010607@gmail.com")</f>
        <v>duckien010607@gmail.com</v>
      </c>
      <c r="AE86" s="46"/>
      <c r="AF86" s="74" t="b">
        <f aca="false">IFERROR(__xludf.dummyfunction("""COMPUTED_VALUE"""),FALSE())</f>
        <v>0</v>
      </c>
      <c r="AG86" s="46" t="str">
        <f aca="false">IFERROR(__xludf.dummyfunction("""COMPUTED_VALUE"""),"")</f>
        <v/>
      </c>
      <c r="AH86" s="35"/>
      <c r="AI86" s="35"/>
      <c r="AJ86" s="53" t="b">
        <f aca="false">IFERROR(__xludf.dummyfunction("""COMPUTED_VALUE"""),TRUE())</f>
        <v>1</v>
      </c>
      <c r="AK86" s="53" t="b">
        <f aca="false">IFERROR(__xludf.dummyfunction("""COMPUTED_VALUE"""),TRUE())</f>
        <v>1</v>
      </c>
      <c r="AL86" s="35"/>
      <c r="AM86" s="35"/>
      <c r="AN86" s="35"/>
      <c r="AO86" s="46"/>
    </row>
    <row r="87" customFormat="false" ht="15.75" hidden="false" customHeight="true" outlineLevel="0" collapsed="false">
      <c r="A87" s="37" t="str">
        <f aca="false">IFERROR(__xludf.dummyfunction("""COMPUTED_VALUE"""),"Hóa học")</f>
        <v>Hóa học</v>
      </c>
      <c r="B87" s="37" t="str">
        <f aca="false">IFERROR(__xludf.dummyfunction("""COMPUTED_VALUE"""),"TOV_TSA_H02")</f>
        <v>TOV_TSA_H02</v>
      </c>
      <c r="C87" s="59" t="str">
        <f aca="false">IFERROR(__xludf.dummyfunction("""COMPUTED_VALUE"""),"Liên kết hóa học và Cấu trúc phân tử")</f>
        <v>Liên kết hóa học và Cấu trúc phân tử</v>
      </c>
      <c r="D87" s="39" t="str">
        <f aca="false">IFERROR(__xludf.dummyfunction("""COMPUTED_VALUE"""),"Vũ Khắc Ngọc")</f>
        <v>Vũ Khắc Ngọc</v>
      </c>
      <c r="E87" s="40" t="n">
        <f aca="false">IFERROR(__xludf.dummyfunction("""COMPUTED_VALUE"""),46207)</f>
        <v>46207</v>
      </c>
      <c r="F87" s="41" t="n">
        <f aca="false">IFERROR(__xludf.dummyfunction("""COMPUTED_VALUE"""),7)</f>
        <v>7</v>
      </c>
      <c r="G87" s="37" t="str">
        <f aca="false">IFERROR(__xludf.dummyfunction("""COMPUTED_VALUE"""),"21:30-23:30")</f>
        <v>21:30-23:30</v>
      </c>
      <c r="H87" s="42" t="str">
        <f aca="false">IFERROR(__xludf.dummyfunction("""COMPUTED_VALUE"""),"https://hocmai.vn/mod/scorm/view_file.php?id=181875")</f>
        <v>https://hocmai.vn/mod/scorm/view_file.php?id=181875</v>
      </c>
      <c r="I87" s="42" t="str">
        <f aca="false">IFERROR(__xludf.dummyfunction("""COMPUTED_VALUE"""),"https://hocmai.vn/mod/scorm/view_file.php?id=181972")</f>
        <v>https://hocmai.vn/mod/scorm/view_file.php?id=181972</v>
      </c>
      <c r="J87" s="42" t="str">
        <f aca="false">IFERROR(__xludf.dummyfunction("""COMPUTED_VALUE"""),"https://drive.google.com/drive/folders/1gUrva5r60XZM5xYB8o0lMIOf3J5euWNU?usp=drive_link")</f>
        <v>https://drive.google.com/drive/folders/1gUrva5r60XZM5xYB8o0lMIOf3J5euWNU?usp=drive_link</v>
      </c>
      <c r="K87" s="68" t="str">
        <f aca="false">IFERROR(__xludf.dummyfunction("""COMPUTED_VALUE"""),"Huebt")</f>
        <v>Huebt</v>
      </c>
      <c r="L87" s="68" t="str">
        <f aca="false">IFERROR(__xludf.dummyfunction("""COMPUTED_VALUE"""),"Bùi Vĩnh Thọ")</f>
        <v>Bùi Vĩnh Thọ</v>
      </c>
      <c r="M87" s="71"/>
      <c r="N87" s="77" t="str">
        <f aca="false">IFERROR(__xludf.dummyfunction("""COMPUTED_VALUE"""),"3110")</f>
        <v>3110</v>
      </c>
      <c r="O87" s="63" t="n">
        <f aca="false">IFERROR(__xludf.dummyfunction("""COMPUTED_VALUE"""),167251)</f>
        <v>167251</v>
      </c>
      <c r="P87" s="63"/>
      <c r="Q87" s="63"/>
      <c r="R87" s="41"/>
      <c r="S87" s="41"/>
      <c r="T87" s="63" t="n">
        <f aca="false">IFERROR(__xludf.dummyfunction("""COMPUTED_VALUE"""),23842)</f>
        <v>23842</v>
      </c>
      <c r="U87" s="63" t="n">
        <f aca="false">IFERROR(__xludf.dummyfunction("""COMPUTED_VALUE"""),10600)</f>
        <v>10600</v>
      </c>
      <c r="V87" s="70" t="n">
        <f aca="false">IFERROR(__xludf.dummyfunction("""COMPUTED_VALUE"""),46210)</f>
        <v>46210</v>
      </c>
      <c r="W87" s="39" t="str">
        <f aca="false">IFERROR(__xludf.dummyfunction("""COMPUTED_VALUE"""),"Hoàn thành XB")</f>
        <v>Hoàn thành XB</v>
      </c>
      <c r="X87" s="41" t="str">
        <f aca="false">IFERROR(__xludf.dummyfunction("""COMPUTED_VALUE"""),"Huebt")</f>
        <v>Huebt</v>
      </c>
      <c r="Y87" s="44" t="str">
        <f aca="false">IFERROR(__xludf.dummyfunction("""COMPUTED_VALUE"""),"done")</f>
        <v>done</v>
      </c>
      <c r="Z87" s="57" t="str">
        <f aca="false">IFERROR(__xludf.dummyfunction("""COMPUTED_VALUE"""),"#N/A")</f>
        <v>#N/A</v>
      </c>
      <c r="AA87" s="57"/>
      <c r="AB87" s="41" t="n">
        <f aca="false">IFERROR(__xludf.dummyfunction("""COMPUTED_VALUE"""),7)</f>
        <v>7</v>
      </c>
      <c r="AC87" s="57" t="str">
        <f aca="false">IFERROR(__xludf.dummyfunction("""COMPUTED_VALUE"""),"gv.ngocvk@hocmai.edu.vn")</f>
        <v>gv.ngocvk@hocmai.edu.vn</v>
      </c>
      <c r="AD87" s="46" t="str">
        <f aca="false">IFERROR(__xludf.dummyfunction("""COMPUTED_VALUE"""),"vinhtho0704@gmail.com")</f>
        <v>vinhtho0704@gmail.com</v>
      </c>
      <c r="AE87" s="46"/>
      <c r="AF87" s="74" t="b">
        <f aca="false">IFERROR(__xludf.dummyfunction("""COMPUTED_VALUE"""),FALSE())</f>
        <v>0</v>
      </c>
      <c r="AG87" s="46" t="str">
        <f aca="false">IFERROR(__xludf.dummyfunction("""COMPUTED_VALUE"""),"")</f>
        <v/>
      </c>
      <c r="AH87" s="35"/>
      <c r="AI87" s="53" t="b">
        <f aca="false">IFERROR(__xludf.dummyfunction("""COMPUTED_VALUE"""),TRUE())</f>
        <v>1</v>
      </c>
      <c r="AJ87" s="35"/>
      <c r="AK87" s="35"/>
      <c r="AL87" s="35"/>
      <c r="AM87" s="35"/>
      <c r="AN87" s="35"/>
      <c r="AO87" s="46"/>
    </row>
    <row r="88" customFormat="false" ht="15.75" hidden="false" customHeight="true" outlineLevel="0" collapsed="false">
      <c r="A88" s="37" t="str">
        <f aca="false">IFERROR(__xludf.dummyfunction("""COMPUTED_VALUE"""),"Khoa học")</f>
        <v>Khoa học</v>
      </c>
      <c r="B88" s="37" t="str">
        <f aca="false">IFERROR(__xludf.dummyfunction("""COMPUTED_VALUE"""),"TOS_V-ACT_KH03")</f>
        <v>TOS_V-ACT_KH03</v>
      </c>
      <c r="C88" s="59" t="str">
        <f aca="false">IFERROR(__xludf.dummyfunction("""COMPUTED_VALUE"""),"Thực hành kỹ năng scan &amp; skim – Chọn từ khóa trong văn bản khoa học (P1)")</f>
        <v>Thực hành kỹ năng scan &amp; skim – Chọn từ khóa trong văn bản khoa học (P1)</v>
      </c>
      <c r="D88" s="39" t="str">
        <f aca="false">IFERROR(__xludf.dummyfunction("""COMPUTED_VALUE"""),"Lê Văn Minh")</f>
        <v>Lê Văn Minh</v>
      </c>
      <c r="E88" s="40" t="n">
        <f aca="false">IFERROR(__xludf.dummyfunction("""COMPUTED_VALUE"""),46207)</f>
        <v>46207</v>
      </c>
      <c r="F88" s="41" t="n">
        <f aca="false">IFERROR(__xludf.dummyfunction("""COMPUTED_VALUE"""),7)</f>
        <v>7</v>
      </c>
      <c r="G88" s="37" t="str">
        <f aca="false">IFERROR(__xludf.dummyfunction("""COMPUTED_VALUE"""),"20:30-22:00")</f>
        <v>20:30-22:00</v>
      </c>
      <c r="H88" s="42" t="str">
        <f aca="false">IFERROR(__xludf.dummyfunction("""COMPUTED_VALUE"""),"https://hocmai.vn/course/Tai_lieu_bai_giang/SLKH_2627/TLHS_TOS_V-ACT_KH03.pdf")</f>
        <v>https://hocmai.vn/course/Tai_lieu_bai_giang/SLKH_2627/TLHS_TOS_V-ACT_KH03.pdf</v>
      </c>
      <c r="I88" s="42" t="str">
        <f aca="false">IFERROR(__xludf.dummyfunction("""COMPUTED_VALUE"""),"https://hocmai.vn/file.php/3126/Bai_tap_tu_luyen/26-27/NVHT_TOV_V-ACT_KH03_Thuc_hanh_ky_nang_scan_skim_-_Chon_tu_khoa_trong_van_ban_khoa_hoc.pdf")</f>
        <v>https://hocmai.vn/file.php/3126/Bai_tap_tu_luyen/26-27/NVHT_TOV_V-ACT_KH03_Thuc_hanh_ky_nang_scan_skim_-_Chon_tu_khoa_trong_van_ban_khoa_hoc.pdf</v>
      </c>
      <c r="J88" s="42" t="str">
        <f aca="false">IFERROR(__xludf.dummyfunction("""COMPUTED_VALUE"""),"https://drive.google.com/drive/folders/18iwJXG0_MBWTsGk6h-d-0P1sdSJLCOhG?usp=drive_link")</f>
        <v>https://drive.google.com/drive/folders/18iwJXG0_MBWTsGk6h-d-0P1sdSJLCOhG?usp=drive_link</v>
      </c>
      <c r="K88" s="68" t="str">
        <f aca="false">IFERROR(__xludf.dummyfunction("""COMPUTED_VALUE"""),"Kimnq")</f>
        <v>Kimnq</v>
      </c>
      <c r="L88" s="68" t="str">
        <f aca="false">IFERROR(__xludf.dummyfunction("""COMPUTED_VALUE"""),"Lê Quốc Việt")</f>
        <v>Lê Quốc Việt</v>
      </c>
      <c r="M88" s="71"/>
      <c r="N88" s="77" t="str">
        <f aca="false">IFERROR(__xludf.dummyfunction("""COMPUTED_VALUE"""),"3340,3126")</f>
        <v>3340,3126</v>
      </c>
      <c r="O88" s="73" t="n">
        <f aca="false">IFERROR(__xludf.dummyfunction("""COMPUTED_VALUE"""),167494.167379)</f>
        <v>167494.167379</v>
      </c>
      <c r="P88" s="63"/>
      <c r="Q88" s="63"/>
      <c r="R88" s="41"/>
      <c r="S88" s="41"/>
      <c r="T88" s="63"/>
      <c r="U88" s="63"/>
      <c r="V88" s="70" t="n">
        <f aca="false">IFERROR(__xludf.dummyfunction("""COMPUTED_VALUE"""),46210)</f>
        <v>46210</v>
      </c>
      <c r="W88" s="39" t="str">
        <f aca="false">IFERROR(__xludf.dummyfunction("""COMPUTED_VALUE"""),"Hoàn thành XB")</f>
        <v>Hoàn thành XB</v>
      </c>
      <c r="X88" s="41" t="str">
        <f aca="false">IFERROR(__xludf.dummyfunction("""COMPUTED_VALUE"""),"Kimnq")</f>
        <v>Kimnq</v>
      </c>
      <c r="Y88" s="44" t="str">
        <f aca="false">IFERROR(__xludf.dummyfunction("""COMPUTED_VALUE"""),"done")</f>
        <v>done</v>
      </c>
      <c r="Z88" s="57" t="str">
        <f aca="false">IFERROR(__xludf.dummyfunction("""COMPUTED_VALUE"""),"#N/A")</f>
        <v>#N/A</v>
      </c>
      <c r="AA88" s="57"/>
      <c r="AB88" s="41" t="n">
        <f aca="false">IFERROR(__xludf.dummyfunction("""COMPUTED_VALUE"""),7)</f>
        <v>7</v>
      </c>
      <c r="AC88" s="57" t="str">
        <f aca="false">IFERROR(__xludf.dummyfunction("""COMPUTED_VALUE"""),"gv.minhlv@hocmai.edu.vn		")</f>
        <v>gv.minhlv@hocmai.edu.vn		</v>
      </c>
      <c r="AD88" s="46" t="str">
        <f aca="false">IFERROR(__xludf.dummyfunction("""COMPUTED_VALUE"""),"Ralph02091@gmail.com")</f>
        <v>Ralph02091@gmail.com</v>
      </c>
      <c r="AE88" s="46"/>
      <c r="AF88" s="47" t="str">
        <f aca="false">IFERROR(__xludf.dummyfunction("""COMPUTED_VALUE"""),"lophoctoan-946207")</f>
        <v>lophoctoan-946207</v>
      </c>
      <c r="AG88" s="46" t="str">
        <f aca="false">IFERROR(__xludf.dummyfunction("""COMPUTED_VALUE"""),"")</f>
        <v/>
      </c>
      <c r="AH88" s="35"/>
      <c r="AI88" s="35"/>
      <c r="AJ88" s="35"/>
      <c r="AK88" s="35"/>
      <c r="AL88" s="35"/>
      <c r="AM88" s="53" t="b">
        <f aca="false">IFERROR(__xludf.dummyfunction("""COMPUTED_VALUE"""),TRUE())</f>
        <v>1</v>
      </c>
      <c r="AN88" s="53" t="b">
        <f aca="false">IFERROR(__xludf.dummyfunction("""COMPUTED_VALUE"""),TRUE())</f>
        <v>1</v>
      </c>
      <c r="AO88" s="46"/>
    </row>
    <row r="89" customFormat="false" ht="15.75" hidden="false" customHeight="true" outlineLevel="0" collapsed="false">
      <c r="A89" s="37" t="str">
        <f aca="false">IFERROR(__xludf.dummyfunction("""COMPUTED_VALUE"""),"Toán")</f>
        <v>Toán</v>
      </c>
      <c r="B89" s="37" t="str">
        <f aca="false">IFERROR(__xludf.dummyfunction("""COMPUTED_VALUE"""),"NT_N_12")</f>
        <v>NT_N_12</v>
      </c>
      <c r="C89" s="59" t="str">
        <f aca="false">IFERROR(__xludf.dummyfunction("""COMPUTED_VALUE"""),"Tiệm cận của đồ thị hàm số (P2)")</f>
        <v>Tiệm cận của đồ thị hàm số (P2)</v>
      </c>
      <c r="D89" s="39" t="str">
        <f aca="false">IFERROR(__xludf.dummyfunction("""COMPUTED_VALUE"""),"Nguyễn Hoài Nam")</f>
        <v>Nguyễn Hoài Nam</v>
      </c>
      <c r="E89" s="40" t="n">
        <f aca="false">IFERROR(__xludf.dummyfunction("""COMPUTED_VALUE"""),46208)</f>
        <v>46208</v>
      </c>
      <c r="F89" s="41" t="str">
        <f aca="false">IFERROR(__xludf.dummyfunction("""COMPUTED_VALUE"""),"CN")</f>
        <v>CN</v>
      </c>
      <c r="G89" s="37" t="str">
        <f aca="false">IFERROR(__xludf.dummyfunction("""COMPUTED_VALUE"""),"21:00-22:30")</f>
        <v>21:00-22:30</v>
      </c>
      <c r="H89" s="42" t="str">
        <f aca="false">IFERROR(__xludf.dummyfunction("""COMPUTED_VALUE"""),"https://hocmai.vn/mod/scorm/view_file.php?inpopup=true&amp;id=181852")</f>
        <v>https://hocmai.vn/mod/scorm/view_file.php?inpopup=true&amp;id=181852</v>
      </c>
      <c r="I89" s="42" t="str">
        <f aca="false">IFERROR(__xludf.dummyfunction("""COMPUTED_VALUE"""),"https://hocmai.vn/mod/scorm/view_file.php?inpopup=true&amp;id=181872")</f>
        <v>https://hocmai.vn/mod/scorm/view_file.php?inpopup=true&amp;id=181872</v>
      </c>
      <c r="J89" s="42" t="str">
        <f aca="false">IFERROR(__xludf.dummyfunction("""COMPUTED_VALUE"""),"https://drive.google.com/drive/folders/1MqVPVpPTgcqFHaRXhRkRTMunoJ4ePZ1X?usp=sharing")</f>
        <v>https://drive.google.com/drive/folders/1MqVPVpPTgcqFHaRXhRkRTMunoJ4ePZ1X?usp=sharing</v>
      </c>
      <c r="K89" s="68" t="str">
        <f aca="false">IFERROR(__xludf.dummyfunction("""COMPUTED_VALUE"""),"lent")</f>
        <v>lent</v>
      </c>
      <c r="L89" s="68" t="str">
        <f aca="false">IFERROR(__xludf.dummyfunction("""COMPUTED_VALUE"""),"Tưởng Thị Huyền Trang")</f>
        <v>Tưởng Thị Huyền Trang</v>
      </c>
      <c r="M89" s="69" t="str">
        <f aca="false">IFERROR(__xludf.dummyfunction("""COMPUTED_VALUE"""),"https://hocmai.sharepoint.com/Education_Development/Lists/San_xuat_video/DispForm.aspx?ID=12199")</f>
        <v>https://hocmai.sharepoint.com/Education_Development/Lists/San_xuat_video/DispForm.aspx?ID=12199</v>
      </c>
      <c r="N89" s="78" t="n">
        <f aca="false">IFERROR(__xludf.dummyfunction("""COMPUTED_VALUE"""),3313)</f>
        <v>3313</v>
      </c>
      <c r="O89" s="63" t="n">
        <f aca="false">IFERROR(__xludf.dummyfunction("""COMPUTED_VALUE"""),166637)</f>
        <v>166637</v>
      </c>
      <c r="P89" s="63"/>
      <c r="Q89" s="63" t="n">
        <f aca="false">IFERROR(__xludf.dummyfunction("""COMPUTED_VALUE"""),8020)</f>
        <v>8020</v>
      </c>
      <c r="R89" s="41"/>
      <c r="S89" s="41"/>
      <c r="T89" s="63" t="n">
        <f aca="false">IFERROR(__xludf.dummyfunction("""COMPUTED_VALUE"""),8021)</f>
        <v>8021</v>
      </c>
      <c r="U89" s="63" t="n">
        <f aca="false">IFERROR(__xludf.dummyfunction("""COMPUTED_VALUE"""),23829)</f>
        <v>23829</v>
      </c>
      <c r="V89" s="70" t="n">
        <f aca="false">IFERROR(__xludf.dummyfunction("""COMPUTED_VALUE"""),46210)</f>
        <v>46210</v>
      </c>
      <c r="W89" s="39" t="str">
        <f aca="false">IFERROR(__xludf.dummyfunction("""COMPUTED_VALUE"""),"Hoàn thành XB")</f>
        <v>Hoàn thành XB</v>
      </c>
      <c r="X89" s="41" t="str">
        <f aca="false">IFERROR(__xludf.dummyfunction("""COMPUTED_VALUE"""),"Huent7")</f>
        <v>Huent7</v>
      </c>
      <c r="Y89" s="44"/>
      <c r="Z89" s="57"/>
      <c r="AA89" s="57"/>
      <c r="AB89" s="41" t="n">
        <f aca="false">IFERROR(__xludf.dummyfunction("""COMPUTED_VALUE"""),7)</f>
        <v>7</v>
      </c>
      <c r="AC89" s="57"/>
      <c r="AD89" s="46"/>
      <c r="AE89" s="46"/>
      <c r="AF89" s="47" t="str">
        <f aca="false">IFERROR(__xludf.dummyfunction("""COMPUTED_VALUE"""),"lophoctoan-946208")</f>
        <v>lophoctoan-946208</v>
      </c>
      <c r="AG89" s="46" t="str">
        <f aca="false">IFERROR(__xludf.dummyfunction("""COMPUTED_VALUE"""),"")</f>
        <v/>
      </c>
      <c r="AH89" s="53" t="b">
        <f aca="false">IFERROR(__xludf.dummyfunction("""COMPUTED_VALUE"""),TRUE())</f>
        <v>1</v>
      </c>
      <c r="AI89" s="35"/>
      <c r="AJ89" s="35"/>
      <c r="AK89" s="35"/>
      <c r="AL89" s="35"/>
      <c r="AM89" s="35"/>
      <c r="AN89" s="35"/>
      <c r="AO89" s="46"/>
    </row>
    <row r="90" customFormat="false" ht="15.75" hidden="false" customHeight="true" outlineLevel="0" collapsed="false">
      <c r="A90" s="37" t="str">
        <f aca="false">IFERROR(__xludf.dummyfunction("""COMPUTED_VALUE"""),"Toán")</f>
        <v>Toán</v>
      </c>
      <c r="B90" s="37" t="str">
        <f aca="false">IFERROR(__xludf.dummyfunction("""COMPUTED_VALUE"""),"NT_T_28")</f>
        <v>NT_T_28</v>
      </c>
      <c r="C90" s="59" t="str">
        <f aca="false">IFERROR(__xludf.dummyfunction("""COMPUTED_VALUE"""),"Ứng dụng tích phân tính diện tích hình phẳng")</f>
        <v>Ứng dụng tích phân tính diện tích hình phẳng</v>
      </c>
      <c r="D90" s="39" t="str">
        <f aca="false">IFERROR(__xludf.dummyfunction("""COMPUTED_VALUE"""),"Nguyễn Thanh Tùng")</f>
        <v>Nguyễn Thanh Tùng</v>
      </c>
      <c r="E90" s="40" t="n">
        <f aca="false">IFERROR(__xludf.dummyfunction("""COMPUTED_VALUE"""),46208)</f>
        <v>46208</v>
      </c>
      <c r="F90" s="41" t="str">
        <f aca="false">IFERROR(__xludf.dummyfunction("""COMPUTED_VALUE"""),"CN")</f>
        <v>CN</v>
      </c>
      <c r="G90" s="37" t="str">
        <f aca="false">IFERROR(__xludf.dummyfunction("""COMPUTED_VALUE"""),"18:00-20:00")</f>
        <v>18:00-20:00</v>
      </c>
      <c r="H90" s="42" t="str">
        <f aca="false">IFERROR(__xludf.dummyfunction("""COMPUTED_VALUE"""),"https://hocmai.vn/mod/scorm/view_file.php?id=181936")</f>
        <v>https://hocmai.vn/mod/scorm/view_file.php?id=181936</v>
      </c>
      <c r="I90" s="37"/>
      <c r="J90" s="42" t="str">
        <f aca="false">IFERROR(__xludf.dummyfunction("""COMPUTED_VALUE"""),"https://drive.google.com/drive/folders/1H6a_VXK2aw7mQo1-mWgAen_3dDZyslMI?usp=drive_link")</f>
        <v>https://drive.google.com/drive/folders/1H6a_VXK2aw7mQo1-mWgAen_3dDZyslMI?usp=drive_link</v>
      </c>
      <c r="K90" s="68" t="str">
        <f aca="false">IFERROR(__xludf.dummyfunction("""COMPUTED_VALUE"""),"Chientd2")</f>
        <v>Chientd2</v>
      </c>
      <c r="L90" s="68" t="str">
        <f aca="false">IFERROR(__xludf.dummyfunction("""COMPUTED_VALUE"""),"Tưởng Thị Huyền Trang")</f>
        <v>Tưởng Thị Huyền Trang</v>
      </c>
      <c r="M90" s="69" t="str">
        <f aca="false">IFERROR(__xludf.dummyfunction("""COMPUTED_VALUE"""),"https://hocmai.sharepoint.com/Education_Development/Lists/San_xuat_video/DispForm.aspx?ID=12167")</f>
        <v>https://hocmai.sharepoint.com/Education_Development/Lists/San_xuat_video/DispForm.aspx?ID=12167</v>
      </c>
      <c r="N90" s="63" t="n">
        <f aca="false">IFERROR(__xludf.dummyfunction("""COMPUTED_VALUE"""),3312)</f>
        <v>3312</v>
      </c>
      <c r="O90" s="63" t="n">
        <f aca="false">IFERROR(__xludf.dummyfunction("""COMPUTED_VALUE"""),166561)</f>
        <v>166561</v>
      </c>
      <c r="P90" s="63"/>
      <c r="Q90" s="63" t="n">
        <f aca="false">IFERROR(__xludf.dummyfunction("""COMPUTED_VALUE"""),7938)</f>
        <v>7938</v>
      </c>
      <c r="R90" s="41"/>
      <c r="S90" s="41"/>
      <c r="T90" s="63" t="n">
        <f aca="false">IFERROR(__xludf.dummyfunction("""COMPUTED_VALUE"""),7939)</f>
        <v>7939</v>
      </c>
      <c r="U90" s="63" t="n">
        <f aca="false">IFERROR(__xludf.dummyfunction("""COMPUTED_VALUE"""),23836)</f>
        <v>23836</v>
      </c>
      <c r="V90" s="70" t="n">
        <f aca="false">IFERROR(__xludf.dummyfunction("""COMPUTED_VALUE"""),46211)</f>
        <v>46211</v>
      </c>
      <c r="W90" s="39" t="str">
        <f aca="false">IFERROR(__xludf.dummyfunction("""COMPUTED_VALUE"""),"Hoàn thành XB")</f>
        <v>Hoàn thành XB</v>
      </c>
      <c r="X90" s="41" t="str">
        <f aca="false">IFERROR(__xludf.dummyfunction("""COMPUTED_VALUE"""),"Huent7")</f>
        <v>Huent7</v>
      </c>
      <c r="Y90" s="44"/>
      <c r="Z90" s="57"/>
      <c r="AA90" s="57"/>
      <c r="AB90" s="41" t="n">
        <f aca="false">IFERROR(__xludf.dummyfunction("""COMPUTED_VALUE"""),7)</f>
        <v>7</v>
      </c>
      <c r="AC90" s="57"/>
      <c r="AD90" s="46"/>
      <c r="AE90" s="46"/>
      <c r="AF90" s="47" t="str">
        <f aca="false">IFERROR(__xludf.dummyfunction("""COMPUTED_VALUE"""),"lophoctoan-946208")</f>
        <v>lophoctoan-946208</v>
      </c>
      <c r="AG90" s="46" t="str">
        <f aca="false">IFERROR(__xludf.dummyfunction("""COMPUTED_VALUE"""),"")</f>
        <v/>
      </c>
      <c r="AH90" s="53" t="b">
        <f aca="false">IFERROR(__xludf.dummyfunction("""COMPUTED_VALUE"""),TRUE())</f>
        <v>1</v>
      </c>
      <c r="AI90" s="35"/>
      <c r="AJ90" s="35"/>
      <c r="AK90" s="35"/>
      <c r="AL90" s="35"/>
      <c r="AM90" s="35"/>
      <c r="AN90" s="35"/>
      <c r="AO90" s="46"/>
    </row>
    <row r="91" customFormat="false" ht="15.75" hidden="false" customHeight="true" outlineLevel="0" collapsed="false">
      <c r="A91" s="37" t="str">
        <f aca="false">IFERROR(__xludf.dummyfunction("""COMPUTED_VALUE"""),"Toán")</f>
        <v>Toán</v>
      </c>
      <c r="B91" s="37" t="str">
        <f aca="false">IFERROR(__xludf.dummyfunction("""COMPUTED_VALUE"""),"TOV_TSA_T03")</f>
        <v>TOV_TSA_T03</v>
      </c>
      <c r="C91" s="59" t="str">
        <f aca="false">IFERROR(__xludf.dummyfunction("""COMPUTED_VALUE"""),"Số nguyên tố và cách khai thác các tính chất đặc biệt")</f>
        <v>Số nguyên tố và cách khai thác các tính chất đặc biệt</v>
      </c>
      <c r="D91" s="39" t="str">
        <f aca="false">IFERROR(__xludf.dummyfunction("""COMPUTED_VALUE"""),"Nguyễn Thanh Tùng")</f>
        <v>Nguyễn Thanh Tùng</v>
      </c>
      <c r="E91" s="40" t="n">
        <f aca="false">IFERROR(__xludf.dummyfunction("""COMPUTED_VALUE"""),46209)</f>
        <v>46209</v>
      </c>
      <c r="F91" s="41" t="n">
        <f aca="false">IFERROR(__xludf.dummyfunction("""COMPUTED_VALUE"""),2)</f>
        <v>2</v>
      </c>
      <c r="G91" s="37" t="str">
        <f aca="false">IFERROR(__xludf.dummyfunction("""COMPUTED_VALUE"""),"18:00-20:00")</f>
        <v>18:00-20:00</v>
      </c>
      <c r="H91" s="37"/>
      <c r="I91" s="37"/>
      <c r="J91" s="42" t="str">
        <f aca="false">IFERROR(__xludf.dummyfunction("""COMPUTED_VALUE"""),"https://drive.google.com/drive/folders/1boNsHg1B2cYvBkN4uFp3Wcdfayr5zPE2?usp=drive_link")</f>
        <v>https://drive.google.com/drive/folders/1boNsHg1B2cYvBkN4uFp3Wcdfayr5zPE2?usp=drive_link</v>
      </c>
      <c r="K91" s="68" t="str">
        <f aca="false">IFERROR(__xludf.dummyfunction("""COMPUTED_VALUE"""),"Locdd")</f>
        <v>Locdd</v>
      </c>
      <c r="L91" s="68" t="str">
        <f aca="false">IFERROR(__xludf.dummyfunction("""COMPUTED_VALUE"""),"Phạm Quang Thành")</f>
        <v>Phạm Quang Thành</v>
      </c>
      <c r="M91" s="71"/>
      <c r="N91" s="77" t="str">
        <f aca="false">IFERROR(__xludf.dummyfunction("""COMPUTED_VALUE"""),"3108")</f>
        <v>3108</v>
      </c>
      <c r="O91" s="63" t="n">
        <f aca="false">IFERROR(__xludf.dummyfunction("""COMPUTED_VALUE"""),168360)</f>
        <v>168360</v>
      </c>
      <c r="P91" s="63"/>
      <c r="Q91" s="63"/>
      <c r="R91" s="41"/>
      <c r="S91" s="41"/>
      <c r="T91" s="63"/>
      <c r="U91" s="63"/>
      <c r="V91" s="70" t="n">
        <f aca="false">IFERROR(__xludf.dummyfunction("""COMPUTED_VALUE"""),46212)</f>
        <v>46212</v>
      </c>
      <c r="W91" s="39" t="str">
        <f aca="false">IFERROR(__xludf.dummyfunction("""COMPUTED_VALUE"""),"Hoàn thành XB")</f>
        <v>Hoàn thành XB</v>
      </c>
      <c r="X91" s="41" t="str">
        <f aca="false">IFERROR(__xludf.dummyfunction("""COMPUTED_VALUE"""),"Locdd")</f>
        <v>Locdd</v>
      </c>
      <c r="Y91" s="44" t="str">
        <f aca="false">IFERROR(__xludf.dummyfunction("""COMPUTED_VALUE"""),"done")</f>
        <v>done</v>
      </c>
      <c r="Z91" s="57" t="str">
        <f aca="false">IFERROR(__xludf.dummyfunction("""COMPUTED_VALUE"""),"#N/A")</f>
        <v>#N/A</v>
      </c>
      <c r="AA91" s="57"/>
      <c r="AB91" s="41" t="n">
        <f aca="false">IFERROR(__xludf.dummyfunction("""COMPUTED_VALUE"""),7)</f>
        <v>7</v>
      </c>
      <c r="AC91" s="57" t="str">
        <f aca="false">IFERROR(__xludf.dummyfunction("""COMPUTED_VALUE"""),"gv.tungnt@hocmai.edu.vn ")</f>
        <v>gv.tungnt@hocmai.edu.vn </v>
      </c>
      <c r="AD91" s="46" t="str">
        <f aca="false">IFERROR(__xludf.dummyfunction("""COMPUTED_VALUE"""),"nguyenquockhanh8823@gmail.com")</f>
        <v>nguyenquockhanh8823@gmail.com</v>
      </c>
      <c r="AE91" s="46"/>
      <c r="AF91" s="47" t="str">
        <f aca="false">IFERROR(__xludf.dummyfunction("""COMPUTED_VALUE"""),"lophoctoan-946209")</f>
        <v>lophoctoan-946209</v>
      </c>
      <c r="AG91" s="46" t="str">
        <f aca="false">IFERROR(__xludf.dummyfunction("""COMPUTED_VALUE"""),"")</f>
        <v/>
      </c>
      <c r="AH91" s="35"/>
      <c r="AI91" s="53" t="b">
        <f aca="false">IFERROR(__xludf.dummyfunction("""COMPUTED_VALUE"""),TRUE())</f>
        <v>1</v>
      </c>
      <c r="AJ91" s="35"/>
      <c r="AK91" s="35"/>
      <c r="AL91" s="35"/>
      <c r="AM91" s="35"/>
      <c r="AN91" s="35"/>
      <c r="AO91" s="46"/>
    </row>
    <row r="92" customFormat="false" ht="15.75" hidden="false" customHeight="true" outlineLevel="0" collapsed="false">
      <c r="A92" s="37" t="str">
        <f aca="false">IFERROR(__xludf.dummyfunction("""COMPUTED_VALUE"""),"Đọc hiểu")</f>
        <v>Đọc hiểu</v>
      </c>
      <c r="B92" s="37" t="str">
        <f aca="false">IFERROR(__xludf.dummyfunction("""COMPUTED_VALUE"""),"TOV_TSA_DH04")</f>
        <v>TOV_TSA_DH04</v>
      </c>
      <c r="C92" s="59" t="str">
        <f aca="false">IFERROR(__xludf.dummyfunction("""COMPUTED_VALUE"""),"Luyện đọc hiểu cấp độ từ ngữ và câu văn")</f>
        <v>Luyện đọc hiểu cấp độ từ ngữ và câu văn</v>
      </c>
      <c r="D92" s="39" t="str">
        <f aca="false">IFERROR(__xludf.dummyfunction("""COMPUTED_VALUE"""),"Vương Thúy Hằng")</f>
        <v>Vương Thúy Hằng</v>
      </c>
      <c r="E92" s="40" t="n">
        <f aca="false">IFERROR(__xludf.dummyfunction("""COMPUTED_VALUE"""),46209)</f>
        <v>46209</v>
      </c>
      <c r="F92" s="41" t="n">
        <f aca="false">IFERROR(__xludf.dummyfunction("""COMPUTED_VALUE"""),2)</f>
        <v>2</v>
      </c>
      <c r="G92" s="37" t="str">
        <f aca="false">IFERROR(__xludf.dummyfunction("""COMPUTED_VALUE"""),"21:30-23:30")</f>
        <v>21:30-23:30</v>
      </c>
      <c r="H92" s="37"/>
      <c r="I92" s="37"/>
      <c r="J92" s="42" t="str">
        <f aca="false">IFERROR(__xludf.dummyfunction("""COMPUTED_VALUE"""),"https://drive.google.com/file/d/15SJyriCQDzSCfpz0P9uGu00JKkb0-pnM/view?usp=drive_link")</f>
        <v>https://drive.google.com/file/d/15SJyriCQDzSCfpz0P9uGu00JKkb0-pnM/view?usp=drive_link</v>
      </c>
      <c r="K92" s="68" t="str">
        <f aca="false">IFERROR(__xludf.dummyfunction("""COMPUTED_VALUE"""),"Hangvt3")</f>
        <v>Hangvt3</v>
      </c>
      <c r="L92" s="68" t="str">
        <f aca="false">IFERROR(__xludf.dummyfunction("""COMPUTED_VALUE"""),"Phan Đức Kiên")</f>
        <v>Phan Đức Kiên</v>
      </c>
      <c r="M92" s="71"/>
      <c r="N92" s="77" t="str">
        <f aca="false">IFERROR(__xludf.dummyfunction("""COMPUTED_VALUE"""),"3109")</f>
        <v>3109</v>
      </c>
      <c r="O92" s="63" t="n">
        <f aca="false">IFERROR(__xludf.dummyfunction("""COMPUTED_VALUE"""),167227)</f>
        <v>167227</v>
      </c>
      <c r="P92" s="63"/>
      <c r="Q92" s="63"/>
      <c r="R92" s="41"/>
      <c r="S92" s="41"/>
      <c r="T92" s="63"/>
      <c r="U92" s="63"/>
      <c r="V92" s="70" t="n">
        <f aca="false">IFERROR(__xludf.dummyfunction("""COMPUTED_VALUE"""),46212)</f>
        <v>46212</v>
      </c>
      <c r="W92" s="39" t="str">
        <f aca="false">IFERROR(__xludf.dummyfunction("""COMPUTED_VALUE"""),"Hoàn thành XB")</f>
        <v>Hoàn thành XB</v>
      </c>
      <c r="X92" s="41" t="str">
        <f aca="false">IFERROR(__xludf.dummyfunction("""COMPUTED_VALUE"""),"Hoantt")</f>
        <v>Hoantt</v>
      </c>
      <c r="Y92" s="44" t="str">
        <f aca="false">IFERROR(__xludf.dummyfunction("""COMPUTED_VALUE"""),"done")</f>
        <v>done</v>
      </c>
      <c r="Z92" s="57" t="str">
        <f aca="false">IFERROR(__xludf.dummyfunction("""COMPUTED_VALUE"""),"#N/A")</f>
        <v>#N/A</v>
      </c>
      <c r="AA92" s="57"/>
      <c r="AB92" s="41" t="n">
        <f aca="false">IFERROR(__xludf.dummyfunction("""COMPUTED_VALUE"""),7)</f>
        <v>7</v>
      </c>
      <c r="AC92" s="57" t="str">
        <f aca="false">IFERROR(__xludf.dummyfunction("""COMPUTED_VALUE"""),"gv.hangvt@hocmai.edu.vn ")</f>
        <v>gv.hangvt@hocmai.edu.vn </v>
      </c>
      <c r="AD92" s="46" t="str">
        <f aca="false">IFERROR(__xludf.dummyfunction("""COMPUTED_VALUE"""),"duckien010607@gmail.com")</f>
        <v>duckien010607@gmail.com</v>
      </c>
      <c r="AE92" s="46"/>
      <c r="AF92" s="47" t="str">
        <f aca="false">IFERROR(__xludf.dummyfunction("""COMPUTED_VALUE"""),"lophoctoan-946209")</f>
        <v>lophoctoan-946209</v>
      </c>
      <c r="AG92" s="46" t="str">
        <f aca="false">IFERROR(__xludf.dummyfunction("""COMPUTED_VALUE"""),"")</f>
        <v/>
      </c>
      <c r="AH92" s="35"/>
      <c r="AI92" s="53" t="b">
        <f aca="false">IFERROR(__xludf.dummyfunction("""COMPUTED_VALUE"""),TRUE())</f>
        <v>1</v>
      </c>
      <c r="AJ92" s="35"/>
      <c r="AK92" s="35"/>
      <c r="AL92" s="35"/>
      <c r="AM92" s="35"/>
      <c r="AN92" s="35"/>
      <c r="AO92" s="46"/>
    </row>
    <row r="93" customFormat="false" ht="15.75" hidden="false" customHeight="true" outlineLevel="0" collapsed="false">
      <c r="A93" s="37" t="str">
        <f aca="false">IFERROR(__xludf.dummyfunction("""COMPUTED_VALUE"""),"Tiếng Anh")</f>
        <v>Tiếng Anh</v>
      </c>
      <c r="B93" s="37" t="str">
        <f aca="false">IFERROR(__xludf.dummyfunction("""COMPUTED_VALUE"""),"TOV_HV_TA04")</f>
        <v>TOV_HV_TA04</v>
      </c>
      <c r="C93" s="59" t="str">
        <f aca="false">IFERROR(__xludf.dummyfunction("""COMPUTED_VALUE"""),"Danh động từ - Động từ khuyết thiếu - Câu điều kiện")</f>
        <v>Danh động từ - Động từ khuyết thiếu - Câu điều kiện</v>
      </c>
      <c r="D93" s="39" t="str">
        <f aca="false">IFERROR(__xludf.dummyfunction("""COMPUTED_VALUE"""),"Nguyễn Thanh Hương")</f>
        <v>Nguyễn Thanh Hương</v>
      </c>
      <c r="E93" s="40" t="n">
        <f aca="false">IFERROR(__xludf.dummyfunction("""COMPUTED_VALUE"""),46209)</f>
        <v>46209</v>
      </c>
      <c r="F93" s="41" t="n">
        <f aca="false">IFERROR(__xludf.dummyfunction("""COMPUTED_VALUE"""),2)</f>
        <v>2</v>
      </c>
      <c r="G93" s="37" t="str">
        <f aca="false">IFERROR(__xludf.dummyfunction("""COMPUTED_VALUE"""),"20:00-22:00")</f>
        <v>20:00-22:00</v>
      </c>
      <c r="H93" s="37"/>
      <c r="I93" s="37"/>
      <c r="J93" s="42" t="str">
        <f aca="false">IFERROR(__xludf.dummyfunction("""COMPUTED_VALUE"""),"https://drive.google.com/file/d/1jv-5gcl8a3VpP1XgML60ZMxb8vx_fUlX/view?usp=drive_link")</f>
        <v>https://drive.google.com/file/d/1jv-5gcl8a3VpP1XgML60ZMxb8vx_fUlX/view?usp=drive_link</v>
      </c>
      <c r="K93" s="68" t="str">
        <f aca="false">IFERROR(__xludf.dummyfunction("""COMPUTED_VALUE"""),"huyennn2")</f>
        <v>huyennn2</v>
      </c>
      <c r="L93" s="68" t="str">
        <f aca="false">IFERROR(__xludf.dummyfunction("""COMPUTED_VALUE"""),"Nguyễn Lê Thụy Quyên ")</f>
        <v>Nguyễn Lê Thụy Quyên </v>
      </c>
      <c r="M93" s="71"/>
      <c r="N93" s="77" t="str">
        <f aca="false">IFERROR(__xludf.dummyfunction("""COMPUTED_VALUE"""),"3140,3165,3339")</f>
        <v>3140,3165,3339</v>
      </c>
      <c r="O93" s="73" t="str">
        <f aca="false">IFERROR(__xludf.dummyfunction("""COMPUTED_VALUE"""),"167540,167608,167632")</f>
        <v>167540,167608,167632</v>
      </c>
      <c r="P93" s="63" t="str">
        <f aca="false">IFERROR(__xludf.dummyfunction("""COMPUTED_VALUE"""),"9030,9038,9047,9119")</f>
        <v>9030,9038,9047,9119</v>
      </c>
      <c r="Q93" s="63"/>
      <c r="R93" s="41"/>
      <c r="S93" s="41"/>
      <c r="T93" s="63"/>
      <c r="U93" s="63"/>
      <c r="V93" s="70" t="n">
        <f aca="false">IFERROR(__xludf.dummyfunction("""COMPUTED_VALUE"""),46212)</f>
        <v>46212</v>
      </c>
      <c r="W93" s="39" t="str">
        <f aca="false">IFERROR(__xludf.dummyfunction("""COMPUTED_VALUE"""),"Hoàn thành XB")</f>
        <v>Hoàn thành XB</v>
      </c>
      <c r="X93" s="41" t="str">
        <f aca="false">IFERROR(__xludf.dummyfunction("""COMPUTED_VALUE"""),"huyennn2")</f>
        <v>huyennn2</v>
      </c>
      <c r="Y93" s="44" t="str">
        <f aca="false">IFERROR(__xludf.dummyfunction("""COMPUTED_VALUE"""),"done")</f>
        <v>done</v>
      </c>
      <c r="Z93" s="57" t="str">
        <f aca="false">IFERROR(__xludf.dummyfunction("""COMPUTED_VALUE"""),"#N/A")</f>
        <v>#N/A</v>
      </c>
      <c r="AA93" s="57"/>
      <c r="AB93" s="41" t="n">
        <f aca="false">IFERROR(__xludf.dummyfunction("""COMPUTED_VALUE"""),7)</f>
        <v>7</v>
      </c>
      <c r="AC93" s="57" t="str">
        <f aca="false">IFERROR(__xludf.dummyfunction("""COMPUTED_VALUE"""),"gv.huongnt@hocmai.edu.vn ")</f>
        <v>gv.huongnt@hocmai.edu.vn </v>
      </c>
      <c r="AD93" s="46" t="str">
        <f aca="false">IFERROR(__xludf.dummyfunction("""COMPUTED_VALUE"""),"nguyenlethuyquyencp@gmail.com")</f>
        <v>nguyenlethuyquyencp@gmail.com</v>
      </c>
      <c r="AE93" s="46"/>
      <c r="AF93" s="47" t="str">
        <f aca="false">IFERROR(__xludf.dummyfunction("""COMPUTED_VALUE"""),"lophoctienganh46209")</f>
        <v>lophoctienganh46209</v>
      </c>
      <c r="AG93" s="46" t="str">
        <f aca="false">IFERROR(__xludf.dummyfunction("""COMPUTED_VALUE"""),"")</f>
        <v/>
      </c>
      <c r="AH93" s="35"/>
      <c r="AI93" s="35"/>
      <c r="AJ93" s="53" t="b">
        <f aca="false">IFERROR(__xludf.dummyfunction("""COMPUTED_VALUE"""),TRUE())</f>
        <v>1</v>
      </c>
      <c r="AK93" s="53" t="b">
        <f aca="false">IFERROR(__xludf.dummyfunction("""COMPUTED_VALUE"""),TRUE())</f>
        <v>1</v>
      </c>
      <c r="AL93" s="35"/>
      <c r="AM93" s="53" t="b">
        <f aca="false">IFERROR(__xludf.dummyfunction("""COMPUTED_VALUE"""),TRUE())</f>
        <v>1</v>
      </c>
      <c r="AN93" s="53" t="b">
        <f aca="false">IFERROR(__xludf.dummyfunction("""COMPUTED_VALUE"""),TRUE())</f>
        <v>1</v>
      </c>
      <c r="AO93" s="46"/>
    </row>
    <row r="94" customFormat="false" ht="15.75" hidden="false" customHeight="true" outlineLevel="0" collapsed="false">
      <c r="A94" s="37" t="str">
        <f aca="false">IFERROR(__xludf.dummyfunction("""COMPUTED_VALUE"""),"Hóa học")</f>
        <v>Hóa học</v>
      </c>
      <c r="B94" s="37" t="str">
        <f aca="false">IFERROR(__xludf.dummyfunction("""COMPUTED_VALUE"""),"TOV_HSA_HH04")</f>
        <v>TOV_HSA_HH04</v>
      </c>
      <c r="C94" s="59" t="str">
        <f aca="false">IFERROR(__xludf.dummyfunction("""COMPUTED_VALUE"""),"Phản ứng oxi hóa – khử và năng lượng hóa học")</f>
        <v>Phản ứng oxi hóa – khử và năng lượng hóa học</v>
      </c>
      <c r="D94" s="39" t="str">
        <f aca="false">IFERROR(__xludf.dummyfunction("""COMPUTED_VALUE"""),"Chu Hải Long")</f>
        <v>Chu Hải Long</v>
      </c>
      <c r="E94" s="40" t="n">
        <f aca="false">IFERROR(__xludf.dummyfunction("""COMPUTED_VALUE"""),46209)</f>
        <v>46209</v>
      </c>
      <c r="F94" s="41" t="n">
        <f aca="false">IFERROR(__xludf.dummyfunction("""COMPUTED_VALUE"""),2)</f>
        <v>2</v>
      </c>
      <c r="G94" s="37" t="str">
        <f aca="false">IFERROR(__xludf.dummyfunction("""COMPUTED_VALUE"""),"20:00-22:00")</f>
        <v>20:00-22:00</v>
      </c>
      <c r="H94" s="42" t="str">
        <f aca="false">IFERROR(__xludf.dummyfunction("""COMPUTED_VALUE"""),"https://hocmai.vn/mod/scorm/view_file.php?id=181963")</f>
        <v>https://hocmai.vn/mod/scorm/view_file.php?id=181963</v>
      </c>
      <c r="I94" s="42" t="str">
        <f aca="false">IFERROR(__xludf.dummyfunction("""COMPUTED_VALUE"""),"https://hocmai.vn/mod/scorm/view_file.php?id=181991")</f>
        <v>https://hocmai.vn/mod/scorm/view_file.php?id=181991</v>
      </c>
      <c r="J94" s="42" t="str">
        <f aca="false">IFERROR(__xludf.dummyfunction("""COMPUTED_VALUE"""),"4. TOV_HSA_HH04 – PHẢN ỨNG OXI HÓA – KHỬ VÀ NĂNG LƯỢNG HÓA HỌC")</f>
        <v>4. TOV_HSA_HH04 – PHẢN ỨNG OXI HÓA – KHỬ VÀ NĂNG LƯỢNG HÓA HỌC</v>
      </c>
      <c r="K94" s="68" t="str">
        <f aca="false">IFERROR(__xludf.dummyfunction("""COMPUTED_VALUE"""),"Huebt")</f>
        <v>Huebt</v>
      </c>
      <c r="L94" s="68" t="str">
        <f aca="false">IFERROR(__xludf.dummyfunction("""COMPUTED_VALUE"""),"Võ Hương Giang")</f>
        <v>Võ Hương Giang</v>
      </c>
      <c r="M94" s="71"/>
      <c r="N94" s="77" t="str">
        <f aca="false">IFERROR(__xludf.dummyfunction("""COMPUTED_VALUE"""),"3120")</f>
        <v>3120</v>
      </c>
      <c r="O94" s="63" t="n">
        <f aca="false">IFERROR(__xludf.dummyfunction("""COMPUTED_VALUE"""),167428)</f>
        <v>167428</v>
      </c>
      <c r="P94" s="63"/>
      <c r="Q94" s="63"/>
      <c r="R94" s="41"/>
      <c r="S94" s="41"/>
      <c r="T94" s="63" t="n">
        <f aca="false">IFERROR(__xludf.dummyfunction("""COMPUTED_VALUE"""),23847)</f>
        <v>23847</v>
      </c>
      <c r="U94" s="63" t="n">
        <f aca="false">IFERROR(__xludf.dummyfunction("""COMPUTED_VALUE"""),10481)</f>
        <v>10481</v>
      </c>
      <c r="V94" s="70" t="n">
        <f aca="false">IFERROR(__xludf.dummyfunction("""COMPUTED_VALUE"""),46212)</f>
        <v>46212</v>
      </c>
      <c r="W94" s="39" t="str">
        <f aca="false">IFERROR(__xludf.dummyfunction("""COMPUTED_VALUE"""),"Hoàn thành XB")</f>
        <v>Hoàn thành XB</v>
      </c>
      <c r="X94" s="41" t="str">
        <f aca="false">IFERROR(__xludf.dummyfunction("""COMPUTED_VALUE"""),"Huebt")</f>
        <v>Huebt</v>
      </c>
      <c r="Y94" s="44" t="str">
        <f aca="false">IFERROR(__xludf.dummyfunction("""COMPUTED_VALUE"""),"done")</f>
        <v>done</v>
      </c>
      <c r="Z94" s="57" t="str">
        <f aca="false">IFERROR(__xludf.dummyfunction("""COMPUTED_VALUE"""),"#N/A")</f>
        <v>#N/A</v>
      </c>
      <c r="AA94" s="57"/>
      <c r="AB94" s="41" t="n">
        <f aca="false">IFERROR(__xludf.dummyfunction("""COMPUTED_VALUE"""),7)</f>
        <v>7</v>
      </c>
      <c r="AC94" s="57" t="str">
        <f aca="false">IFERROR(__xludf.dummyfunction("""COMPUTED_VALUE"""),"gv.longch@hocmai.edu.vn")</f>
        <v>gv.longch@hocmai.edu.vn</v>
      </c>
      <c r="AD94" s="46" t="str">
        <f aca="false">IFERROR(__xludf.dummyfunction("""COMPUTED_VALUE"""),"giangvh@ctv.hocmai.vn")</f>
        <v>giangvh@ctv.hocmai.vn</v>
      </c>
      <c r="AE94" s="46"/>
      <c r="AF94" s="74" t="b">
        <f aca="false">IFERROR(__xludf.dummyfunction("""COMPUTED_VALUE"""),FALSE())</f>
        <v>0</v>
      </c>
      <c r="AG94" s="46" t="str">
        <f aca="false">IFERROR(__xludf.dummyfunction("""COMPUTED_VALUE"""),"")</f>
        <v/>
      </c>
      <c r="AH94" s="35"/>
      <c r="AI94" s="35"/>
      <c r="AJ94" s="53" t="b">
        <f aca="false">IFERROR(__xludf.dummyfunction("""COMPUTED_VALUE"""),TRUE())</f>
        <v>1</v>
      </c>
      <c r="AK94" s="53" t="b">
        <f aca="false">IFERROR(__xludf.dummyfunction("""COMPUTED_VALUE"""),TRUE())</f>
        <v>1</v>
      </c>
      <c r="AL94" s="35"/>
      <c r="AM94" s="35"/>
      <c r="AN94" s="35"/>
      <c r="AO94" s="46"/>
    </row>
    <row r="95" customFormat="false" ht="15.75" hidden="false" customHeight="true" outlineLevel="0" collapsed="false">
      <c r="A95" s="37" t="str">
        <f aca="false">IFERROR(__xludf.dummyfunction("""COMPUTED_VALUE"""),"Toán")</f>
        <v>Toán</v>
      </c>
      <c r="B95" s="37" t="str">
        <f aca="false">IFERROR(__xludf.dummyfunction("""COMPUTED_VALUE"""),"TOV_TC_T04")</f>
        <v>TOV_TC_T04</v>
      </c>
      <c r="C95" s="59" t="str">
        <f aca="false">IFERROR(__xludf.dummyfunction("""COMPUTED_VALUE"""),"Bài toán thực tế trong kinh tế")</f>
        <v>Bài toán thực tế trong kinh tế</v>
      </c>
      <c r="D95" s="39" t="str">
        <f aca="false">IFERROR(__xludf.dummyfunction("""COMPUTED_VALUE"""),"Nguyễn Thanh Tùng")</f>
        <v>Nguyễn Thanh Tùng</v>
      </c>
      <c r="E95" s="40" t="n">
        <f aca="false">IFERROR(__xludf.dummyfunction("""COMPUTED_VALUE"""),46210)</f>
        <v>46210</v>
      </c>
      <c r="F95" s="41" t="n">
        <f aca="false">IFERROR(__xludf.dummyfunction("""COMPUTED_VALUE"""),3)</f>
        <v>3</v>
      </c>
      <c r="G95" s="37" t="str">
        <f aca="false">IFERROR(__xludf.dummyfunction("""COMPUTED_VALUE"""),"21:00-23:00")</f>
        <v>21:00-23:00</v>
      </c>
      <c r="H95" s="37"/>
      <c r="I95" s="37"/>
      <c r="J95" s="42" t="str">
        <f aca="false">IFERROR(__xludf.dummyfunction("""COMPUTED_VALUE"""),"https://drive.google.com/drive/folders/1dMU8o1TU5YUbS0zWIH_81wASx_XiZJcQ?usp=drive_link")</f>
        <v>https://drive.google.com/drive/folders/1dMU8o1TU5YUbS0zWIH_81wASx_XiZJcQ?usp=drive_link</v>
      </c>
      <c r="K95" s="68" t="str">
        <f aca="false">IFERROR(__xludf.dummyfunction("""COMPUTED_VALUE"""),"Chientd2")</f>
        <v>Chientd2</v>
      </c>
      <c r="L95" s="68" t="str">
        <f aca="false">IFERROR(__xludf.dummyfunction("""COMPUTED_VALUE"""),"Tưởng Thị Huyền Trang")</f>
        <v>Tưởng Thị Huyền Trang</v>
      </c>
      <c r="M95" s="71"/>
      <c r="N95" s="77" t="str">
        <f aca="false">IFERROR(__xludf.dummyfunction("""COMPUTED_VALUE"""),"3108,3117,3315,3127,3314")</f>
        <v>3108,3117,3315,3127,3314</v>
      </c>
      <c r="O95" s="63" t="str">
        <f aca="false">IFERROR(__xludf.dummyfunction("""COMPUTED_VALUE"""),"168361, 168576, 168317, 167462, 167062")</f>
        <v>168361, 168576, 168317, 167462, 167062</v>
      </c>
      <c r="P95" s="63" t="str">
        <f aca="false">IFERROR(__xludf.dummyfunction("""COMPUTED_VALUE"""),"9025,9028,9036,9104,9106,9017,9102")</f>
        <v>9025,9028,9036,9104,9106,9017,9102</v>
      </c>
      <c r="Q95" s="63" t="n">
        <f aca="false">IFERROR(__xludf.dummyfunction("""COMPUTED_VALUE"""),167062)</f>
        <v>167062</v>
      </c>
      <c r="R95" s="41"/>
      <c r="S95" s="41"/>
      <c r="T95" s="63" t="str">
        <f aca="false">IFERROR(__xludf.dummyfunction("""COMPUTED_VALUE"""),"23855, 23871, 23874")</f>
        <v>23855, 23871, 23874</v>
      </c>
      <c r="U95" s="63"/>
      <c r="V95" s="70" t="n">
        <f aca="false">IFERROR(__xludf.dummyfunction("""COMPUTED_VALUE"""),46213)</f>
        <v>46213</v>
      </c>
      <c r="W95" s="39" t="str">
        <f aca="false">IFERROR(__xludf.dummyfunction("""COMPUTED_VALUE"""),"Hoàn thành XB")</f>
        <v>Hoàn thành XB</v>
      </c>
      <c r="X95" s="41" t="str">
        <f aca="false">IFERROR(__xludf.dummyfunction("""COMPUTED_VALUE"""),"Chientd2")</f>
        <v>Chientd2</v>
      </c>
      <c r="Y95" s="44" t="str">
        <f aca="false">IFERROR(__xludf.dummyfunction("""COMPUTED_VALUE"""),"done")</f>
        <v>done</v>
      </c>
      <c r="Z95" s="57" t="str">
        <f aca="false">IFERROR(__xludf.dummyfunction("""COMPUTED_VALUE"""),"#N/A")</f>
        <v>#N/A</v>
      </c>
      <c r="AA95" s="57"/>
      <c r="AB95" s="41" t="n">
        <f aca="false">IFERROR(__xludf.dummyfunction("""COMPUTED_VALUE"""),7)</f>
        <v>7</v>
      </c>
      <c r="AC95" s="57" t="str">
        <f aca="false">IFERROR(__xludf.dummyfunction("""COMPUTED_VALUE"""),"gv.tungnt@hocmai.edu.vn ")</f>
        <v>gv.tungnt@hocmai.edu.vn </v>
      </c>
      <c r="AD95" s="46" t="str">
        <f aca="false">IFERROR(__xludf.dummyfunction("""COMPUTED_VALUE"""),"trangcrazy699@gmail.com")</f>
        <v>trangcrazy699@gmail.com</v>
      </c>
      <c r="AE95" s="46"/>
      <c r="AF95" s="47" t="str">
        <f aca="false">IFERROR(__xludf.dummyfunction("""COMPUTED_VALUE"""),"lophoctoan-946210")</f>
        <v>lophoctoan-946210</v>
      </c>
      <c r="AG95" s="46" t="str">
        <f aca="false">IFERROR(__xludf.dummyfunction("""COMPUTED_VALUE"""),"")</f>
        <v/>
      </c>
      <c r="AH95" s="35"/>
      <c r="AI95" s="53" t="b">
        <f aca="false">IFERROR(__xludf.dummyfunction("""COMPUTED_VALUE"""),TRUE())</f>
        <v>1</v>
      </c>
      <c r="AJ95" s="53" t="b">
        <f aca="false">IFERROR(__xludf.dummyfunction("""COMPUTED_VALUE"""),TRUE())</f>
        <v>1</v>
      </c>
      <c r="AK95" s="53" t="b">
        <f aca="false">IFERROR(__xludf.dummyfunction("""COMPUTED_VALUE"""),TRUE())</f>
        <v>1</v>
      </c>
      <c r="AL95" s="53" t="b">
        <f aca="false">IFERROR(__xludf.dummyfunction("""COMPUTED_VALUE"""),TRUE())</f>
        <v>1</v>
      </c>
      <c r="AM95" s="35"/>
      <c r="AN95" s="35"/>
      <c r="AO95" s="46"/>
    </row>
    <row r="96" customFormat="false" ht="15.75" hidden="false" customHeight="true" outlineLevel="0" collapsed="false">
      <c r="A96" s="37" t="str">
        <f aca="false">IFERROR(__xludf.dummyfunction("""COMPUTED_VALUE"""),"Tiếng Việt")</f>
        <v>Tiếng Việt</v>
      </c>
      <c r="B96" s="37" t="str">
        <f aca="false">IFERROR(__xludf.dummyfunction("""COMPUTED_VALUE"""),"TOV_V-ACT_TV04")</f>
        <v>TOV_V-ACT_TV04</v>
      </c>
      <c r="C96" s="59" t="str">
        <f aca="false">IFERROR(__xludf.dummyfunction("""COMPUTED_VALUE"""),"Một số thể loại văn học dân gian tiêu biểu_Phần 2")</f>
        <v>Một số thể loại văn học dân gian tiêu biểu_Phần 2</v>
      </c>
      <c r="D96" s="39" t="str">
        <f aca="false">IFERROR(__xludf.dummyfunction("""COMPUTED_VALUE"""),"Văn Trịnh Quỳnh An")</f>
        <v>Văn Trịnh Quỳnh An</v>
      </c>
      <c r="E96" s="40" t="n">
        <f aca="false">IFERROR(__xludf.dummyfunction("""COMPUTED_VALUE"""),46210)</f>
        <v>46210</v>
      </c>
      <c r="F96" s="41" t="n">
        <f aca="false">IFERROR(__xludf.dummyfunction("""COMPUTED_VALUE"""),3)</f>
        <v>3</v>
      </c>
      <c r="G96" s="37" t="str">
        <f aca="false">IFERROR(__xludf.dummyfunction("""COMPUTED_VALUE"""),"20:00-21:30")</f>
        <v>20:00-21:30</v>
      </c>
      <c r="H96" s="37"/>
      <c r="I96" s="37"/>
      <c r="J96" s="42" t="str">
        <f aca="false">IFERROR(__xludf.dummyfunction("""COMPUTED_VALUE"""),"https://drive.google.com/drive/folders/1yFlODWMA6w-RQY7g6vEZoNBTgFZD_Da-")</f>
        <v>https://drive.google.com/drive/folders/1yFlODWMA6w-RQY7g6vEZoNBTgFZD_Da-</v>
      </c>
      <c r="K96" s="68" t="str">
        <f aca="false">IFERROR(__xludf.dummyfunction("""COMPUTED_VALUE"""),"Hangvt3")</f>
        <v>Hangvt3</v>
      </c>
      <c r="L96" s="68" t="str">
        <f aca="false">IFERROR(__xludf.dummyfunction("""COMPUTED_VALUE"""),"Bùi Vĩnh Thọ")</f>
        <v>Bùi Vĩnh Thọ</v>
      </c>
      <c r="M96" s="71"/>
      <c r="N96" s="77" t="str">
        <f aca="false">IFERROR(__xludf.dummyfunction("""COMPUTED_VALUE"""),"3125,3338")</f>
        <v>3125,3338</v>
      </c>
      <c r="O96" s="73" t="n">
        <f aca="false">IFERROR(__xludf.dummyfunction("""COMPUTED_VALUE"""),167356.174771)</f>
        <v>167356.174771</v>
      </c>
      <c r="P96" s="63" t="n">
        <f aca="false">IFERROR(__xludf.dummyfunction("""COMPUTED_VALUE"""),174771)</f>
        <v>174771</v>
      </c>
      <c r="Q96" s="63"/>
      <c r="R96" s="41"/>
      <c r="S96" s="41"/>
      <c r="T96" s="63"/>
      <c r="U96" s="63"/>
      <c r="V96" s="70" t="n">
        <f aca="false">IFERROR(__xludf.dummyfunction("""COMPUTED_VALUE"""),46213)</f>
        <v>46213</v>
      </c>
      <c r="W96" s="39" t="str">
        <f aca="false">IFERROR(__xludf.dummyfunction("""COMPUTED_VALUE"""),"Hoàn thành XB")</f>
        <v>Hoàn thành XB</v>
      </c>
      <c r="X96" s="41" t="str">
        <f aca="false">IFERROR(__xludf.dummyfunction("""COMPUTED_VALUE"""),"Hoantt")</f>
        <v>Hoantt</v>
      </c>
      <c r="Y96" s="44" t="str">
        <f aca="false">IFERROR(__xludf.dummyfunction("""COMPUTED_VALUE"""),"done")</f>
        <v>done</v>
      </c>
      <c r="Z96" s="57" t="str">
        <f aca="false">IFERROR(__xludf.dummyfunction("""COMPUTED_VALUE"""),"#N/A")</f>
        <v>#N/A</v>
      </c>
      <c r="AA96" s="57"/>
      <c r="AB96" s="41" t="n">
        <f aca="false">IFERROR(__xludf.dummyfunction("""COMPUTED_VALUE"""),7)</f>
        <v>7</v>
      </c>
      <c r="AC96" s="57" t="str">
        <f aca="false">IFERROR(__xludf.dummyfunction("""COMPUTED_VALUE"""),"gv.anvtq@hocmai.edu.vn ")</f>
        <v>gv.anvtq@hocmai.edu.vn </v>
      </c>
      <c r="AD96" s="46" t="str">
        <f aca="false">IFERROR(__xludf.dummyfunction("""COMPUTED_VALUE"""),"vinhtho0704@gmail.com")</f>
        <v>vinhtho0704@gmail.com</v>
      </c>
      <c r="AE96" s="46"/>
      <c r="AF96" s="74" t="b">
        <f aca="false">IFERROR(__xludf.dummyfunction("""COMPUTED_VALUE"""),FALSE())</f>
        <v>0</v>
      </c>
      <c r="AG96" s="46" t="str">
        <f aca="false">IFERROR(__xludf.dummyfunction("""COMPUTED_VALUE"""),"")</f>
        <v/>
      </c>
      <c r="AH96" s="35"/>
      <c r="AI96" s="35"/>
      <c r="AJ96" s="35"/>
      <c r="AK96" s="35"/>
      <c r="AL96" s="35"/>
      <c r="AM96" s="53" t="b">
        <f aca="false">IFERROR(__xludf.dummyfunction("""COMPUTED_VALUE"""),TRUE())</f>
        <v>1</v>
      </c>
      <c r="AN96" s="53" t="b">
        <f aca="false">IFERROR(__xludf.dummyfunction("""COMPUTED_VALUE"""),TRUE())</f>
        <v>1</v>
      </c>
      <c r="AO96" s="46"/>
    </row>
    <row r="97" customFormat="false" ht="15.75" hidden="false" customHeight="true" outlineLevel="0" collapsed="false">
      <c r="A97" s="37" t="str">
        <f aca="false">IFERROR(__xludf.dummyfunction("""COMPUTED_VALUE"""),"Địa lí")</f>
        <v>Địa lí</v>
      </c>
      <c r="B97" s="37" t="str">
        <f aca="false">IFERROR(__xludf.dummyfunction("""COMPUTED_VALUE"""),"TOV_HSA_ĐL01")</f>
        <v>TOV_HSA_ĐL01</v>
      </c>
      <c r="C97" s="59" t="str">
        <f aca="false">IFERROR(__xludf.dummyfunction("""COMPUTED_VALUE"""),"Định hướng chung kì thi HSA và Địa lí tự nhiên đại cương (phần 1)")</f>
        <v>Định hướng chung kì thi HSA và Địa lí tự nhiên đại cương (phần 1)</v>
      </c>
      <c r="D97" s="39" t="str">
        <f aca="false">IFERROR(__xludf.dummyfunction("""COMPUTED_VALUE"""),"Nguyễn Văn Vinh")</f>
        <v>Nguyễn Văn Vinh</v>
      </c>
      <c r="E97" s="40" t="n">
        <f aca="false">IFERROR(__xludf.dummyfunction("""COMPUTED_VALUE"""),46210)</f>
        <v>46210</v>
      </c>
      <c r="F97" s="41" t="n">
        <f aca="false">IFERROR(__xludf.dummyfunction("""COMPUTED_VALUE"""),3)</f>
        <v>3</v>
      </c>
      <c r="G97" s="37" t="str">
        <f aca="false">IFERROR(__xludf.dummyfunction("""COMPUTED_VALUE"""),"18:30-20:30")</f>
        <v>18:30-20:30</v>
      </c>
      <c r="H97" s="37"/>
      <c r="I97" s="37"/>
      <c r="J97" s="42" t="str">
        <f aca="false">IFERROR(__xludf.dummyfunction("""COMPUTED_VALUE"""),"https://drive.google.com/drive/folders/1BJ8eto49X334xZG-HaT7LwY4cR0Zk5D9")</f>
        <v>https://drive.google.com/drive/folders/1BJ8eto49X334xZG-HaT7LwY4cR0Zk5D9</v>
      </c>
      <c r="K97" s="68" t="str">
        <f aca="false">IFERROR(__xludf.dummyfunction("""COMPUTED_VALUE"""),"Trinhntt")</f>
        <v>Trinhntt</v>
      </c>
      <c r="L97" s="68" t="str">
        <f aca="false">IFERROR(__xludf.dummyfunction("""COMPUTED_VALUE"""),"Phan Đức Kiên")</f>
        <v>Phan Đức Kiên</v>
      </c>
      <c r="M97" s="71"/>
      <c r="N97" s="77" t="str">
        <f aca="false">IFERROR(__xludf.dummyfunction("""COMPUTED_VALUE"""),"3123")</f>
        <v>3123</v>
      </c>
      <c r="O97" s="63" t="n">
        <f aca="false">IFERROR(__xludf.dummyfunction("""COMPUTED_VALUE"""),174748)</f>
        <v>174748</v>
      </c>
      <c r="P97" s="63"/>
      <c r="Q97" s="63" t="n">
        <f aca="false">IFERROR(__xludf.dummyfunction("""COMPUTED_VALUE"""),174748)</f>
        <v>174748</v>
      </c>
      <c r="R97" s="41"/>
      <c r="S97" s="41"/>
      <c r="T97" s="63"/>
      <c r="U97" s="63"/>
      <c r="V97" s="70" t="n">
        <f aca="false">IFERROR(__xludf.dummyfunction("""COMPUTED_VALUE"""),46213)</f>
        <v>46213</v>
      </c>
      <c r="W97" s="39" t="str">
        <f aca="false">IFERROR(__xludf.dummyfunction("""COMPUTED_VALUE"""),"Hoàn thành XB")</f>
        <v>Hoàn thành XB</v>
      </c>
      <c r="X97" s="41" t="str">
        <f aca="false">IFERROR(__xludf.dummyfunction("""COMPUTED_VALUE"""),"Trinhntt")</f>
        <v>Trinhntt</v>
      </c>
      <c r="Y97" s="44"/>
      <c r="Z97" s="57" t="str">
        <f aca="false">IFERROR(__xludf.dummyfunction("""COMPUTED_VALUE"""),"#N/A")</f>
        <v>#N/A</v>
      </c>
      <c r="AA97" s="57"/>
      <c r="AB97" s="41"/>
      <c r="AC97" s="57" t="str">
        <f aca="false">IFERROR(__xludf.dummyfunction("""COMPUTED_VALUE"""),"gv.vinhnv@hocmai.edu.vn")</f>
        <v>gv.vinhnv@hocmai.edu.vn</v>
      </c>
      <c r="AD97" s="46" t="str">
        <f aca="false">IFERROR(__xludf.dummyfunction("""COMPUTED_VALUE"""),"duckien010607@gmail.com")</f>
        <v>duckien010607@gmail.com</v>
      </c>
      <c r="AE97" s="46"/>
      <c r="AF97" s="74" t="b">
        <f aca="false">IFERROR(__xludf.dummyfunction("""COMPUTED_VALUE"""),FALSE())</f>
        <v>0</v>
      </c>
      <c r="AG97" s="46" t="str">
        <f aca="false">IFERROR(__xludf.dummyfunction("""COMPUTED_VALUE"""),"")</f>
        <v/>
      </c>
      <c r="AH97" s="35"/>
      <c r="AI97" s="35"/>
      <c r="AJ97" s="53" t="b">
        <f aca="false">IFERROR(__xludf.dummyfunction("""COMPUTED_VALUE"""),TRUE())</f>
        <v>1</v>
      </c>
      <c r="AK97" s="53" t="b">
        <f aca="false">IFERROR(__xludf.dummyfunction("""COMPUTED_VALUE"""),TRUE())</f>
        <v>1</v>
      </c>
      <c r="AL97" s="35"/>
      <c r="AM97" s="35"/>
      <c r="AN97" s="35"/>
      <c r="AO97" s="46"/>
    </row>
    <row r="98" customFormat="false" ht="15.75" hidden="false" customHeight="true" outlineLevel="0" collapsed="false">
      <c r="A98" s="37" t="str">
        <f aca="false">IFERROR(__xludf.dummyfunction("""COMPUTED_VALUE"""),"Thực chiến Toán")</f>
        <v>Thực chiến Toán</v>
      </c>
      <c r="B98" s="37" t="str">
        <f aca="false">IFERROR(__xludf.dummyfunction("""COMPUTED_VALUE"""),"TC_TSA_T_01")</f>
        <v>TC_TSA_T_01</v>
      </c>
      <c r="C98" s="59" t="str">
        <f aca="false">IFERROR(__xludf.dummyfunction("""COMPUTED_VALUE"""),"[Bổ trợ]_Chữa bài tập TSA_Tư duy Toán học số 01")</f>
        <v>[Bổ trợ]_Chữa bài tập TSA_Tư duy Toán học số 01</v>
      </c>
      <c r="D98" s="39" t="str">
        <f aca="false">IFERROR(__xludf.dummyfunction("""COMPUTED_VALUE"""),"Phạm Huy Hoàng")</f>
        <v>Phạm Huy Hoàng</v>
      </c>
      <c r="E98" s="40" t="n">
        <f aca="false">IFERROR(__xludf.dummyfunction("""COMPUTED_VALUE"""),46210)</f>
        <v>46210</v>
      </c>
      <c r="F98" s="41" t="n">
        <f aca="false">IFERROR(__xludf.dummyfunction("""COMPUTED_VALUE"""),3)</f>
        <v>3</v>
      </c>
      <c r="G98" s="37" t="str">
        <f aca="false">IFERROR(__xludf.dummyfunction("""COMPUTED_VALUE"""),"19:00-20:00")</f>
        <v>19:00-20:00</v>
      </c>
      <c r="H98" s="37"/>
      <c r="I98" s="37"/>
      <c r="J98" s="42" t="str">
        <f aca="false">IFERROR(__xludf.dummyfunction("""COMPUTED_VALUE"""),"https://drive.google.com/drive/folders/1W7N3HfS2mH4UMDGdRUXVpKeaWH92gaYZ?usp=drive_link")</f>
        <v>https://drive.google.com/drive/folders/1W7N3HfS2mH4UMDGdRUXVpKeaWH92gaYZ?usp=drive_link</v>
      </c>
      <c r="K98" s="68" t="str">
        <f aca="false">IFERROR(__xludf.dummyfunction("""COMPUTED_VALUE"""),"Locdd")</f>
        <v>Locdd</v>
      </c>
      <c r="L98" s="68" t="str">
        <f aca="false">IFERROR(__xludf.dummyfunction("""COMPUTED_VALUE"""),"HOCMAI")</f>
        <v>HOCMAI</v>
      </c>
      <c r="M98" s="71"/>
      <c r="N98" s="77" t="str">
        <f aca="false">IFERROR(__xludf.dummyfunction("""COMPUTED_VALUE"""),"3108")</f>
        <v>3108</v>
      </c>
      <c r="O98" s="63" t="n">
        <f aca="false">IFERROR(__xludf.dummyfunction("""COMPUTED_VALUE"""),174809)</f>
        <v>174809</v>
      </c>
      <c r="P98" s="60" t="str">
        <f aca="false">IFERROR(__xludf.dummyfunction("""COMPUTED_VALUE"""),"https://hocmai.vn/bai-giang-truc-tuyen/174809/.html")</f>
        <v>https://hocmai.vn/bai-giang-truc-tuyen/174809/.html</v>
      </c>
      <c r="Q98" s="63"/>
      <c r="R98" s="41"/>
      <c r="S98" s="41"/>
      <c r="T98" s="63"/>
      <c r="U98" s="63"/>
      <c r="V98" s="70" t="n">
        <f aca="false">IFERROR(__xludf.dummyfunction("""COMPUTED_VALUE"""),46213)</f>
        <v>46213</v>
      </c>
      <c r="W98" s="39" t="str">
        <f aca="false">IFERROR(__xludf.dummyfunction("""COMPUTED_VALUE"""),"Hoàn thành XB")</f>
        <v>Hoàn thành XB</v>
      </c>
      <c r="X98" s="41" t="str">
        <f aca="false">IFERROR(__xludf.dummyfunction("""COMPUTED_VALUE"""),"Vuta")</f>
        <v>Vuta</v>
      </c>
      <c r="Y98" s="44"/>
      <c r="Z98" s="57"/>
      <c r="AA98" s="57"/>
      <c r="AB98" s="41" t="n">
        <f aca="false">IFERROR(__xludf.dummyfunction("""COMPUTED_VALUE"""),7)</f>
        <v>7</v>
      </c>
      <c r="AC98" s="57" t="str">
        <f aca="false">IFERROR(__xludf.dummyfunction("""COMPUTED_VALUE"""),"0376611308")</f>
        <v>0376611308</v>
      </c>
      <c r="AD98" s="46"/>
      <c r="AE98" s="46"/>
      <c r="AF98" s="47"/>
      <c r="AG98" s="46"/>
      <c r="AH98" s="53" t="b">
        <f aca="false">IFERROR(__xludf.dummyfunction("""COMPUTED_VALUE"""),FALSE())</f>
        <v>0</v>
      </c>
      <c r="AI98" s="53" t="b">
        <f aca="false">IFERROR(__xludf.dummyfunction("""COMPUTED_VALUE"""),TRUE())</f>
        <v>1</v>
      </c>
      <c r="AJ98" s="53" t="b">
        <f aca="false">IFERROR(__xludf.dummyfunction("""COMPUTED_VALUE"""),FALSE())</f>
        <v>0</v>
      </c>
      <c r="AK98" s="53" t="b">
        <f aca="false">IFERROR(__xludf.dummyfunction("""COMPUTED_VALUE"""),FALSE())</f>
        <v>0</v>
      </c>
      <c r="AL98" s="53" t="b">
        <f aca="false">IFERROR(__xludf.dummyfunction("""COMPUTED_VALUE"""),FALSE())</f>
        <v>0</v>
      </c>
      <c r="AM98" s="53" t="b">
        <f aca="false">IFERROR(__xludf.dummyfunction("""COMPUTED_VALUE"""),FALSE())</f>
        <v>0</v>
      </c>
      <c r="AN98" s="53" t="b">
        <f aca="false">IFERROR(__xludf.dummyfunction("""COMPUTED_VALUE"""),FALSE())</f>
        <v>0</v>
      </c>
      <c r="AO98" s="46"/>
    </row>
    <row r="99" customFormat="false" ht="15.75" hidden="false" customHeight="true" outlineLevel="0" collapsed="false">
      <c r="A99" s="37" t="str">
        <f aca="false">IFERROR(__xludf.dummyfunction("""COMPUTED_VALUE"""),"Thực chiến Khoa học")</f>
        <v>Thực chiến Khoa học</v>
      </c>
      <c r="B99" s="37" t="str">
        <f aca="false">IFERROR(__xludf.dummyfunction("""COMPUTED_VALUE"""),"TC_TSA_KH_01")</f>
        <v>TC_TSA_KH_01</v>
      </c>
      <c r="C99" s="59" t="str">
        <f aca="false">IFERROR(__xludf.dummyfunction("""COMPUTED_VALUE"""),"[Bổ trợ]_Chữa bài tập TSA_Tư duy Khoa học số 01")</f>
        <v>[Bổ trợ]_Chữa bài tập TSA_Tư duy Khoa học số 01</v>
      </c>
      <c r="D99" s="39" t="str">
        <f aca="false">IFERROR(__xludf.dummyfunction("""COMPUTED_VALUE"""),"Nguyễn Trọng Trường Anh")</f>
        <v>Nguyễn Trọng Trường Anh</v>
      </c>
      <c r="E99" s="40" t="n">
        <f aca="false">IFERROR(__xludf.dummyfunction("""COMPUTED_VALUE"""),46211)</f>
        <v>46211</v>
      </c>
      <c r="F99" s="41" t="n">
        <f aca="false">IFERROR(__xludf.dummyfunction("""COMPUTED_VALUE"""),4)</f>
        <v>4</v>
      </c>
      <c r="G99" s="37" t="str">
        <f aca="false">IFERROR(__xludf.dummyfunction("""COMPUTED_VALUE"""),"20:00-21:00")</f>
        <v>20:00-21:00</v>
      </c>
      <c r="H99" s="37"/>
      <c r="I99" s="37"/>
      <c r="J99" s="42" t="str">
        <f aca="false">IFERROR(__xludf.dummyfunction("""COMPUTED_VALUE"""),"https://drive.google.com/drive/folders/1FuddXzE98FIkbAbXFhGCZYpVCkeWUZm7")</f>
        <v>https://drive.google.com/drive/folders/1FuddXzE98FIkbAbXFhGCZYpVCkeWUZm7</v>
      </c>
      <c r="K99" s="68" t="str">
        <f aca="false">IFERROR(__xludf.dummyfunction("""COMPUTED_VALUE"""),"Trangnth2")</f>
        <v>Trangnth2</v>
      </c>
      <c r="L99" s="68" t="str">
        <f aca="false">IFERROR(__xludf.dummyfunction("""COMPUTED_VALUE"""),"HOCMAI")</f>
        <v>HOCMAI</v>
      </c>
      <c r="M99" s="71"/>
      <c r="N99" s="77" t="str">
        <f aca="false">IFERROR(__xludf.dummyfunction("""COMPUTED_VALUE"""),"3110")</f>
        <v>3110</v>
      </c>
      <c r="O99" s="63" t="n">
        <f aca="false">IFERROR(__xludf.dummyfunction("""COMPUTED_VALUE"""),174807)</f>
        <v>174807</v>
      </c>
      <c r="P99" s="60" t="str">
        <f aca="false">IFERROR(__xludf.dummyfunction("""COMPUTED_VALUE"""),"https://hocmai.vn/bai-giang-truc-tuyen/174807/.html")</f>
        <v>https://hocmai.vn/bai-giang-truc-tuyen/174807/.html</v>
      </c>
      <c r="Q99" s="63"/>
      <c r="R99" s="41"/>
      <c r="S99" s="41"/>
      <c r="T99" s="63"/>
      <c r="U99" s="63"/>
      <c r="V99" s="70" t="n">
        <f aca="false">IFERROR(__xludf.dummyfunction("""COMPUTED_VALUE"""),46214)</f>
        <v>46214</v>
      </c>
      <c r="W99" s="39" t="str">
        <f aca="false">IFERROR(__xludf.dummyfunction("""COMPUTED_VALUE"""),"Hoàn thành XB")</f>
        <v>Hoàn thành XB</v>
      </c>
      <c r="X99" s="41" t="str">
        <f aca="false">IFERROR(__xludf.dummyfunction("""COMPUTED_VALUE"""),"Vuta")</f>
        <v>Vuta</v>
      </c>
      <c r="Y99" s="44"/>
      <c r="Z99" s="57"/>
      <c r="AA99" s="57"/>
      <c r="AB99" s="41" t="n">
        <f aca="false">IFERROR(__xludf.dummyfunction("""COMPUTED_VALUE"""),7)</f>
        <v>7</v>
      </c>
      <c r="AC99" s="57" t="str">
        <f aca="false">IFERROR(__xludf.dummyfunction("""COMPUTED_VALUE"""),"thochi1981@gmail.com")</f>
        <v>thochi1981@gmail.com</v>
      </c>
      <c r="AD99" s="46"/>
      <c r="AE99" s="46"/>
      <c r="AF99" s="47"/>
      <c r="AG99" s="46"/>
      <c r="AH99" s="53" t="b">
        <f aca="false">IFERROR(__xludf.dummyfunction("""COMPUTED_VALUE"""),FALSE())</f>
        <v>0</v>
      </c>
      <c r="AI99" s="53" t="b">
        <f aca="false">IFERROR(__xludf.dummyfunction("""COMPUTED_VALUE"""),TRUE())</f>
        <v>1</v>
      </c>
      <c r="AJ99" s="53" t="b">
        <f aca="false">IFERROR(__xludf.dummyfunction("""COMPUTED_VALUE"""),FALSE())</f>
        <v>0</v>
      </c>
      <c r="AK99" s="53" t="b">
        <f aca="false">IFERROR(__xludf.dummyfunction("""COMPUTED_VALUE"""),FALSE())</f>
        <v>0</v>
      </c>
      <c r="AL99" s="53" t="b">
        <f aca="false">IFERROR(__xludf.dummyfunction("""COMPUTED_VALUE"""),FALSE())</f>
        <v>0</v>
      </c>
      <c r="AM99" s="53" t="b">
        <f aca="false">IFERROR(__xludf.dummyfunction("""COMPUTED_VALUE"""),FALSE())</f>
        <v>0</v>
      </c>
      <c r="AN99" s="53" t="b">
        <f aca="false">IFERROR(__xludf.dummyfunction("""COMPUTED_VALUE"""),FALSE())</f>
        <v>0</v>
      </c>
      <c r="AO99" s="46"/>
    </row>
    <row r="100" customFormat="false" ht="15.75" hidden="false" customHeight="true" outlineLevel="0" collapsed="false">
      <c r="A100" s="37" t="str">
        <f aca="false">IFERROR(__xludf.dummyfunction("""COMPUTED_VALUE"""),"Thực chiến Toán")</f>
        <v>Thực chiến Toán</v>
      </c>
      <c r="B100" s="37" t="str">
        <f aca="false">IFERROR(__xludf.dummyfunction("""COMPUTED_VALUE"""),"TC_TSA_T_02")</f>
        <v>TC_TSA_T_02</v>
      </c>
      <c r="C100" s="59" t="str">
        <f aca="false">IFERROR(__xludf.dummyfunction("""COMPUTED_VALUE"""),"[Bổ trợ]_Chữa bài tập TSA_Tư duy Toán học số 02")</f>
        <v>[Bổ trợ]_Chữa bài tập TSA_Tư duy Toán học số 02</v>
      </c>
      <c r="D100" s="39" t="str">
        <f aca="false">IFERROR(__xludf.dummyfunction("""COMPUTED_VALUE"""),"Phạm Huy Hoàng")</f>
        <v>Phạm Huy Hoàng</v>
      </c>
      <c r="E100" s="40" t="n">
        <f aca="false">IFERROR(__xludf.dummyfunction("""COMPUTED_VALUE"""),46211)</f>
        <v>46211</v>
      </c>
      <c r="F100" s="41" t="n">
        <f aca="false">IFERROR(__xludf.dummyfunction("""COMPUTED_VALUE"""),4)</f>
        <v>4</v>
      </c>
      <c r="G100" s="37" t="str">
        <f aca="false">IFERROR(__xludf.dummyfunction("""COMPUTED_VALUE"""),"19:00-20:00")</f>
        <v>19:00-20:00</v>
      </c>
      <c r="H100" s="37"/>
      <c r="I100" s="37"/>
      <c r="J100" s="42" t="str">
        <f aca="false">IFERROR(__xludf.dummyfunction("""COMPUTED_VALUE"""),"https://drive.google.com/drive/folders/16i-y0uBTkjr_ZhzKSG6bJvEq37D-vn8y?usp=drive_link")</f>
        <v>https://drive.google.com/drive/folders/16i-y0uBTkjr_ZhzKSG6bJvEq37D-vn8y?usp=drive_link</v>
      </c>
      <c r="K100" s="68" t="str">
        <f aca="false">IFERROR(__xludf.dummyfunction("""COMPUTED_VALUE"""),"Locdd")</f>
        <v>Locdd</v>
      </c>
      <c r="L100" s="68" t="str">
        <f aca="false">IFERROR(__xludf.dummyfunction("""COMPUTED_VALUE"""),"HOCMAI")</f>
        <v>HOCMAI</v>
      </c>
      <c r="M100" s="71"/>
      <c r="N100" s="77" t="str">
        <f aca="false">IFERROR(__xludf.dummyfunction("""COMPUTED_VALUE"""),"3108")</f>
        <v>3108</v>
      </c>
      <c r="O100" s="63" t="n">
        <f aca="false">IFERROR(__xludf.dummyfunction("""COMPUTED_VALUE"""),174810)</f>
        <v>174810</v>
      </c>
      <c r="P100" s="60" t="str">
        <f aca="false">IFERROR(__xludf.dummyfunction("""COMPUTED_VALUE"""),"https://hocmai.vn/bai-giang-truc-tuyen/174810/.html")</f>
        <v>https://hocmai.vn/bai-giang-truc-tuyen/174810/.html</v>
      </c>
      <c r="Q100" s="63"/>
      <c r="R100" s="41"/>
      <c r="S100" s="41"/>
      <c r="T100" s="63"/>
      <c r="U100" s="63"/>
      <c r="V100" s="70" t="n">
        <f aca="false">IFERROR(__xludf.dummyfunction("""COMPUTED_VALUE"""),46214)</f>
        <v>46214</v>
      </c>
      <c r="W100" s="39" t="str">
        <f aca="false">IFERROR(__xludf.dummyfunction("""COMPUTED_VALUE"""),"Hoàn thành XB")</f>
        <v>Hoàn thành XB</v>
      </c>
      <c r="X100" s="41" t="str">
        <f aca="false">IFERROR(__xludf.dummyfunction("""COMPUTED_VALUE"""),"Vuta")</f>
        <v>Vuta</v>
      </c>
      <c r="Y100" s="44"/>
      <c r="Z100" s="57"/>
      <c r="AA100" s="57"/>
      <c r="AB100" s="41" t="n">
        <f aca="false">IFERROR(__xludf.dummyfunction("""COMPUTED_VALUE"""),7)</f>
        <v>7</v>
      </c>
      <c r="AC100" s="57" t="str">
        <f aca="false">IFERROR(__xludf.dummyfunction("""COMPUTED_VALUE"""),"0376611308")</f>
        <v>0376611308</v>
      </c>
      <c r="AD100" s="46"/>
      <c r="AE100" s="46"/>
      <c r="AF100" s="47"/>
      <c r="AG100" s="46"/>
      <c r="AH100" s="53" t="b">
        <f aca="false">IFERROR(__xludf.dummyfunction("""COMPUTED_VALUE"""),FALSE())</f>
        <v>0</v>
      </c>
      <c r="AI100" s="53" t="b">
        <f aca="false">IFERROR(__xludf.dummyfunction("""COMPUTED_VALUE"""),TRUE())</f>
        <v>1</v>
      </c>
      <c r="AJ100" s="53" t="b">
        <f aca="false">IFERROR(__xludf.dummyfunction("""COMPUTED_VALUE"""),FALSE())</f>
        <v>0</v>
      </c>
      <c r="AK100" s="53" t="b">
        <f aca="false">IFERROR(__xludf.dummyfunction("""COMPUTED_VALUE"""),FALSE())</f>
        <v>0</v>
      </c>
      <c r="AL100" s="53" t="b">
        <f aca="false">IFERROR(__xludf.dummyfunction("""COMPUTED_VALUE"""),FALSE())</f>
        <v>0</v>
      </c>
      <c r="AM100" s="53" t="b">
        <f aca="false">IFERROR(__xludf.dummyfunction("""COMPUTED_VALUE"""),FALSE())</f>
        <v>0</v>
      </c>
      <c r="AN100" s="53" t="b">
        <f aca="false">IFERROR(__xludf.dummyfunction("""COMPUTED_VALUE"""),FALSE())</f>
        <v>0</v>
      </c>
      <c r="AO100" s="46"/>
    </row>
    <row r="101" customFormat="false" ht="15.75" hidden="false" customHeight="true" outlineLevel="0" collapsed="false">
      <c r="A101" s="37" t="str">
        <f aca="false">IFERROR(__xludf.dummyfunction("""COMPUTED_VALUE"""),"Vật lí")</f>
        <v>Vật lí</v>
      </c>
      <c r="B101" s="37" t="str">
        <f aca="false">IFERROR(__xludf.dummyfunction("""COMPUTED_VALUE"""),"TOV_TSA_L04")</f>
        <v>TOV_TSA_L04</v>
      </c>
      <c r="C101" s="59" t="str">
        <f aca="false">IFERROR(__xludf.dummyfunction("""COMPUTED_VALUE"""),"Lực và các định luật Newton trong mô hình hóa hiện tượng")</f>
        <v>Lực và các định luật Newton trong mô hình hóa hiện tượng</v>
      </c>
      <c r="D101" s="39" t="str">
        <f aca="false">IFERROR(__xludf.dummyfunction("""COMPUTED_VALUE"""),"Thiều Thị Dung")</f>
        <v>Thiều Thị Dung</v>
      </c>
      <c r="E101" s="40" t="n">
        <f aca="false">IFERROR(__xludf.dummyfunction("""COMPUTED_VALUE"""),46212)</f>
        <v>46212</v>
      </c>
      <c r="F101" s="41" t="n">
        <f aca="false">IFERROR(__xludf.dummyfunction("""COMPUTED_VALUE"""),5)</f>
        <v>5</v>
      </c>
      <c r="G101" s="37" t="str">
        <f aca="false">IFERROR(__xludf.dummyfunction("""COMPUTED_VALUE"""),"21:00-23:00")</f>
        <v>21:00-23:00</v>
      </c>
      <c r="H101" s="42" t="str">
        <f aca="false">IFERROR(__xludf.dummyfunction("""COMPUTED_VALUE"""),"https://hocmai.vn/file.php/3110/Nam_hoc_2026_-_2027/VAT_LI/TAI_LIEU_HOC_SINH/TLHS_TOV_TSA_L04._Luc_va_cac_dinh_luat_Newton_trong_mo_hinh_hoa_hien_tuong.pdf")</f>
        <v>https://hocmai.vn/file.php/3110/Nam_hoc_2026_-_2027/VAT_LI/TAI_LIEU_HOC_SINH/TLHS_TOV_TSA_L04._Luc_va_cac_dinh_luat_Newton_trong_mo_hinh_hoa_hien_tuong.pdf</v>
      </c>
      <c r="I101" s="42" t="str">
        <f aca="false">IFERROR(__xludf.dummyfunction("""COMPUTED_VALUE"""),"https://hocmai.vn/file.php/3110/Nam_hoc_2026_-_2027/VAT_LI/BTTL/BTTL_TOV_TSA_L04._Luc_va_cac_dinh_luat_Newton_trong_mo_hinh_hoa_hien_tuong.pdf")</f>
        <v>https://hocmai.vn/file.php/3110/Nam_hoc_2026_-_2027/VAT_LI/BTTL/BTTL_TOV_TSA_L04._Luc_va_cac_dinh_luat_Newton_trong_mo_hinh_hoa_hien_tuong.pdf</v>
      </c>
      <c r="J101" s="42" t="str">
        <f aca="false">IFERROR(__xludf.dummyfunction("""COMPUTED_VALUE"""),"https://drive.google.com/drive/folders/1Qmw5yyGI0cXG_h-OdoRy8r4WKrd7oTjj")</f>
        <v>https://drive.google.com/drive/folders/1Qmw5yyGI0cXG_h-OdoRy8r4WKrd7oTjj</v>
      </c>
      <c r="K101" s="68" t="str">
        <f aca="false">IFERROR(__xludf.dummyfunction("""COMPUTED_VALUE"""),"Trangnth2")</f>
        <v>Trangnth2</v>
      </c>
      <c r="L101" s="68" t="str">
        <f aca="false">IFERROR(__xludf.dummyfunction("""COMPUTED_VALUE"""),"Phạm Quang Thành")</f>
        <v>Phạm Quang Thành</v>
      </c>
      <c r="M101" s="71"/>
      <c r="N101" s="77" t="str">
        <f aca="false">IFERROR(__xludf.dummyfunction("""COMPUTED_VALUE"""),"3110")</f>
        <v>3110</v>
      </c>
      <c r="O101" s="63" t="n">
        <f aca="false">IFERROR(__xludf.dummyfunction("""COMPUTED_VALUE"""),167252)</f>
        <v>167252</v>
      </c>
      <c r="P101" s="63"/>
      <c r="Q101" s="63"/>
      <c r="R101" s="41"/>
      <c r="S101" s="41"/>
      <c r="T101" s="63" t="n">
        <f aca="false">IFERROR(__xludf.dummyfunction("""COMPUTED_VALUE"""),23923)</f>
        <v>23923</v>
      </c>
      <c r="U101" s="63"/>
      <c r="V101" s="70" t="n">
        <f aca="false">IFERROR(__xludf.dummyfunction("""COMPUTED_VALUE"""),46215)</f>
        <v>46215</v>
      </c>
      <c r="W101" s="39" t="str">
        <f aca="false">IFERROR(__xludf.dummyfunction("""COMPUTED_VALUE"""),"Hoàn thành XB")</f>
        <v>Hoàn thành XB</v>
      </c>
      <c r="X101" s="41" t="str">
        <f aca="false">IFERROR(__xludf.dummyfunction("""COMPUTED_VALUE"""),"Trangnth2")</f>
        <v>Trangnth2</v>
      </c>
      <c r="Y101" s="44" t="str">
        <f aca="false">IFERROR(__xludf.dummyfunction("""COMPUTED_VALUE"""),"done")</f>
        <v>done</v>
      </c>
      <c r="Z101" s="57" t="str">
        <f aca="false">IFERROR(__xludf.dummyfunction("""COMPUTED_VALUE"""),"#N/A")</f>
        <v>#N/A</v>
      </c>
      <c r="AA101" s="57"/>
      <c r="AB101" s="41" t="n">
        <f aca="false">IFERROR(__xludf.dummyfunction("""COMPUTED_VALUE"""),7)</f>
        <v>7</v>
      </c>
      <c r="AC101" s="57" t="str">
        <f aca="false">IFERROR(__xludf.dummyfunction("""COMPUTED_VALUE"""),"dungtt2@hocmai.vn                ")</f>
        <v>dungtt2@hocmai.vn                </v>
      </c>
      <c r="AD101" s="46" t="str">
        <f aca="false">IFERROR(__xludf.dummyfunction("""COMPUTED_VALUE"""),"nguyenquockhanh8823@gmail.com")</f>
        <v>nguyenquockhanh8823@gmail.com</v>
      </c>
      <c r="AE101" s="46"/>
      <c r="AF101" s="74" t="b">
        <f aca="false">IFERROR(__xludf.dummyfunction("""COMPUTED_VALUE"""),FALSE())</f>
        <v>0</v>
      </c>
      <c r="AG101" s="46" t="str">
        <f aca="false">IFERROR(__xludf.dummyfunction("""COMPUTED_VALUE"""),"")</f>
        <v/>
      </c>
      <c r="AH101" s="35"/>
      <c r="AI101" s="53" t="b">
        <f aca="false">IFERROR(__xludf.dummyfunction("""COMPUTED_VALUE"""),TRUE())</f>
        <v>1</v>
      </c>
      <c r="AJ101" s="35"/>
      <c r="AK101" s="35"/>
      <c r="AL101" s="35"/>
      <c r="AM101" s="35"/>
      <c r="AN101" s="35"/>
      <c r="AO101" s="46"/>
    </row>
    <row r="102" customFormat="false" ht="15.75" hidden="false" customHeight="true" outlineLevel="0" collapsed="false">
      <c r="A102" s="37" t="str">
        <f aca="false">IFERROR(__xludf.dummyfunction("""COMPUTED_VALUE"""),"Toán")</f>
        <v>Toán</v>
      </c>
      <c r="B102" s="37" t="str">
        <f aca="false">IFERROR(__xludf.dummyfunction("""COMPUTED_VALUE"""),"TOV_HSA_DL04")</f>
        <v>TOV_HSA_DL04</v>
      </c>
      <c r="C102" s="59" t="str">
        <f aca="false">IFERROR(__xludf.dummyfunction("""COMPUTED_VALUE"""),"Các bài toán liên quan tới hàm chứa trị tuyệt đối")</f>
        <v>Các bài toán liên quan tới hàm chứa trị tuyệt đối</v>
      </c>
      <c r="D102" s="39" t="str">
        <f aca="false">IFERROR(__xludf.dummyfunction("""COMPUTED_VALUE"""),"Nguyễn Thanh Tùng")</f>
        <v>Nguyễn Thanh Tùng</v>
      </c>
      <c r="E102" s="40" t="n">
        <f aca="false">IFERROR(__xludf.dummyfunction("""COMPUTED_VALUE"""),46212)</f>
        <v>46212</v>
      </c>
      <c r="F102" s="41" t="n">
        <f aca="false">IFERROR(__xludf.dummyfunction("""COMPUTED_VALUE"""),5)</f>
        <v>5</v>
      </c>
      <c r="G102" s="37" t="str">
        <f aca="false">IFERROR(__xludf.dummyfunction("""COMPUTED_VALUE"""),"18:00-20:00")</f>
        <v>18:00-20:00</v>
      </c>
      <c r="H102" s="37"/>
      <c r="I102" s="37"/>
      <c r="J102" s="42" t="str">
        <f aca="false">IFERROR(__xludf.dummyfunction("""COMPUTED_VALUE"""),"https://drive.google.com/drive/folders/1PpoyVK_pjONykBCt40S93-1ljfkxUneJ?usp=drive_link")</f>
        <v>https://drive.google.com/drive/folders/1PpoyVK_pjONykBCt40S93-1ljfkxUneJ?usp=drive_link</v>
      </c>
      <c r="K102" s="68" t="str">
        <f aca="false">IFERROR(__xludf.dummyfunction("""COMPUTED_VALUE"""),"Locdd")</f>
        <v>Locdd</v>
      </c>
      <c r="L102" s="68" t="str">
        <f aca="false">IFERROR(__xludf.dummyfunction("""COMPUTED_VALUE"""),"Tưởng Thị Huyền Trang")</f>
        <v>Tưởng Thị Huyền Trang</v>
      </c>
      <c r="M102" s="71"/>
      <c r="N102" s="77" t="str">
        <f aca="false">IFERROR(__xludf.dummyfunction("""COMPUTED_VALUE"""),"3117,3315")</f>
        <v>3117,3315</v>
      </c>
      <c r="O102" s="73" t="n">
        <f aca="false">IFERROR(__xludf.dummyfunction("""COMPUTED_VALUE"""),168577.168318)</f>
        <v>168577.168318</v>
      </c>
      <c r="P102" s="63" t="str">
        <f aca="false">IFERROR(__xludf.dummyfunction("""COMPUTED_VALUE"""),"9028,9036,9104,9106")</f>
        <v>9028,9036,9104,9106</v>
      </c>
      <c r="Q102" s="63" t="n">
        <f aca="false">IFERROR(__xludf.dummyfunction("""COMPUTED_VALUE"""),168318)</f>
        <v>168318</v>
      </c>
      <c r="R102" s="41"/>
      <c r="S102" s="41"/>
      <c r="T102" s="63"/>
      <c r="U102" s="63"/>
      <c r="V102" s="70" t="n">
        <f aca="false">IFERROR(__xludf.dummyfunction("""COMPUTED_VALUE"""),46215)</f>
        <v>46215</v>
      </c>
      <c r="W102" s="39" t="str">
        <f aca="false">IFERROR(__xludf.dummyfunction("""COMPUTED_VALUE"""),"Hoàn thành XB")</f>
        <v>Hoàn thành XB</v>
      </c>
      <c r="X102" s="41" t="str">
        <f aca="false">IFERROR(__xludf.dummyfunction("""COMPUTED_VALUE"""),"Locdd")</f>
        <v>Locdd</v>
      </c>
      <c r="Y102" s="44" t="str">
        <f aca="false">IFERROR(__xludf.dummyfunction("""COMPUTED_VALUE"""),"done")</f>
        <v>done</v>
      </c>
      <c r="Z102" s="57" t="str">
        <f aca="false">IFERROR(__xludf.dummyfunction("""COMPUTED_VALUE"""),"#N/A")</f>
        <v>#N/A</v>
      </c>
      <c r="AA102" s="57"/>
      <c r="AB102" s="41" t="n">
        <f aca="false">IFERROR(__xludf.dummyfunction("""COMPUTED_VALUE"""),7)</f>
        <v>7</v>
      </c>
      <c r="AC102" s="57" t="str">
        <f aca="false">IFERROR(__xludf.dummyfunction("""COMPUTED_VALUE"""),"gv.tungnt@hocmai.edu.vn ")</f>
        <v>gv.tungnt@hocmai.edu.vn </v>
      </c>
      <c r="AD102" s="46" t="str">
        <f aca="false">IFERROR(__xludf.dummyfunction("""COMPUTED_VALUE"""),"trangcrazy699@gmail.com")</f>
        <v>trangcrazy699@gmail.com</v>
      </c>
      <c r="AE102" s="46"/>
      <c r="AF102" s="47" t="str">
        <f aca="false">IFERROR(__xludf.dummyfunction("""COMPUTED_VALUE"""),"lophoctoan-946212")</f>
        <v>lophoctoan-946212</v>
      </c>
      <c r="AG102" s="46" t="str">
        <f aca="false">IFERROR(__xludf.dummyfunction("""COMPUTED_VALUE"""),"")</f>
        <v/>
      </c>
      <c r="AH102" s="35"/>
      <c r="AI102" s="35"/>
      <c r="AJ102" s="53" t="b">
        <f aca="false">IFERROR(__xludf.dummyfunction("""COMPUTED_VALUE"""),TRUE())</f>
        <v>1</v>
      </c>
      <c r="AK102" s="53" t="b">
        <f aca="false">IFERROR(__xludf.dummyfunction("""COMPUTED_VALUE"""),TRUE())</f>
        <v>1</v>
      </c>
      <c r="AL102" s="35"/>
      <c r="AM102" s="35"/>
      <c r="AN102" s="35"/>
      <c r="AO102" s="46"/>
    </row>
    <row r="103" customFormat="false" ht="15.75" hidden="false" customHeight="true" outlineLevel="0" collapsed="false">
      <c r="A103" s="37" t="str">
        <f aca="false">IFERROR(__xludf.dummyfunction("""COMPUTED_VALUE"""),"Vật lí")</f>
        <v>Vật lí</v>
      </c>
      <c r="B103" s="37" t="str">
        <f aca="false">IFERROR(__xludf.dummyfunction("""COMPUTED_VALUE"""),"TOV_HSA_VL04")</f>
        <v>TOV_HSA_VL04</v>
      </c>
      <c r="C103" s="59" t="str">
        <f aca="false">IFERROR(__xludf.dummyfunction("""COMPUTED_VALUE"""),"Công – Năng lượng – Công suất và định luật bảo toàn")</f>
        <v>Công – Năng lượng – Công suất và định luật bảo toàn</v>
      </c>
      <c r="D103" s="39" t="str">
        <f aca="false">IFERROR(__xludf.dummyfunction("""COMPUTED_VALUE"""),"Nguyễn Hữu Tình")</f>
        <v>Nguyễn Hữu Tình</v>
      </c>
      <c r="E103" s="40" t="n">
        <f aca="false">IFERROR(__xludf.dummyfunction("""COMPUTED_VALUE"""),46212)</f>
        <v>46212</v>
      </c>
      <c r="F103" s="41" t="n">
        <f aca="false">IFERROR(__xludf.dummyfunction("""COMPUTED_VALUE"""),5)</f>
        <v>5</v>
      </c>
      <c r="G103" s="37" t="str">
        <f aca="false">IFERROR(__xludf.dummyfunction("""COMPUTED_VALUE"""),"21:00-23:00")</f>
        <v>21:00-23:00</v>
      </c>
      <c r="H103" s="42" t="str">
        <f aca="false">IFERROR(__xludf.dummyfunction("""COMPUTED_VALUE"""),"https://hocmai.vn/file.php/3119/NAM_HOC_2026_-_2027/Tai_lieu_live/TLHS_TOV_HSA_VL04._Cong_-_Nang_luong_-_Cong_suat_va_dinh_luat_bao_toan.pdf")</f>
        <v>https://hocmai.vn/file.php/3119/NAM_HOC_2026_-_2027/Tai_lieu_live/TLHS_TOV_HSA_VL04._Cong_-_Nang_luong_-_Cong_suat_va_dinh_luat_bao_toan.pdf</v>
      </c>
      <c r="I103" s="42" t="str">
        <f aca="false">IFERROR(__xludf.dummyfunction("""COMPUTED_VALUE"""),"https://hocmai.vn/file.php/3119/NAM_HOC_2026_-_2027/BTTL/BTTL_TOV_HSA_VL04._Cong_-_Nang_luong_-_Cong_suat_va_dinh_luat_bao_toan.pdf")</f>
        <v>https://hocmai.vn/file.php/3119/NAM_HOC_2026_-_2027/BTTL/BTTL_TOV_HSA_VL04._Cong_-_Nang_luong_-_Cong_suat_va_dinh_luat_bao_toan.pdf</v>
      </c>
      <c r="J103" s="42" t="str">
        <f aca="false">IFERROR(__xludf.dummyfunction("""COMPUTED_VALUE"""),"https://drive.google.com/drive/folders/16TwB2756MgRqHrD-hHIQ6EGCAdXUTR5z")</f>
        <v>https://drive.google.com/drive/folders/16TwB2756MgRqHrD-hHIQ6EGCAdXUTR5z</v>
      </c>
      <c r="K103" s="68" t="str">
        <f aca="false">IFERROR(__xludf.dummyfunction("""COMPUTED_VALUE"""),"Trangnth2")</f>
        <v>Trangnth2</v>
      </c>
      <c r="L103" s="68" t="str">
        <f aca="false">IFERROR(__xludf.dummyfunction("""COMPUTED_VALUE"""),"Kiều Bảo Minh")</f>
        <v>Kiều Bảo Minh</v>
      </c>
      <c r="M103" s="71"/>
      <c r="N103" s="76" t="str">
        <f aca="false">IFERROR(__xludf.dummyfunction("""COMPUTED_VALUE"""),"3119")</f>
        <v>3119</v>
      </c>
      <c r="O103" s="63" t="n">
        <f aca="false">IFERROR(__xludf.dummyfunction("""COMPUTED_VALUE"""),167519)</f>
        <v>167519</v>
      </c>
      <c r="P103" s="63"/>
      <c r="Q103" s="63"/>
      <c r="R103" s="41"/>
      <c r="S103" s="41"/>
      <c r="T103" s="63"/>
      <c r="U103" s="63" t="n">
        <f aca="false">IFERROR(__xludf.dummyfunction("""COMPUTED_VALUE"""),10460)</f>
        <v>10460</v>
      </c>
      <c r="V103" s="70" t="n">
        <f aca="false">IFERROR(__xludf.dummyfunction("""COMPUTED_VALUE"""),46215)</f>
        <v>46215</v>
      </c>
      <c r="W103" s="39" t="str">
        <f aca="false">IFERROR(__xludf.dummyfunction("""COMPUTED_VALUE"""),"Hoàn thành XB")</f>
        <v>Hoàn thành XB</v>
      </c>
      <c r="X103" s="41" t="str">
        <f aca="false">IFERROR(__xludf.dummyfunction("""COMPUTED_VALUE"""),"Trangnth2")</f>
        <v>Trangnth2</v>
      </c>
      <c r="Y103" s="44" t="str">
        <f aca="false">IFERROR(__xludf.dummyfunction("""COMPUTED_VALUE"""),"done")</f>
        <v>done</v>
      </c>
      <c r="Z103" s="57" t="str">
        <f aca="false">IFERROR(__xludf.dummyfunction("""COMPUTED_VALUE"""),"#N/A")</f>
        <v>#N/A</v>
      </c>
      <c r="AA103" s="57"/>
      <c r="AB103" s="41" t="n">
        <f aca="false">IFERROR(__xludf.dummyfunction("""COMPUTED_VALUE"""),7)</f>
        <v>7</v>
      </c>
      <c r="AC103" s="57" t="str">
        <f aca="false">IFERROR(__xludf.dummyfunction("""COMPUTED_VALUE"""),"gv.tinhnh@hocmai.edu.vn ")</f>
        <v>gv.tinhnh@hocmai.edu.vn </v>
      </c>
      <c r="AD103" s="46" t="str">
        <f aca="false">IFERROR(__xludf.dummyfunction("""COMPUTED_VALUE"""),"mkieu2662@gmail.com")</f>
        <v>mkieu2662@gmail.com</v>
      </c>
      <c r="AE103" s="46"/>
      <c r="AF103" s="74" t="b">
        <f aca="false">IFERROR(__xludf.dummyfunction("""COMPUTED_VALUE"""),FALSE())</f>
        <v>0</v>
      </c>
      <c r="AG103" s="46" t="str">
        <f aca="false">IFERROR(__xludf.dummyfunction("""COMPUTED_VALUE"""),"")</f>
        <v/>
      </c>
      <c r="AH103" s="35"/>
      <c r="AI103" s="35"/>
      <c r="AJ103" s="53" t="b">
        <f aca="false">IFERROR(__xludf.dummyfunction("""COMPUTED_VALUE"""),TRUE())</f>
        <v>1</v>
      </c>
      <c r="AK103" s="53" t="b">
        <f aca="false">IFERROR(__xludf.dummyfunction("""COMPUTED_VALUE"""),TRUE())</f>
        <v>1</v>
      </c>
      <c r="AL103" s="35"/>
      <c r="AM103" s="35"/>
      <c r="AN103" s="35"/>
      <c r="AO103" s="46"/>
    </row>
    <row r="104" customFormat="false" ht="15.75" hidden="false" customHeight="true" outlineLevel="0" collapsed="false">
      <c r="A104" s="37" t="str">
        <f aca="false">IFERROR(__xludf.dummyfunction("""COMPUTED_VALUE"""),"Toán")</f>
        <v>Toán</v>
      </c>
      <c r="B104" s="37" t="str">
        <f aca="false">IFERROR(__xludf.dummyfunction("""COMPUTED_VALUE"""),"TOA_V-ACT_T04")</f>
        <v>TOA_V-ACT_T04</v>
      </c>
      <c r="C104" s="59" t="str">
        <f aca="false">IFERROR(__xludf.dummyfunction("""COMPUTED_VALUE"""),"Các phương pháp và kĩ năng xử lí bài toán giới hạn và đạo hàm (P1)")</f>
        <v>Các phương pháp và kĩ năng xử lí bài toán giới hạn và đạo hàm (P1)</v>
      </c>
      <c r="D104" s="39" t="str">
        <f aca="false">IFERROR(__xludf.dummyfunction("""COMPUTED_VALUE"""),"Nguyễn Hoài Nam")</f>
        <v>Nguyễn Hoài Nam</v>
      </c>
      <c r="E104" s="40" t="n">
        <f aca="false">IFERROR(__xludf.dummyfunction("""COMPUTED_VALUE"""),46212)</f>
        <v>46212</v>
      </c>
      <c r="F104" s="41" t="n">
        <f aca="false">IFERROR(__xludf.dummyfunction("""COMPUTED_VALUE"""),5)</f>
        <v>5</v>
      </c>
      <c r="G104" s="37" t="str">
        <f aca="false">IFERROR(__xludf.dummyfunction("""COMPUTED_VALUE"""),"21:00-22:30")</f>
        <v>21:00-22:30</v>
      </c>
      <c r="H104" s="37"/>
      <c r="I104" s="37"/>
      <c r="J104" s="42" t="str">
        <f aca="false">IFERROR(__xludf.dummyfunction("""COMPUTED_VALUE"""),"https://drive.google.com/drive/folders/1MnpHSYyltDdHVXY7HB8z16suNRxFITsR?usp=sharing")</f>
        <v>https://drive.google.com/drive/folders/1MnpHSYyltDdHVXY7HB8z16suNRxFITsR?usp=sharing</v>
      </c>
      <c r="K104" s="68" t="str">
        <f aca="false">IFERROR(__xludf.dummyfunction("""COMPUTED_VALUE"""),"Lent")</f>
        <v>Lent</v>
      </c>
      <c r="L104" s="68" t="str">
        <f aca="false">IFERROR(__xludf.dummyfunction("""COMPUTED_VALUE"""),"Lường Nhật Nam")</f>
        <v>Lường Nhật Nam</v>
      </c>
      <c r="M104" s="71"/>
      <c r="N104" s="77" t="str">
        <f aca="false">IFERROR(__xludf.dummyfunction("""COMPUTED_VALUE"""),"3124,3316")</f>
        <v>3124,3316</v>
      </c>
      <c r="O104" s="73" t="n">
        <f aca="false">IFERROR(__xludf.dummyfunction("""COMPUTED_VALUE"""),167189.166858)</f>
        <v>167189.166858</v>
      </c>
      <c r="P104" s="63" t="n">
        <f aca="false">IFERROR(__xludf.dummyfunction("""COMPUTED_VALUE"""),9044.9108)</f>
        <v>9044.9108</v>
      </c>
      <c r="Q104" s="63" t="n">
        <f aca="false">IFERROR(__xludf.dummyfunction("""COMPUTED_VALUE"""),167189)</f>
        <v>167189</v>
      </c>
      <c r="R104" s="41" t="n">
        <f aca="false">IFERROR(__xludf.dummyfunction("""COMPUTED_VALUE"""),166858)</f>
        <v>166858</v>
      </c>
      <c r="S104" s="41"/>
      <c r="T104" s="63"/>
      <c r="U104" s="63"/>
      <c r="V104" s="70" t="n">
        <f aca="false">IFERROR(__xludf.dummyfunction("""COMPUTED_VALUE"""),46215)</f>
        <v>46215</v>
      </c>
      <c r="W104" s="39" t="str">
        <f aca="false">IFERROR(__xludf.dummyfunction("""COMPUTED_VALUE"""),"Hoàn thành XB")</f>
        <v>Hoàn thành XB</v>
      </c>
      <c r="X104" s="41" t="str">
        <f aca="false">IFERROR(__xludf.dummyfunction("""COMPUTED_VALUE"""),"Lent")</f>
        <v>Lent</v>
      </c>
      <c r="Y104" s="44" t="str">
        <f aca="false">IFERROR(__xludf.dummyfunction("""COMPUTED_VALUE"""),"done")</f>
        <v>done</v>
      </c>
      <c r="Z104" s="57" t="str">
        <f aca="false">IFERROR(__xludf.dummyfunction("""COMPUTED_VALUE"""),"#N/A")</f>
        <v>#N/A</v>
      </c>
      <c r="AA104" s="57"/>
      <c r="AB104" s="41" t="n">
        <f aca="false">IFERROR(__xludf.dummyfunction("""COMPUTED_VALUE"""),7)</f>
        <v>7</v>
      </c>
      <c r="AC104" s="57" t="str">
        <f aca="false">IFERROR(__xludf.dummyfunction("""COMPUTED_VALUE"""),"gv.namnh@hocmai.edu.vn ")</f>
        <v>gv.namnh@hocmai.edu.vn </v>
      </c>
      <c r="AD104" s="46" t="str">
        <f aca="false">IFERROR(__xludf.dummyfunction("""COMPUTED_VALUE"""),"nhatnam1092@gmail.com")</f>
        <v>nhatnam1092@gmail.com</v>
      </c>
      <c r="AE104" s="46"/>
      <c r="AF104" s="47" t="str">
        <f aca="false">IFERROR(__xludf.dummyfunction("""COMPUTED_VALUE"""),"lophoctoan-946212")</f>
        <v>lophoctoan-946212</v>
      </c>
      <c r="AG104" s="46" t="str">
        <f aca="false">IFERROR(__xludf.dummyfunction("""COMPUTED_VALUE"""),"")</f>
        <v/>
      </c>
      <c r="AH104" s="35"/>
      <c r="AI104" s="35"/>
      <c r="AJ104" s="35"/>
      <c r="AK104" s="35"/>
      <c r="AL104" s="35"/>
      <c r="AM104" s="53" t="b">
        <f aca="false">IFERROR(__xludf.dummyfunction("""COMPUTED_VALUE"""),TRUE())</f>
        <v>1</v>
      </c>
      <c r="AN104" s="53" t="b">
        <f aca="false">IFERROR(__xludf.dummyfunction("""COMPUTED_VALUE"""),TRUE())</f>
        <v>1</v>
      </c>
      <c r="AO104" s="46"/>
    </row>
    <row r="105" customFormat="false" ht="15.75" hidden="false" customHeight="true" outlineLevel="0" collapsed="false">
      <c r="A105" s="37" t="str">
        <f aca="false">IFERROR(__xludf.dummyfunction("""COMPUTED_VALUE"""),"Thực chiến Khoa học")</f>
        <v>Thực chiến Khoa học</v>
      </c>
      <c r="B105" s="37" t="str">
        <f aca="false">IFERROR(__xludf.dummyfunction("""COMPUTED_VALUE"""),"TC_TSA_KH_02")</f>
        <v>TC_TSA_KH_02</v>
      </c>
      <c r="C105" s="59" t="str">
        <f aca="false">IFERROR(__xludf.dummyfunction("""COMPUTED_VALUE"""),"[Bổ trợ]_Chữa bài tập TSA_Tư duy Khoa học số 02")</f>
        <v>[Bổ trợ]_Chữa bài tập TSA_Tư duy Khoa học số 02</v>
      </c>
      <c r="D105" s="39" t="str">
        <f aca="false">IFERROR(__xludf.dummyfunction("""COMPUTED_VALUE"""),"Phạm Huy Hoàng")</f>
        <v>Phạm Huy Hoàng</v>
      </c>
      <c r="E105" s="40" t="n">
        <f aca="false">IFERROR(__xludf.dummyfunction("""COMPUTED_VALUE"""),46212)</f>
        <v>46212</v>
      </c>
      <c r="F105" s="41" t="n">
        <f aca="false">IFERROR(__xludf.dummyfunction("""COMPUTED_VALUE"""),5)</f>
        <v>5</v>
      </c>
      <c r="G105" s="37" t="str">
        <f aca="false">IFERROR(__xludf.dummyfunction("""COMPUTED_VALUE"""),"19:00-20:00")</f>
        <v>19:00-20:00</v>
      </c>
      <c r="H105" s="37"/>
      <c r="I105" s="37"/>
      <c r="J105" s="42" t="str">
        <f aca="false">IFERROR(__xludf.dummyfunction("""COMPUTED_VALUE"""),"https://drive.google.com/drive/folders/1SORfzSmrfNfY8lP3BBXg5JlQNE-zDnuv")</f>
        <v>https://drive.google.com/drive/folders/1SORfzSmrfNfY8lP3BBXg5JlQNE-zDnuv</v>
      </c>
      <c r="K105" s="68" t="str">
        <f aca="false">IFERROR(__xludf.dummyfunction("""COMPUTED_VALUE"""),"Trangnth2")</f>
        <v>Trangnth2</v>
      </c>
      <c r="L105" s="68" t="str">
        <f aca="false">IFERROR(__xludf.dummyfunction("""COMPUTED_VALUE"""),"HOCMAI")</f>
        <v>HOCMAI</v>
      </c>
      <c r="M105" s="71"/>
      <c r="N105" s="77" t="str">
        <f aca="false">IFERROR(__xludf.dummyfunction("""COMPUTED_VALUE"""),"3110")</f>
        <v>3110</v>
      </c>
      <c r="O105" s="63" t="n">
        <f aca="false">IFERROR(__xludf.dummyfunction("""COMPUTED_VALUE"""),174808)</f>
        <v>174808</v>
      </c>
      <c r="P105" s="60" t="str">
        <f aca="false">IFERROR(__xludf.dummyfunction("""COMPUTED_VALUE"""),"https://hocmai.vn/bai-giang-truc-tuyen/174808/.html")</f>
        <v>https://hocmai.vn/bai-giang-truc-tuyen/174808/.html</v>
      </c>
      <c r="Q105" s="63"/>
      <c r="R105" s="41"/>
      <c r="S105" s="41"/>
      <c r="T105" s="63"/>
      <c r="U105" s="63"/>
      <c r="V105" s="70" t="n">
        <f aca="false">IFERROR(__xludf.dummyfunction("""COMPUTED_VALUE"""),46215)</f>
        <v>46215</v>
      </c>
      <c r="W105" s="39" t="str">
        <f aca="false">IFERROR(__xludf.dummyfunction("""COMPUTED_VALUE"""),"Hoàn thành XB")</f>
        <v>Hoàn thành XB</v>
      </c>
      <c r="X105" s="41" t="str">
        <f aca="false">IFERROR(__xludf.dummyfunction("""COMPUTED_VALUE"""),"Vuta")</f>
        <v>Vuta</v>
      </c>
      <c r="Y105" s="44"/>
      <c r="Z105" s="57"/>
      <c r="AA105" s="57"/>
      <c r="AB105" s="41" t="n">
        <f aca="false">IFERROR(__xludf.dummyfunction("""COMPUTED_VALUE"""),7)</f>
        <v>7</v>
      </c>
      <c r="AC105" s="57" t="str">
        <f aca="false">IFERROR(__xludf.dummyfunction("""COMPUTED_VALUE"""),"0376611308")</f>
        <v>0376611308</v>
      </c>
      <c r="AD105" s="46"/>
      <c r="AE105" s="46"/>
      <c r="AF105" s="47"/>
      <c r="AG105" s="46"/>
      <c r="AH105" s="53" t="b">
        <f aca="false">IFERROR(__xludf.dummyfunction("""COMPUTED_VALUE"""),FALSE())</f>
        <v>0</v>
      </c>
      <c r="AI105" s="53" t="b">
        <f aca="false">IFERROR(__xludf.dummyfunction("""COMPUTED_VALUE"""),TRUE())</f>
        <v>1</v>
      </c>
      <c r="AJ105" s="53" t="b">
        <f aca="false">IFERROR(__xludf.dummyfunction("""COMPUTED_VALUE"""),FALSE())</f>
        <v>0</v>
      </c>
      <c r="AK105" s="53" t="b">
        <f aca="false">IFERROR(__xludf.dummyfunction("""COMPUTED_VALUE"""),FALSE())</f>
        <v>0</v>
      </c>
      <c r="AL105" s="53" t="b">
        <f aca="false">IFERROR(__xludf.dummyfunction("""COMPUTED_VALUE"""),FALSE())</f>
        <v>0</v>
      </c>
      <c r="AM105" s="53" t="b">
        <f aca="false">IFERROR(__xludf.dummyfunction("""COMPUTED_VALUE"""),FALSE())</f>
        <v>0</v>
      </c>
      <c r="AN105" s="53" t="b">
        <f aca="false">IFERROR(__xludf.dummyfunction("""COMPUTED_VALUE"""),FALSE())</f>
        <v>0</v>
      </c>
      <c r="AO105" s="46"/>
    </row>
    <row r="106" customFormat="false" ht="15.75" hidden="false" customHeight="true" outlineLevel="0" collapsed="false">
      <c r="A106" s="37" t="str">
        <f aca="false">IFERROR(__xludf.dummyfunction("""COMPUTED_VALUE"""),"Toán")</f>
        <v>Toán</v>
      </c>
      <c r="B106" s="37" t="str">
        <f aca="false">IFERROR(__xludf.dummyfunction("""COMPUTED_VALUE"""),"TOV_TSA_T04")</f>
        <v>TOV_TSA_T04</v>
      </c>
      <c r="C106" s="59" t="str">
        <f aca="false">IFERROR(__xludf.dummyfunction("""COMPUTED_VALUE"""),"Số chính phương và cách khai thác các tính chất đặc biệt")</f>
        <v>Số chính phương và cách khai thác các tính chất đặc biệt</v>
      </c>
      <c r="D106" s="39" t="str">
        <f aca="false">IFERROR(__xludf.dummyfunction("""COMPUTED_VALUE"""),"Nguyễn Thanh Tùng")</f>
        <v>Nguyễn Thanh Tùng</v>
      </c>
      <c r="E106" s="40" t="n">
        <f aca="false">IFERROR(__xludf.dummyfunction("""COMPUTED_VALUE"""),46213)</f>
        <v>46213</v>
      </c>
      <c r="F106" s="41" t="n">
        <f aca="false">IFERROR(__xludf.dummyfunction("""COMPUTED_VALUE"""),6)</f>
        <v>6</v>
      </c>
      <c r="G106" s="37" t="str">
        <f aca="false">IFERROR(__xludf.dummyfunction("""COMPUTED_VALUE"""),"18:00-20:00")</f>
        <v>18:00-20:00</v>
      </c>
      <c r="H106" s="37"/>
      <c r="I106" s="37"/>
      <c r="J106" s="42" t="str">
        <f aca="false">IFERROR(__xludf.dummyfunction("""COMPUTED_VALUE"""),"https://drive.google.com/drive/folders/1MknLtXk__OtcX7hbVCTSeDmaNRczW2Ct?usp=drive_link")</f>
        <v>https://drive.google.com/drive/folders/1MknLtXk__OtcX7hbVCTSeDmaNRczW2Ct?usp=drive_link</v>
      </c>
      <c r="K106" s="68" t="str">
        <f aca="false">IFERROR(__xludf.dummyfunction("""COMPUTED_VALUE"""),"Locdd")</f>
        <v>Locdd</v>
      </c>
      <c r="L106" s="68" t="str">
        <f aca="false">IFERROR(__xludf.dummyfunction("""COMPUTED_VALUE"""),"Tưởng Thị Huyền Trang")</f>
        <v>Tưởng Thị Huyền Trang</v>
      </c>
      <c r="M106" s="71"/>
      <c r="N106" s="77" t="str">
        <f aca="false">IFERROR(__xludf.dummyfunction("""COMPUTED_VALUE"""),"3108")</f>
        <v>3108</v>
      </c>
      <c r="O106" s="63" t="n">
        <f aca="false">IFERROR(__xludf.dummyfunction("""COMPUTED_VALUE"""),168362)</f>
        <v>168362</v>
      </c>
      <c r="P106" s="63"/>
      <c r="Q106" s="63"/>
      <c r="R106" s="41"/>
      <c r="S106" s="41"/>
      <c r="T106" s="63"/>
      <c r="U106" s="63"/>
      <c r="V106" s="70" t="n">
        <f aca="false">IFERROR(__xludf.dummyfunction("""COMPUTED_VALUE"""),46216)</f>
        <v>46216</v>
      </c>
      <c r="W106" s="39" t="str">
        <f aca="false">IFERROR(__xludf.dummyfunction("""COMPUTED_VALUE"""),"Hoàn thành XB")</f>
        <v>Hoàn thành XB</v>
      </c>
      <c r="X106" s="41" t="str">
        <f aca="false">IFERROR(__xludf.dummyfunction("""COMPUTED_VALUE"""),"Locdd")</f>
        <v>Locdd</v>
      </c>
      <c r="Y106" s="44" t="str">
        <f aca="false">IFERROR(__xludf.dummyfunction("""COMPUTED_VALUE"""),"done")</f>
        <v>done</v>
      </c>
      <c r="Z106" s="57" t="str">
        <f aca="false">IFERROR(__xludf.dummyfunction("""COMPUTED_VALUE"""),"#N/A")</f>
        <v>#N/A</v>
      </c>
      <c r="AA106" s="57"/>
      <c r="AB106" s="41" t="n">
        <f aca="false">IFERROR(__xludf.dummyfunction("""COMPUTED_VALUE"""),7)</f>
        <v>7</v>
      </c>
      <c r="AC106" s="57" t="str">
        <f aca="false">IFERROR(__xludf.dummyfunction("""COMPUTED_VALUE"""),"gv.tungnt@hocmai.edu.vn ")</f>
        <v>gv.tungnt@hocmai.edu.vn </v>
      </c>
      <c r="AD106" s="46" t="str">
        <f aca="false">IFERROR(__xludf.dummyfunction("""COMPUTED_VALUE"""),"trangcrazy699@gmail.com")</f>
        <v>trangcrazy699@gmail.com</v>
      </c>
      <c r="AE106" s="46"/>
      <c r="AF106" s="47" t="str">
        <f aca="false">IFERROR(__xludf.dummyfunction("""COMPUTED_VALUE"""),"lophoctoan-946213")</f>
        <v>lophoctoan-946213</v>
      </c>
      <c r="AG106" s="46" t="str">
        <f aca="false">IFERROR(__xludf.dummyfunction("""COMPUTED_VALUE"""),"")</f>
        <v/>
      </c>
      <c r="AH106" s="35"/>
      <c r="AI106" s="53" t="b">
        <f aca="false">IFERROR(__xludf.dummyfunction("""COMPUTED_VALUE"""),TRUE())</f>
        <v>1</v>
      </c>
      <c r="AJ106" s="35"/>
      <c r="AK106" s="35"/>
      <c r="AL106" s="35"/>
      <c r="AM106" s="35"/>
      <c r="AN106" s="35"/>
      <c r="AO106" s="46"/>
    </row>
    <row r="107" customFormat="false" ht="15.75" hidden="false" customHeight="true" outlineLevel="0" collapsed="false">
      <c r="A107" s="37" t="str">
        <f aca="false">IFERROR(__xludf.dummyfunction("""COMPUTED_VALUE"""),"Sinh học")</f>
        <v>Sinh học</v>
      </c>
      <c r="B107" s="37" t="str">
        <f aca="false">IFERROR(__xludf.dummyfunction("""COMPUTED_VALUE"""),"TOV_HSA_SH04")</f>
        <v>TOV_HSA_SH04</v>
      </c>
      <c r="C107" s="59" t="str">
        <f aca="false">IFERROR(__xludf.dummyfunction("""COMPUTED_VALUE"""),"Chuyển hoá năng lượng: Quang hợp – Hô hấp tế bào – Lên men")</f>
        <v>Chuyển hoá năng lượng: Quang hợp – Hô hấp tế bào – Lên men</v>
      </c>
      <c r="D107" s="39" t="str">
        <f aca="false">IFERROR(__xludf.dummyfunction("""COMPUTED_VALUE"""),"Nguyễn Dương Ánh Hồng")</f>
        <v>Nguyễn Dương Ánh Hồng</v>
      </c>
      <c r="E107" s="40" t="n">
        <f aca="false">IFERROR(__xludf.dummyfunction("""COMPUTED_VALUE"""),46213)</f>
        <v>46213</v>
      </c>
      <c r="F107" s="41" t="n">
        <f aca="false">IFERROR(__xludf.dummyfunction("""COMPUTED_VALUE"""),6)</f>
        <v>6</v>
      </c>
      <c r="G107" s="37" t="str">
        <f aca="false">IFERROR(__xludf.dummyfunction("""COMPUTED_VALUE"""),"19:30-21:30")</f>
        <v>19:30-21:30</v>
      </c>
      <c r="H107" s="37"/>
      <c r="I107" s="37"/>
      <c r="J107" s="42" t="str">
        <f aca="false">IFERROR(__xludf.dummyfunction("""COMPUTED_VALUE"""),"https://drive.google.com/drive/folders/1YdNuDxp0UR3kjnztfD_aUpfrLFvafGid?usp=sharing")</f>
        <v>https://drive.google.com/drive/folders/1YdNuDxp0UR3kjnztfD_aUpfrLFvafGid?usp=sharing</v>
      </c>
      <c r="K107" s="68" t="str">
        <f aca="false">IFERROR(__xludf.dummyfunction("""COMPUTED_VALUE"""),"Phuongdt")</f>
        <v>Phuongdt</v>
      </c>
      <c r="L107" s="68" t="str">
        <f aca="false">IFERROR(__xludf.dummyfunction("""COMPUTED_VALUE"""),"Phan Đức Kiên")</f>
        <v>Phan Đức Kiên</v>
      </c>
      <c r="M107" s="71"/>
      <c r="N107" s="77" t="str">
        <f aca="false">IFERROR(__xludf.dummyfunction("""COMPUTED_VALUE"""),"3121")</f>
        <v>3121</v>
      </c>
      <c r="O107" s="63" t="n">
        <f aca="false">IFERROR(__xludf.dummyfunction("""COMPUTED_VALUE"""),167321)</f>
        <v>167321</v>
      </c>
      <c r="P107" s="63"/>
      <c r="Q107" s="63"/>
      <c r="R107" s="41"/>
      <c r="S107" s="41"/>
      <c r="T107" s="63" t="n">
        <f aca="false">IFERROR(__xludf.dummyfunction("""COMPUTED_VALUE"""),23569)</f>
        <v>23569</v>
      </c>
      <c r="U107" s="63"/>
      <c r="V107" s="70" t="n">
        <f aca="false">IFERROR(__xludf.dummyfunction("""COMPUTED_VALUE"""),46216)</f>
        <v>46216</v>
      </c>
      <c r="W107" s="39" t="str">
        <f aca="false">IFERROR(__xludf.dummyfunction("""COMPUTED_VALUE"""),"Hoàn thành XB")</f>
        <v>Hoàn thành XB</v>
      </c>
      <c r="X107" s="41" t="str">
        <f aca="false">IFERROR(__xludf.dummyfunction("""COMPUTED_VALUE"""),"Phuongdt")</f>
        <v>Phuongdt</v>
      </c>
      <c r="Y107" s="44" t="str">
        <f aca="false">IFERROR(__xludf.dummyfunction("""COMPUTED_VALUE"""),"done")</f>
        <v>done</v>
      </c>
      <c r="Z107" s="57" t="str">
        <f aca="false">IFERROR(__xludf.dummyfunction("""COMPUTED_VALUE"""),"#N/A")</f>
        <v>#N/A</v>
      </c>
      <c r="AA107" s="57"/>
      <c r="AB107" s="41" t="n">
        <f aca="false">IFERROR(__xludf.dummyfunction("""COMPUTED_VALUE"""),7)</f>
        <v>7</v>
      </c>
      <c r="AC107" s="57" t="str">
        <f aca="false">IFERROR(__xludf.dummyfunction("""COMPUTED_VALUE"""),"gv.hongnda@hocmai.edu.vn ")</f>
        <v>gv.hongnda@hocmai.edu.vn </v>
      </c>
      <c r="AD107" s="46" t="str">
        <f aca="false">IFERROR(__xludf.dummyfunction("""COMPUTED_VALUE"""),"duckien010607@gmail.com")</f>
        <v>duckien010607@gmail.com</v>
      </c>
      <c r="AE107" s="46"/>
      <c r="AF107" s="74" t="b">
        <f aca="false">IFERROR(__xludf.dummyfunction("""COMPUTED_VALUE"""),FALSE())</f>
        <v>0</v>
      </c>
      <c r="AG107" s="46" t="str">
        <f aca="false">IFERROR(__xludf.dummyfunction("""COMPUTED_VALUE"""),"")</f>
        <v/>
      </c>
      <c r="AH107" s="35"/>
      <c r="AI107" s="35"/>
      <c r="AJ107" s="53" t="b">
        <f aca="false">IFERROR(__xludf.dummyfunction("""COMPUTED_VALUE"""),TRUE())</f>
        <v>1</v>
      </c>
      <c r="AK107" s="53" t="b">
        <f aca="false">IFERROR(__xludf.dummyfunction("""COMPUTED_VALUE"""),TRUE())</f>
        <v>1</v>
      </c>
      <c r="AL107" s="35"/>
      <c r="AM107" s="35"/>
      <c r="AN107" s="35"/>
      <c r="AO107" s="46"/>
    </row>
    <row r="108" customFormat="false" ht="15.75" hidden="false" customHeight="true" outlineLevel="0" collapsed="false">
      <c r="A108" s="37" t="str">
        <f aca="false">IFERROR(__xludf.dummyfunction("""COMPUTED_VALUE"""),"Lịch sử")</f>
        <v>Lịch sử</v>
      </c>
      <c r="B108" s="37" t="str">
        <f aca="false">IFERROR(__xludf.dummyfunction("""COMPUTED_VALUE"""),"TOV_HSA_LS02")</f>
        <v>TOV_HSA_LS02</v>
      </c>
      <c r="C108" s="59" t="str">
        <f aca="false">IFERROR(__xludf.dummyfunction("""COMPUTED_VALUE"""),"Các cuộc cách mạng công nghiệp trong lịch sử")</f>
        <v>Các cuộc cách mạng công nghiệp trong lịch sử</v>
      </c>
      <c r="D108" s="39" t="str">
        <f aca="false">IFERROR(__xludf.dummyfunction("""COMPUTED_VALUE"""),"Dương Thị Huyền")</f>
        <v>Dương Thị Huyền</v>
      </c>
      <c r="E108" s="40" t="n">
        <f aca="false">IFERROR(__xludf.dummyfunction("""COMPUTED_VALUE"""),46213)</f>
        <v>46213</v>
      </c>
      <c r="F108" s="41" t="n">
        <f aca="false">IFERROR(__xludf.dummyfunction("""COMPUTED_VALUE"""),6)</f>
        <v>6</v>
      </c>
      <c r="G108" s="37" t="str">
        <f aca="false">IFERROR(__xludf.dummyfunction("""COMPUTED_VALUE"""),"21:30-23:30")</f>
        <v>21:30-23:30</v>
      </c>
      <c r="H108" s="37"/>
      <c r="I108" s="37"/>
      <c r="J108" s="42" t="str">
        <f aca="false">IFERROR(__xludf.dummyfunction("""COMPUTED_VALUE"""),"https://drive.google.com/drive/folders/1lqqaSvi_4vLNt4sDtQ1Bmd7fHK26kuIn")</f>
        <v>https://drive.google.com/drive/folders/1lqqaSvi_4vLNt4sDtQ1Bmd7fHK26kuIn</v>
      </c>
      <c r="K108" s="68" t="str">
        <f aca="false">IFERROR(__xludf.dummyfunction("""COMPUTED_VALUE"""),"Trinhntt")</f>
        <v>Trinhntt</v>
      </c>
      <c r="L108" s="68" t="str">
        <f aca="false">IFERROR(__xludf.dummyfunction("""COMPUTED_VALUE"""),"Phan Đức Kiên")</f>
        <v>Phan Đức Kiên</v>
      </c>
      <c r="M108" s="71"/>
      <c r="N108" s="77" t="str">
        <f aca="false">IFERROR(__xludf.dummyfunction("""COMPUTED_VALUE"""),"3122")</f>
        <v>3122</v>
      </c>
      <c r="O108" s="63" t="n">
        <f aca="false">IFERROR(__xludf.dummyfunction("""COMPUTED_VALUE"""),174729)</f>
        <v>174729</v>
      </c>
      <c r="P108" s="63"/>
      <c r="Q108" s="63"/>
      <c r="R108" s="41"/>
      <c r="S108" s="41"/>
      <c r="T108" s="63"/>
      <c r="U108" s="63"/>
      <c r="V108" s="70" t="n">
        <f aca="false">IFERROR(__xludf.dummyfunction("""COMPUTED_VALUE"""),46216)</f>
        <v>46216</v>
      </c>
      <c r="W108" s="39" t="str">
        <f aca="false">IFERROR(__xludf.dummyfunction("""COMPUTED_VALUE"""),"Hoàn thành XB")</f>
        <v>Hoàn thành XB</v>
      </c>
      <c r="X108" s="41" t="str">
        <f aca="false">IFERROR(__xludf.dummyfunction("""COMPUTED_VALUE"""),"Trinhntt")</f>
        <v>Trinhntt</v>
      </c>
      <c r="Y108" s="44"/>
      <c r="Z108" s="57" t="str">
        <f aca="false">IFERROR(__xludf.dummyfunction("""COMPUTED_VALUE"""),"#N/A")</f>
        <v>#N/A</v>
      </c>
      <c r="AA108" s="57"/>
      <c r="AB108" s="41"/>
      <c r="AC108" s="57" t="str">
        <f aca="false">IFERROR(__xludf.dummyfunction("""COMPUTED_VALUE"""),"gv.huyendt2@hocmai.edu.vn")</f>
        <v>gv.huyendt2@hocmai.edu.vn</v>
      </c>
      <c r="AD108" s="46" t="str">
        <f aca="false">IFERROR(__xludf.dummyfunction("""COMPUTED_VALUE"""),"duckien010607@gmail.com")</f>
        <v>duckien010607@gmail.com</v>
      </c>
      <c r="AE108" s="46"/>
      <c r="AF108" s="74" t="b">
        <f aca="false">IFERROR(__xludf.dummyfunction("""COMPUTED_VALUE"""),FALSE())</f>
        <v>0</v>
      </c>
      <c r="AG108" s="46" t="str">
        <f aca="false">IFERROR(__xludf.dummyfunction("""COMPUTED_VALUE"""),"")</f>
        <v/>
      </c>
      <c r="AH108" s="35"/>
      <c r="AI108" s="35"/>
      <c r="AJ108" s="53" t="b">
        <f aca="false">IFERROR(__xludf.dummyfunction("""COMPUTED_VALUE"""),TRUE())</f>
        <v>1</v>
      </c>
      <c r="AK108" s="53" t="b">
        <f aca="false">IFERROR(__xludf.dummyfunction("""COMPUTED_VALUE"""),TRUE())</f>
        <v>1</v>
      </c>
      <c r="AL108" s="35"/>
      <c r="AM108" s="35"/>
      <c r="AN108" s="35"/>
      <c r="AO108" s="46"/>
    </row>
    <row r="109" customFormat="false" ht="15.75" hidden="false" customHeight="true" outlineLevel="0" collapsed="false">
      <c r="A109" s="37" t="str">
        <f aca="false">IFERROR(__xludf.dummyfunction("""COMPUTED_VALUE"""),"Thực chiến Toán")</f>
        <v>Thực chiến Toán</v>
      </c>
      <c r="B109" s="37" t="str">
        <f aca="false">IFERROR(__xludf.dummyfunction("""COMPUTED_VALUE"""),"TC_TSA_T_03")</f>
        <v>TC_TSA_T_03</v>
      </c>
      <c r="C109" s="59" t="str">
        <f aca="false">IFERROR(__xludf.dummyfunction("""COMPUTED_VALUE"""),"[Bổ trợ]_Chữa bài tập TSA_Tư duy Toán học số 03")</f>
        <v>[Bổ trợ]_Chữa bài tập TSA_Tư duy Toán học số 03</v>
      </c>
      <c r="D109" s="39" t="str">
        <f aca="false">IFERROR(__xludf.dummyfunction("""COMPUTED_VALUE"""),"Phạm Huy Hoàng")</f>
        <v>Phạm Huy Hoàng</v>
      </c>
      <c r="E109" s="40" t="n">
        <f aca="false">IFERROR(__xludf.dummyfunction("""COMPUTED_VALUE"""),46213)</f>
        <v>46213</v>
      </c>
      <c r="F109" s="41" t="n">
        <f aca="false">IFERROR(__xludf.dummyfunction("""COMPUTED_VALUE"""),6)</f>
        <v>6</v>
      </c>
      <c r="G109" s="37" t="str">
        <f aca="false">IFERROR(__xludf.dummyfunction("""COMPUTED_VALUE"""),"20:00-21:00")</f>
        <v>20:00-21:00</v>
      </c>
      <c r="H109" s="37"/>
      <c r="I109" s="37"/>
      <c r="J109" s="42" t="str">
        <f aca="false">IFERROR(__xludf.dummyfunction("""COMPUTED_VALUE"""),"https://drive.google.com/drive/folders/1AD4BbUBhc8HpiTiPpGcb-FJabwWD_L1g?usp=drive_link")</f>
        <v>https://drive.google.com/drive/folders/1AD4BbUBhc8HpiTiPpGcb-FJabwWD_L1g?usp=drive_link</v>
      </c>
      <c r="K109" s="68" t="str">
        <f aca="false">IFERROR(__xludf.dummyfunction("""COMPUTED_VALUE"""),"Locdd")</f>
        <v>Locdd</v>
      </c>
      <c r="L109" s="68" t="str">
        <f aca="false">IFERROR(__xludf.dummyfunction("""COMPUTED_VALUE"""),"HOCMAI")</f>
        <v>HOCMAI</v>
      </c>
      <c r="M109" s="71"/>
      <c r="N109" s="77" t="str">
        <f aca="false">IFERROR(__xludf.dummyfunction("""COMPUTED_VALUE"""),"3108")</f>
        <v>3108</v>
      </c>
      <c r="O109" s="63" t="n">
        <f aca="false">IFERROR(__xludf.dummyfunction("""COMPUTED_VALUE"""),174811)</f>
        <v>174811</v>
      </c>
      <c r="P109" s="60" t="str">
        <f aca="false">IFERROR(__xludf.dummyfunction("""COMPUTED_VALUE"""),"https://hocmai.vn/bai-giang-truc-tuyen/174811/.html")</f>
        <v>https://hocmai.vn/bai-giang-truc-tuyen/174811/.html</v>
      </c>
      <c r="Q109" s="63"/>
      <c r="R109" s="41"/>
      <c r="S109" s="41"/>
      <c r="T109" s="63"/>
      <c r="U109" s="63"/>
      <c r="V109" s="70" t="n">
        <f aca="false">IFERROR(__xludf.dummyfunction("""COMPUTED_VALUE"""),46216)</f>
        <v>46216</v>
      </c>
      <c r="W109" s="39" t="str">
        <f aca="false">IFERROR(__xludf.dummyfunction("""COMPUTED_VALUE"""),"Hoàn thành XB")</f>
        <v>Hoàn thành XB</v>
      </c>
      <c r="X109" s="41" t="str">
        <f aca="false">IFERROR(__xludf.dummyfunction("""COMPUTED_VALUE"""),"Vuta")</f>
        <v>Vuta</v>
      </c>
      <c r="Y109" s="44"/>
      <c r="Z109" s="57"/>
      <c r="AA109" s="57"/>
      <c r="AB109" s="41" t="n">
        <f aca="false">IFERROR(__xludf.dummyfunction("""COMPUTED_VALUE"""),7)</f>
        <v>7</v>
      </c>
      <c r="AC109" s="57" t="str">
        <f aca="false">IFERROR(__xludf.dummyfunction("""COMPUTED_VALUE"""),"0376611308")</f>
        <v>0376611308</v>
      </c>
      <c r="AD109" s="46"/>
      <c r="AE109" s="46"/>
      <c r="AF109" s="47"/>
      <c r="AG109" s="46"/>
      <c r="AH109" s="53" t="b">
        <f aca="false">IFERROR(__xludf.dummyfunction("""COMPUTED_VALUE"""),FALSE())</f>
        <v>0</v>
      </c>
      <c r="AI109" s="53" t="b">
        <f aca="false">IFERROR(__xludf.dummyfunction("""COMPUTED_VALUE"""),TRUE())</f>
        <v>1</v>
      </c>
      <c r="AJ109" s="53" t="b">
        <f aca="false">IFERROR(__xludf.dummyfunction("""COMPUTED_VALUE"""),FALSE())</f>
        <v>0</v>
      </c>
      <c r="AK109" s="53" t="b">
        <f aca="false">IFERROR(__xludf.dummyfunction("""COMPUTED_VALUE"""),FALSE())</f>
        <v>0</v>
      </c>
      <c r="AL109" s="53" t="b">
        <f aca="false">IFERROR(__xludf.dummyfunction("""COMPUTED_VALUE"""),FALSE())</f>
        <v>0</v>
      </c>
      <c r="AM109" s="53" t="b">
        <f aca="false">IFERROR(__xludf.dummyfunction("""COMPUTED_VALUE"""),FALSE())</f>
        <v>0</v>
      </c>
      <c r="AN109" s="53" t="b">
        <f aca="false">IFERROR(__xludf.dummyfunction("""COMPUTED_VALUE"""),FALSE())</f>
        <v>0</v>
      </c>
      <c r="AO109" s="46"/>
    </row>
    <row r="110" customFormat="false" ht="15.75" hidden="false" customHeight="true" outlineLevel="0" collapsed="false">
      <c r="A110" s="37" t="str">
        <f aca="false">IFERROR(__xludf.dummyfunction("""COMPUTED_VALUE"""),"Sinh học")</f>
        <v>Sinh học</v>
      </c>
      <c r="B110" s="37" t="str">
        <f aca="false">IFERROR(__xludf.dummyfunction("""COMPUTED_VALUE"""),"TOV_TSA_S02")</f>
        <v>TOV_TSA_S02</v>
      </c>
      <c r="C110" s="59" t="str">
        <f aca="false">IFERROR(__xludf.dummyfunction("""COMPUTED_VALUE"""),"Trao đổi chất và chuyển hóa năng lượng ở tế bào")</f>
        <v>Trao đổi chất và chuyển hóa năng lượng ở tế bào</v>
      </c>
      <c r="D110" s="39" t="str">
        <f aca="false">IFERROR(__xludf.dummyfunction("""COMPUTED_VALUE"""),"Vũ Khắc Ngọc")</f>
        <v>Vũ Khắc Ngọc</v>
      </c>
      <c r="E110" s="40" t="n">
        <f aca="false">IFERROR(__xludf.dummyfunction("""COMPUTED_VALUE"""),46214)</f>
        <v>46214</v>
      </c>
      <c r="F110" s="41" t="n">
        <f aca="false">IFERROR(__xludf.dummyfunction("""COMPUTED_VALUE"""),7)</f>
        <v>7</v>
      </c>
      <c r="G110" s="37" t="str">
        <f aca="false">IFERROR(__xludf.dummyfunction("""COMPUTED_VALUE"""),"21:30-23:30")</f>
        <v>21:30-23:30</v>
      </c>
      <c r="H110" s="37"/>
      <c r="I110" s="37"/>
      <c r="J110" s="42" t="str">
        <f aca="false">IFERROR(__xludf.dummyfunction("""COMPUTED_VALUE"""),"https://drive.google.com/drive/folders/15GLuPaczSmlIPWkJfiPmgyNbOqwcSnhy?usp=drive_link")</f>
        <v>https://drive.google.com/drive/folders/15GLuPaczSmlIPWkJfiPmgyNbOqwcSnhy?usp=drive_link</v>
      </c>
      <c r="K110" s="68" t="str">
        <f aca="false">IFERROR(__xludf.dummyfunction("""COMPUTED_VALUE"""),"Phuongdt")</f>
        <v>Phuongdt</v>
      </c>
      <c r="L110" s="68" t="str">
        <f aca="false">IFERROR(__xludf.dummyfunction("""COMPUTED_VALUE"""),"Bùi Vĩnh Thọ")</f>
        <v>Bùi Vĩnh Thọ</v>
      </c>
      <c r="M110" s="71"/>
      <c r="N110" s="77" t="str">
        <f aca="false">IFERROR(__xludf.dummyfunction("""COMPUTED_VALUE"""),"3110")</f>
        <v>3110</v>
      </c>
      <c r="O110" s="63" t="n">
        <f aca="false">IFERROR(__xludf.dummyfunction("""COMPUTED_VALUE"""),167253)</f>
        <v>167253</v>
      </c>
      <c r="P110" s="63"/>
      <c r="Q110" s="63"/>
      <c r="R110" s="41"/>
      <c r="S110" s="41"/>
      <c r="T110" s="63" t="n">
        <f aca="false">IFERROR(__xludf.dummyfunction("""COMPUTED_VALUE"""),23583)</f>
        <v>23583</v>
      </c>
      <c r="U110" s="63" t="n">
        <f aca="false">IFERROR(__xludf.dummyfunction("""COMPUTED_VALUE"""),10612)</f>
        <v>10612</v>
      </c>
      <c r="V110" s="70" t="n">
        <f aca="false">IFERROR(__xludf.dummyfunction("""COMPUTED_VALUE"""),46217)</f>
        <v>46217</v>
      </c>
      <c r="W110" s="39" t="str">
        <f aca="false">IFERROR(__xludf.dummyfunction("""COMPUTED_VALUE"""),"Hoàn thành XB")</f>
        <v>Hoàn thành XB</v>
      </c>
      <c r="X110" s="41" t="str">
        <f aca="false">IFERROR(__xludf.dummyfunction("""COMPUTED_VALUE"""),"Phuongdt")</f>
        <v>Phuongdt</v>
      </c>
      <c r="Y110" s="44" t="str">
        <f aca="false">IFERROR(__xludf.dummyfunction("""COMPUTED_VALUE"""),"done")</f>
        <v>done</v>
      </c>
      <c r="Z110" s="57" t="str">
        <f aca="false">IFERROR(__xludf.dummyfunction("""COMPUTED_VALUE"""),"#N/A")</f>
        <v>#N/A</v>
      </c>
      <c r="AA110" s="57"/>
      <c r="AB110" s="41" t="n">
        <f aca="false">IFERROR(__xludf.dummyfunction("""COMPUTED_VALUE"""),7)</f>
        <v>7</v>
      </c>
      <c r="AC110" s="57" t="str">
        <f aca="false">IFERROR(__xludf.dummyfunction("""COMPUTED_VALUE"""),"gv.ngocvk@hocmai.edu.vn")</f>
        <v>gv.ngocvk@hocmai.edu.vn</v>
      </c>
      <c r="AD110" s="46" t="str">
        <f aca="false">IFERROR(__xludf.dummyfunction("""COMPUTED_VALUE"""),"vinhtho0704@gmail.com")</f>
        <v>vinhtho0704@gmail.com</v>
      </c>
      <c r="AE110" s="46"/>
      <c r="AF110" s="74" t="b">
        <f aca="false">IFERROR(__xludf.dummyfunction("""COMPUTED_VALUE"""),FALSE())</f>
        <v>0</v>
      </c>
      <c r="AG110" s="46" t="str">
        <f aca="false">IFERROR(__xludf.dummyfunction("""COMPUTED_VALUE"""),"")</f>
        <v/>
      </c>
      <c r="AH110" s="35"/>
      <c r="AI110" s="53" t="b">
        <f aca="false">IFERROR(__xludf.dummyfunction("""COMPUTED_VALUE"""),TRUE())</f>
        <v>1</v>
      </c>
      <c r="AJ110" s="35"/>
      <c r="AK110" s="35"/>
      <c r="AL110" s="35"/>
      <c r="AM110" s="35"/>
      <c r="AN110" s="35"/>
      <c r="AO110" s="46"/>
    </row>
    <row r="111" customFormat="false" ht="15.75" hidden="false" customHeight="true" outlineLevel="0" collapsed="false">
      <c r="A111" s="37" t="str">
        <f aca="false">IFERROR(__xludf.dummyfunction("""COMPUTED_VALUE"""),"Khoa học")</f>
        <v>Khoa học</v>
      </c>
      <c r="B111" s="37" t="str">
        <f aca="false">IFERROR(__xludf.dummyfunction("""COMPUTED_VALUE"""),"TOS_V-ACT_KH04")</f>
        <v>TOS_V-ACT_KH04</v>
      </c>
      <c r="C111" s="59" t="str">
        <f aca="false">IFERROR(__xludf.dummyfunction("""COMPUTED_VALUE"""),"Thực hành kỹ năng scan &amp; skim – Chọn từ khóa trong văn bản khoa học (P2).")</f>
        <v>Thực hành kỹ năng scan &amp; skim – Chọn từ khóa trong văn bản khoa học (P2).</v>
      </c>
      <c r="D111" s="39" t="str">
        <f aca="false">IFERROR(__xludf.dummyfunction("""COMPUTED_VALUE"""),"Lê Văn Minh")</f>
        <v>Lê Văn Minh</v>
      </c>
      <c r="E111" s="40" t="n">
        <f aca="false">IFERROR(__xludf.dummyfunction("""COMPUTED_VALUE"""),46214)</f>
        <v>46214</v>
      </c>
      <c r="F111" s="41" t="n">
        <f aca="false">IFERROR(__xludf.dummyfunction("""COMPUTED_VALUE"""),7)</f>
        <v>7</v>
      </c>
      <c r="G111" s="37" t="str">
        <f aca="false">IFERROR(__xludf.dummyfunction("""COMPUTED_VALUE"""),"20:30-22:00")</f>
        <v>20:30-22:00</v>
      </c>
      <c r="H111" s="42" t="str">
        <f aca="false">IFERROR(__xludf.dummyfunction("""COMPUTED_VALUE"""),"https://hocmai.vn/file.php/3126/Tai_lieu_bai_giang/SLKH_2627/TLHS_TOS_V-ACT_KH04.pdf")</f>
        <v>https://hocmai.vn/file.php/3126/Tai_lieu_bai_giang/SLKH_2627/TLHS_TOS_V-ACT_KH04.pdf</v>
      </c>
      <c r="I111" s="42" t="str">
        <f aca="false">IFERROR(__xludf.dummyfunction("""COMPUTED_VALUE"""),"https://hocmai.vn/file.php/3340/Bai_tap_tu_luyen/26-27/NVHT_TOV_V-ACT_KH04_Thuc_hanh_ky_nang_scan_skim_-_Chon_tu_khoa_trong_van_ban_khoa_hoc_P2_.pdf")</f>
        <v>https://hocmai.vn/file.php/3340/Bai_tap_tu_luyen/26-27/NVHT_TOV_V-ACT_KH04_Thuc_hanh_ky_nang_scan_skim_-_Chon_tu_khoa_trong_van_ban_khoa_hoc_P2_.pdf</v>
      </c>
      <c r="J111" s="42" t="str">
        <f aca="false">IFERROR(__xludf.dummyfunction("""COMPUTED_VALUE"""),"https://drive.google.com/drive/folders/1pQp6d56CzIvfBC7bXfHLWE5vwweYt1Wi?usp=drive_link")</f>
        <v>https://drive.google.com/drive/folders/1pQp6d56CzIvfBC7bXfHLWE5vwweYt1Wi?usp=drive_link</v>
      </c>
      <c r="K111" s="68" t="str">
        <f aca="false">IFERROR(__xludf.dummyfunction("""COMPUTED_VALUE"""),"Kimnq")</f>
        <v>Kimnq</v>
      </c>
      <c r="L111" s="68" t="str">
        <f aca="false">IFERROR(__xludf.dummyfunction("""COMPUTED_VALUE"""),"Lê Quốc Việt")</f>
        <v>Lê Quốc Việt</v>
      </c>
      <c r="M111" s="71"/>
      <c r="N111" s="77" t="str">
        <f aca="false">IFERROR(__xludf.dummyfunction("""COMPUTED_VALUE"""),"3340,3126")</f>
        <v>3340,3126</v>
      </c>
      <c r="O111" s="73" t="n">
        <f aca="false">IFERROR(__xludf.dummyfunction("""COMPUTED_VALUE"""),167495.167381)</f>
        <v>167495.167381</v>
      </c>
      <c r="P111" s="63"/>
      <c r="Q111" s="63"/>
      <c r="R111" s="41"/>
      <c r="S111" s="41"/>
      <c r="T111" s="63"/>
      <c r="U111" s="63"/>
      <c r="V111" s="70" t="n">
        <f aca="false">IFERROR(__xludf.dummyfunction("""COMPUTED_VALUE"""),46217)</f>
        <v>46217</v>
      </c>
      <c r="W111" s="39" t="str">
        <f aca="false">IFERROR(__xludf.dummyfunction("""COMPUTED_VALUE"""),"Hoàn thành XB")</f>
        <v>Hoàn thành XB</v>
      </c>
      <c r="X111" s="41" t="str">
        <f aca="false">IFERROR(__xludf.dummyfunction("""COMPUTED_VALUE"""),"Kimnq")</f>
        <v>Kimnq</v>
      </c>
      <c r="Y111" s="44" t="str">
        <f aca="false">IFERROR(__xludf.dummyfunction("""COMPUTED_VALUE"""),"done")</f>
        <v>done</v>
      </c>
      <c r="Z111" s="57" t="str">
        <f aca="false">IFERROR(__xludf.dummyfunction("""COMPUTED_VALUE"""),"#N/A")</f>
        <v>#N/A</v>
      </c>
      <c r="AA111" s="57"/>
      <c r="AB111" s="41" t="n">
        <f aca="false">IFERROR(__xludf.dummyfunction("""COMPUTED_VALUE"""),7)</f>
        <v>7</v>
      </c>
      <c r="AC111" s="57" t="str">
        <f aca="false">IFERROR(__xludf.dummyfunction("""COMPUTED_VALUE"""),"gv.minhlv@hocmai.edu.vn		")</f>
        <v>gv.minhlv@hocmai.edu.vn		</v>
      </c>
      <c r="AD111" s="46" t="str">
        <f aca="false">IFERROR(__xludf.dummyfunction("""COMPUTED_VALUE"""),"Ralph02091@gmail.com")</f>
        <v>Ralph02091@gmail.com</v>
      </c>
      <c r="AE111" s="46"/>
      <c r="AF111" s="47" t="str">
        <f aca="false">IFERROR(__xludf.dummyfunction("""COMPUTED_VALUE"""),"lophoctoan-946214")</f>
        <v>lophoctoan-946214</v>
      </c>
      <c r="AG111" s="46" t="str">
        <f aca="false">IFERROR(__xludf.dummyfunction("""COMPUTED_VALUE"""),"")</f>
        <v/>
      </c>
      <c r="AH111" s="35"/>
      <c r="AI111" s="35"/>
      <c r="AJ111" s="35"/>
      <c r="AK111" s="35"/>
      <c r="AL111" s="35"/>
      <c r="AM111" s="53" t="b">
        <f aca="false">IFERROR(__xludf.dummyfunction("""COMPUTED_VALUE"""),TRUE())</f>
        <v>1</v>
      </c>
      <c r="AN111" s="53" t="b">
        <f aca="false">IFERROR(__xludf.dummyfunction("""COMPUTED_VALUE"""),TRUE())</f>
        <v>1</v>
      </c>
      <c r="AO111" s="46"/>
    </row>
    <row r="112" customFormat="false" ht="15.75" hidden="false" customHeight="true" outlineLevel="0" collapsed="false">
      <c r="A112" s="37" t="str">
        <f aca="false">IFERROR(__xludf.dummyfunction("""COMPUTED_VALUE"""),"Thực chiến Khoa học")</f>
        <v>Thực chiến Khoa học</v>
      </c>
      <c r="B112" s="37" t="str">
        <f aca="false">IFERROR(__xludf.dummyfunction("""COMPUTED_VALUE"""),"TC_TSA_KH_03")</f>
        <v>TC_TSA_KH_03</v>
      </c>
      <c r="C112" s="59" t="str">
        <f aca="false">IFERROR(__xludf.dummyfunction("""COMPUTED_VALUE"""),"[Bổ trợ]_Chữa bài tập TSA_Tư duy Khoa học số 03")</f>
        <v>[Bổ trợ]_Chữa bài tập TSA_Tư duy Khoa học số 03</v>
      </c>
      <c r="D112" s="39" t="str">
        <f aca="false">IFERROR(__xludf.dummyfunction("""COMPUTED_VALUE"""),"Nguyễn Trọng Trường Anh")</f>
        <v>Nguyễn Trọng Trường Anh</v>
      </c>
      <c r="E112" s="40" t="n">
        <f aca="false">IFERROR(__xludf.dummyfunction("""COMPUTED_VALUE"""),46214)</f>
        <v>46214</v>
      </c>
      <c r="F112" s="41" t="n">
        <f aca="false">IFERROR(__xludf.dummyfunction("""COMPUTED_VALUE"""),7)</f>
        <v>7</v>
      </c>
      <c r="G112" s="37" t="str">
        <f aca="false">IFERROR(__xludf.dummyfunction("""COMPUTED_VALUE"""),"19:00-20:00")</f>
        <v>19:00-20:00</v>
      </c>
      <c r="H112" s="37"/>
      <c r="I112" s="37"/>
      <c r="J112" s="42" t="str">
        <f aca="false">IFERROR(__xludf.dummyfunction("""COMPUTED_VALUE"""),"https://drive.google.com/drive/folders/1sKav0sR9IiX8s89WAhwpOzYWEfidmF1z")</f>
        <v>https://drive.google.com/drive/folders/1sKav0sR9IiX8s89WAhwpOzYWEfidmF1z</v>
      </c>
      <c r="K112" s="68" t="str">
        <f aca="false">IFERROR(__xludf.dummyfunction("""COMPUTED_VALUE"""),"Trangnth2")</f>
        <v>Trangnth2</v>
      </c>
      <c r="L112" s="68" t="str">
        <f aca="false">IFERROR(__xludf.dummyfunction("""COMPUTED_VALUE"""),"HOCMAI")</f>
        <v>HOCMAI</v>
      </c>
      <c r="M112" s="71"/>
      <c r="N112" s="77" t="str">
        <f aca="false">IFERROR(__xludf.dummyfunction("""COMPUTED_VALUE"""),"3110")</f>
        <v>3110</v>
      </c>
      <c r="O112" s="63" t="n">
        <f aca="false">IFERROR(__xludf.dummyfunction("""COMPUTED_VALUE"""),174812)</f>
        <v>174812</v>
      </c>
      <c r="P112" s="60" t="str">
        <f aca="false">IFERROR(__xludf.dummyfunction("""COMPUTED_VALUE"""),"https://hocmai.vn/bai-giang-truc-tuyen/174812/.html")</f>
        <v>https://hocmai.vn/bai-giang-truc-tuyen/174812/.html</v>
      </c>
      <c r="Q112" s="63"/>
      <c r="R112" s="41"/>
      <c r="S112" s="41"/>
      <c r="T112" s="63"/>
      <c r="U112" s="63"/>
      <c r="V112" s="70" t="n">
        <f aca="false">IFERROR(__xludf.dummyfunction("""COMPUTED_VALUE"""),46217)</f>
        <v>46217</v>
      </c>
      <c r="W112" s="39" t="str">
        <f aca="false">IFERROR(__xludf.dummyfunction("""COMPUTED_VALUE"""),"Hoàn thành XB")</f>
        <v>Hoàn thành XB</v>
      </c>
      <c r="X112" s="41" t="str">
        <f aca="false">IFERROR(__xludf.dummyfunction("""COMPUTED_VALUE"""),"Vuta")</f>
        <v>Vuta</v>
      </c>
      <c r="Y112" s="44"/>
      <c r="Z112" s="57"/>
      <c r="AA112" s="57"/>
      <c r="AB112" s="41" t="n">
        <f aca="false">IFERROR(__xludf.dummyfunction("""COMPUTED_VALUE"""),7)</f>
        <v>7</v>
      </c>
      <c r="AC112" s="57" t="str">
        <f aca="false">IFERROR(__xludf.dummyfunction("""COMPUTED_VALUE"""),"thochi1981@gmail.com")</f>
        <v>thochi1981@gmail.com</v>
      </c>
      <c r="AD112" s="46"/>
      <c r="AE112" s="46"/>
      <c r="AF112" s="47"/>
      <c r="AG112" s="46"/>
      <c r="AH112" s="53" t="b">
        <f aca="false">IFERROR(__xludf.dummyfunction("""COMPUTED_VALUE"""),FALSE())</f>
        <v>0</v>
      </c>
      <c r="AI112" s="53" t="b">
        <f aca="false">IFERROR(__xludf.dummyfunction("""COMPUTED_VALUE"""),TRUE())</f>
        <v>1</v>
      </c>
      <c r="AJ112" s="53" t="b">
        <f aca="false">IFERROR(__xludf.dummyfunction("""COMPUTED_VALUE"""),FALSE())</f>
        <v>0</v>
      </c>
      <c r="AK112" s="53" t="b">
        <f aca="false">IFERROR(__xludf.dummyfunction("""COMPUTED_VALUE"""),FALSE())</f>
        <v>0</v>
      </c>
      <c r="AL112" s="53" t="b">
        <f aca="false">IFERROR(__xludf.dummyfunction("""COMPUTED_VALUE"""),FALSE())</f>
        <v>0</v>
      </c>
      <c r="AM112" s="53" t="b">
        <f aca="false">IFERROR(__xludf.dummyfunction("""COMPUTED_VALUE"""),FALSE())</f>
        <v>0</v>
      </c>
      <c r="AN112" s="53" t="b">
        <f aca="false">IFERROR(__xludf.dummyfunction("""COMPUTED_VALUE"""),FALSE())</f>
        <v>0</v>
      </c>
      <c r="AO112" s="46"/>
    </row>
    <row r="113" customFormat="false" ht="15.75" hidden="false" customHeight="true" outlineLevel="0" collapsed="false">
      <c r="A113" s="37" t="str">
        <f aca="false">IFERROR(__xludf.dummyfunction("""COMPUTED_VALUE"""),"Toán")</f>
        <v>Toán</v>
      </c>
      <c r="B113" s="37" t="str">
        <f aca="false">IFERROR(__xludf.dummyfunction("""COMPUTED_VALUE"""),"NT_N_13")</f>
        <v>NT_N_13</v>
      </c>
      <c r="C113" s="59" t="str">
        <f aca="false">IFERROR(__xludf.dummyfunction("""COMPUTED_VALUE"""),"Nhận diện hàm số, đồ thị hàm số")</f>
        <v>Nhận diện hàm số, đồ thị hàm số</v>
      </c>
      <c r="D113" s="39" t="str">
        <f aca="false">IFERROR(__xludf.dummyfunction("""COMPUTED_VALUE"""),"Nguyễn Hoài Nam")</f>
        <v>Nguyễn Hoài Nam</v>
      </c>
      <c r="E113" s="40" t="n">
        <f aca="false">IFERROR(__xludf.dummyfunction("""COMPUTED_VALUE"""),46215)</f>
        <v>46215</v>
      </c>
      <c r="F113" s="41" t="str">
        <f aca="false">IFERROR(__xludf.dummyfunction("""COMPUTED_VALUE"""),"CN")</f>
        <v>CN</v>
      </c>
      <c r="G113" s="37" t="str">
        <f aca="false">IFERROR(__xludf.dummyfunction("""COMPUTED_VALUE"""),"21:00-22:30")</f>
        <v>21:00-22:30</v>
      </c>
      <c r="H113" s="42" t="str">
        <f aca="false">IFERROR(__xludf.dummyfunction("""COMPUTED_VALUE"""),"https://hocmai.vn/mod/scorm/view_file.php?inpopup=true&amp;id=182302")</f>
        <v>https://hocmai.vn/mod/scorm/view_file.php?inpopup=true&amp;id=182302</v>
      </c>
      <c r="I113" s="42" t="str">
        <f aca="false">IFERROR(__xludf.dummyfunction("""COMPUTED_VALUE"""),"https://hocmai.vn/mod/scorm/view_file.php?inpopup=true&amp;id=182330")</f>
        <v>https://hocmai.vn/mod/scorm/view_file.php?inpopup=true&amp;id=182330</v>
      </c>
      <c r="J113" s="42" t="str">
        <f aca="false">IFERROR(__xludf.dummyfunction("""COMPUTED_VALUE"""),"https://drive.google.com/drive/folders/1c_DmyuDAl6J14fYMB6I3AqIAJHLo8saj?usp=sharing")</f>
        <v>https://drive.google.com/drive/folders/1c_DmyuDAl6J14fYMB6I3AqIAJHLo8saj?usp=sharing</v>
      </c>
      <c r="K113" s="68" t="str">
        <f aca="false">IFERROR(__xludf.dummyfunction("""COMPUTED_VALUE"""),"lent")</f>
        <v>lent</v>
      </c>
      <c r="L113" s="68" t="str">
        <f aca="false">IFERROR(__xludf.dummyfunction("""COMPUTED_VALUE"""),"Tưởng Thị Huyền Trang")</f>
        <v>Tưởng Thị Huyền Trang</v>
      </c>
      <c r="M113" s="69" t="str">
        <f aca="false">IFERROR(__xludf.dummyfunction("""COMPUTED_VALUE"""),"https://hocmai.sharepoint.com/Education_Development/Lists/San_xuat_video/DispForm.aspx?ID=12200")</f>
        <v>https://hocmai.sharepoint.com/Education_Development/Lists/San_xuat_video/DispForm.aspx?ID=12200</v>
      </c>
      <c r="N113" s="78" t="n">
        <f aca="false">IFERROR(__xludf.dummyfunction("""COMPUTED_VALUE"""),3313)</f>
        <v>3313</v>
      </c>
      <c r="O113" s="63" t="n">
        <f aca="false">IFERROR(__xludf.dummyfunction("""COMPUTED_VALUE"""),166638)</f>
        <v>166638</v>
      </c>
      <c r="P113" s="63"/>
      <c r="Q113" s="63" t="n">
        <f aca="false">IFERROR(__xludf.dummyfunction("""COMPUTED_VALUE"""),8022)</f>
        <v>8022</v>
      </c>
      <c r="R113" s="41"/>
      <c r="S113" s="41"/>
      <c r="T113" s="63" t="n">
        <f aca="false">IFERROR(__xludf.dummyfunction("""COMPUTED_VALUE"""),8023)</f>
        <v>8023</v>
      </c>
      <c r="U113" s="63" t="n">
        <f aca="false">IFERROR(__xludf.dummyfunction("""COMPUTED_VALUE"""),23913)</f>
        <v>23913</v>
      </c>
      <c r="V113" s="70" t="n">
        <f aca="false">IFERROR(__xludf.dummyfunction("""COMPUTED_VALUE"""),46217)</f>
        <v>46217</v>
      </c>
      <c r="W113" s="39" t="str">
        <f aca="false">IFERROR(__xludf.dummyfunction("""COMPUTED_VALUE"""),"Hoàn thành XB")</f>
        <v>Hoàn thành XB</v>
      </c>
      <c r="X113" s="41" t="str">
        <f aca="false">IFERROR(__xludf.dummyfunction("""COMPUTED_VALUE"""),"Huent7")</f>
        <v>Huent7</v>
      </c>
      <c r="Y113" s="44"/>
      <c r="Z113" s="57"/>
      <c r="AA113" s="57"/>
      <c r="AB113" s="41" t="n">
        <f aca="false">IFERROR(__xludf.dummyfunction("""COMPUTED_VALUE"""),7)</f>
        <v>7</v>
      </c>
      <c r="AC113" s="57"/>
      <c r="AD113" s="46"/>
      <c r="AE113" s="46"/>
      <c r="AF113" s="47" t="str">
        <f aca="false">IFERROR(__xludf.dummyfunction("""COMPUTED_VALUE"""),"lophoctoan-946215")</f>
        <v>lophoctoan-946215</v>
      </c>
      <c r="AG113" s="46" t="str">
        <f aca="false">IFERROR(__xludf.dummyfunction("""COMPUTED_VALUE"""),"")</f>
        <v/>
      </c>
      <c r="AH113" s="53" t="b">
        <f aca="false">IFERROR(__xludf.dummyfunction("""COMPUTED_VALUE"""),TRUE())</f>
        <v>1</v>
      </c>
      <c r="AI113" s="35"/>
      <c r="AJ113" s="35"/>
      <c r="AK113" s="35"/>
      <c r="AL113" s="35"/>
      <c r="AM113" s="35"/>
      <c r="AN113" s="35"/>
      <c r="AO113" s="46"/>
    </row>
    <row r="114" customFormat="false" ht="15.75" hidden="false" customHeight="true" outlineLevel="0" collapsed="false">
      <c r="A114" s="37" t="str">
        <f aca="false">IFERROR(__xludf.dummyfunction("""COMPUTED_VALUE"""),"Toán")</f>
        <v>Toán</v>
      </c>
      <c r="B114" s="37" t="str">
        <f aca="false">IFERROR(__xludf.dummyfunction("""COMPUTED_VALUE"""),"NT_T_29")</f>
        <v>NT_T_29</v>
      </c>
      <c r="C114" s="59" t="str">
        <f aca="false">IFERROR(__xludf.dummyfunction("""COMPUTED_VALUE"""),"Ứng dụng tích phân tính thể tích vật thể")</f>
        <v>Ứng dụng tích phân tính thể tích vật thể</v>
      </c>
      <c r="D114" s="39" t="str">
        <f aca="false">IFERROR(__xludf.dummyfunction("""COMPUTED_VALUE"""),"Nguyễn Thanh Tùng")</f>
        <v>Nguyễn Thanh Tùng</v>
      </c>
      <c r="E114" s="40" t="n">
        <f aca="false">IFERROR(__xludf.dummyfunction("""COMPUTED_VALUE"""),46215)</f>
        <v>46215</v>
      </c>
      <c r="F114" s="41" t="str">
        <f aca="false">IFERROR(__xludf.dummyfunction("""COMPUTED_VALUE"""),"CN")</f>
        <v>CN</v>
      </c>
      <c r="G114" s="37" t="str">
        <f aca="false">IFERROR(__xludf.dummyfunction("""COMPUTED_VALUE"""),"18:00-20:00")</f>
        <v>18:00-20:00</v>
      </c>
      <c r="H114" s="37"/>
      <c r="I114" s="37"/>
      <c r="J114" s="42" t="str">
        <f aca="false">IFERROR(__xludf.dummyfunction("""COMPUTED_VALUE"""),"https://drive.google.com/drive/folders/10KhC06VqgRoZG77TEKfFm6gIkSIsKrwY?usp=drive_link")</f>
        <v>https://drive.google.com/drive/folders/10KhC06VqgRoZG77TEKfFm6gIkSIsKrwY?usp=drive_link</v>
      </c>
      <c r="K114" s="68" t="str">
        <f aca="false">IFERROR(__xludf.dummyfunction("""COMPUTED_VALUE"""),"Chientd2")</f>
        <v>Chientd2</v>
      </c>
      <c r="L114" s="68" t="str">
        <f aca="false">IFERROR(__xludf.dummyfunction("""COMPUTED_VALUE"""),"Tưởng Thị Huyền Trang")</f>
        <v>Tưởng Thị Huyền Trang</v>
      </c>
      <c r="M114" s="69" t="str">
        <f aca="false">IFERROR(__xludf.dummyfunction("""COMPUTED_VALUE"""),"https://hocmai.sharepoint.com/Education_Development/Lists/San_xuat_video/DispForm.aspx?ID=12168")</f>
        <v>https://hocmai.sharepoint.com/Education_Development/Lists/San_xuat_video/DispForm.aspx?ID=12168</v>
      </c>
      <c r="N114" s="63" t="n">
        <f aca="false">IFERROR(__xludf.dummyfunction("""COMPUTED_VALUE"""),3312)</f>
        <v>3312</v>
      </c>
      <c r="O114" s="63" t="n">
        <f aca="false">IFERROR(__xludf.dummyfunction("""COMPUTED_VALUE"""),166562)</f>
        <v>166562</v>
      </c>
      <c r="P114" s="63"/>
      <c r="Q114" s="63" t="n">
        <f aca="false">IFERROR(__xludf.dummyfunction("""COMPUTED_VALUE"""),7940)</f>
        <v>7940</v>
      </c>
      <c r="R114" s="41"/>
      <c r="S114" s="41"/>
      <c r="T114" s="63" t="n">
        <f aca="false">IFERROR(__xludf.dummyfunction("""COMPUTED_VALUE"""),7941)</f>
        <v>7941</v>
      </c>
      <c r="U114" s="63" t="n">
        <f aca="false">IFERROR(__xludf.dummyfunction("""COMPUTED_VALUE"""),23943)</f>
        <v>23943</v>
      </c>
      <c r="V114" s="70" t="n">
        <f aca="false">IFERROR(__xludf.dummyfunction("""COMPUTED_VALUE"""),46218)</f>
        <v>46218</v>
      </c>
      <c r="W114" s="39" t="str">
        <f aca="false">IFERROR(__xludf.dummyfunction("""COMPUTED_VALUE"""),"Hoàn thành XB")</f>
        <v>Hoàn thành XB</v>
      </c>
      <c r="X114" s="41" t="str">
        <f aca="false">IFERROR(__xludf.dummyfunction("""COMPUTED_VALUE"""),"Huent7")</f>
        <v>Huent7</v>
      </c>
      <c r="Y114" s="44"/>
      <c r="Z114" s="57"/>
      <c r="AA114" s="57"/>
      <c r="AB114" s="41" t="n">
        <f aca="false">IFERROR(__xludf.dummyfunction("""COMPUTED_VALUE"""),7)</f>
        <v>7</v>
      </c>
      <c r="AC114" s="57"/>
      <c r="AD114" s="46"/>
      <c r="AE114" s="46"/>
      <c r="AF114" s="47" t="str">
        <f aca="false">IFERROR(__xludf.dummyfunction("""COMPUTED_VALUE"""),"lophoctoan-946215")</f>
        <v>lophoctoan-946215</v>
      </c>
      <c r="AG114" s="46" t="str">
        <f aca="false">IFERROR(__xludf.dummyfunction("""COMPUTED_VALUE"""),"")</f>
        <v/>
      </c>
      <c r="AH114" s="53" t="b">
        <f aca="false">IFERROR(__xludf.dummyfunction("""COMPUTED_VALUE"""),TRUE())</f>
        <v>1</v>
      </c>
      <c r="AI114" s="35"/>
      <c r="AJ114" s="35"/>
      <c r="AK114" s="35"/>
      <c r="AL114" s="35"/>
      <c r="AM114" s="35"/>
      <c r="AN114" s="35"/>
      <c r="AO114" s="46"/>
    </row>
    <row r="115" customFormat="false" ht="15.75" hidden="false" customHeight="true" outlineLevel="0" collapsed="false">
      <c r="A115" s="37" t="str">
        <f aca="false">IFERROR(__xludf.dummyfunction("""COMPUTED_VALUE"""),"Thực chiến Đọc hiểu")</f>
        <v>Thực chiến Đọc hiểu</v>
      </c>
      <c r="B115" s="37" t="str">
        <f aca="false">IFERROR(__xludf.dummyfunction("""COMPUTED_VALUE"""),"TC_TSA_DH_01")</f>
        <v>TC_TSA_DH_01</v>
      </c>
      <c r="C115" s="59" t="str">
        <f aca="false">IFERROR(__xludf.dummyfunction("""COMPUTED_VALUE"""),"[Bổ trợ]_Chữa bài tập TSA_Tư duy Đọc hiểu số 01")</f>
        <v>[Bổ trợ]_Chữa bài tập TSA_Tư duy Đọc hiểu số 01</v>
      </c>
      <c r="D115" s="39" t="str">
        <f aca="false">IFERROR(__xludf.dummyfunction("""COMPUTED_VALUE"""),"Đào Hồng Phúc")</f>
        <v>Đào Hồng Phúc</v>
      </c>
      <c r="E115" s="40" t="n">
        <f aca="false">IFERROR(__xludf.dummyfunction("""COMPUTED_VALUE"""),46215)</f>
        <v>46215</v>
      </c>
      <c r="F115" s="41" t="str">
        <f aca="false">IFERROR(__xludf.dummyfunction("""COMPUTED_VALUE"""),"CN")</f>
        <v>CN</v>
      </c>
      <c r="G115" s="37" t="str">
        <f aca="false">IFERROR(__xludf.dummyfunction("""COMPUTED_VALUE"""),"10:00-11:00")</f>
        <v>10:00-11:00</v>
      </c>
      <c r="H115" s="37"/>
      <c r="I115" s="37"/>
      <c r="J115" s="42" t="str">
        <f aca="false">IFERROR(__xludf.dummyfunction("""COMPUTED_VALUE"""),"https://drive.google.com/drive/folders/1XBKVwSlwZ9MTDmlFcWSavBBIPIXantMQ")</f>
        <v>https://drive.google.com/drive/folders/1XBKVwSlwZ9MTDmlFcWSavBBIPIXantMQ</v>
      </c>
      <c r="K115" s="68" t="str">
        <f aca="false">IFERROR(__xludf.dummyfunction("""COMPUTED_VALUE"""),"Hangvt3")</f>
        <v>Hangvt3</v>
      </c>
      <c r="L115" s="68" t="str">
        <f aca="false">IFERROR(__xludf.dummyfunction("""COMPUTED_VALUE"""),"HOCMAI")</f>
        <v>HOCMAI</v>
      </c>
      <c r="M115" s="71"/>
      <c r="N115" s="77" t="str">
        <f aca="false">IFERROR(__xludf.dummyfunction("""COMPUTED_VALUE"""),"3109")</f>
        <v>3109</v>
      </c>
      <c r="O115" s="63" t="n">
        <f aca="false">IFERROR(__xludf.dummyfunction("""COMPUTED_VALUE"""),174813)</f>
        <v>174813</v>
      </c>
      <c r="P115" s="60" t="str">
        <f aca="false">IFERROR(__xludf.dummyfunction("""COMPUTED_VALUE"""),"https://hocmai.vn/bai-giang-truc-tuyen/174813/.html")</f>
        <v>https://hocmai.vn/bai-giang-truc-tuyen/174813/.html</v>
      </c>
      <c r="Q115" s="63"/>
      <c r="R115" s="41"/>
      <c r="S115" s="41"/>
      <c r="T115" s="63"/>
      <c r="U115" s="63"/>
      <c r="V115" s="70" t="n">
        <f aca="false">IFERROR(__xludf.dummyfunction("""COMPUTED_VALUE"""),46218)</f>
        <v>46218</v>
      </c>
      <c r="W115" s="39" t="str">
        <f aca="false">IFERROR(__xludf.dummyfunction("""COMPUTED_VALUE"""),"Hoàn thành XB")</f>
        <v>Hoàn thành XB</v>
      </c>
      <c r="X115" s="41" t="str">
        <f aca="false">IFERROR(__xludf.dummyfunction("""COMPUTED_VALUE"""),"Vuta")</f>
        <v>Vuta</v>
      </c>
      <c r="Y115" s="44"/>
      <c r="Z115" s="57"/>
      <c r="AA115" s="57"/>
      <c r="AB115" s="41" t="n">
        <f aca="false">IFERROR(__xludf.dummyfunction("""COMPUTED_VALUE"""),7)</f>
        <v>7</v>
      </c>
      <c r="AC115" s="57" t="str">
        <f aca="false">IFERROR(__xludf.dummyfunction("""COMPUTED_VALUE"""),"0987781413")</f>
        <v>0987781413</v>
      </c>
      <c r="AD115" s="46"/>
      <c r="AE115" s="46"/>
      <c r="AF115" s="47"/>
      <c r="AG115" s="46"/>
      <c r="AH115" s="53" t="b">
        <f aca="false">IFERROR(__xludf.dummyfunction("""COMPUTED_VALUE"""),FALSE())</f>
        <v>0</v>
      </c>
      <c r="AI115" s="53" t="b">
        <f aca="false">IFERROR(__xludf.dummyfunction("""COMPUTED_VALUE"""),TRUE())</f>
        <v>1</v>
      </c>
      <c r="AJ115" s="53" t="b">
        <f aca="false">IFERROR(__xludf.dummyfunction("""COMPUTED_VALUE"""),FALSE())</f>
        <v>0</v>
      </c>
      <c r="AK115" s="53" t="b">
        <f aca="false">IFERROR(__xludf.dummyfunction("""COMPUTED_VALUE"""),FALSE())</f>
        <v>0</v>
      </c>
      <c r="AL115" s="53" t="b">
        <f aca="false">IFERROR(__xludf.dummyfunction("""COMPUTED_VALUE"""),FALSE())</f>
        <v>0</v>
      </c>
      <c r="AM115" s="53" t="b">
        <f aca="false">IFERROR(__xludf.dummyfunction("""COMPUTED_VALUE"""),FALSE())</f>
        <v>0</v>
      </c>
      <c r="AN115" s="53" t="b">
        <f aca="false">IFERROR(__xludf.dummyfunction("""COMPUTED_VALUE"""),FALSE())</f>
        <v>0</v>
      </c>
      <c r="AO115" s="46"/>
    </row>
    <row r="116" customFormat="false" ht="15.75" hidden="false" customHeight="true" outlineLevel="0" collapsed="false">
      <c r="A116" s="37" t="str">
        <f aca="false">IFERROR(__xludf.dummyfunction("""COMPUTED_VALUE"""),"Đọc hiểu")</f>
        <v>Đọc hiểu</v>
      </c>
      <c r="B116" s="37" t="str">
        <f aca="false">IFERROR(__xludf.dummyfunction("""COMPUTED_VALUE"""),"TOV_TSA_DH05")</f>
        <v>TOV_TSA_DH05</v>
      </c>
      <c r="C116" s="59" t="str">
        <f aca="false">IFERROR(__xludf.dummyfunction("""COMPUTED_VALUE"""),"Ý chính, chủ đề và thông tin trong văn bản")</f>
        <v>Ý chính, chủ đề và thông tin trong văn bản</v>
      </c>
      <c r="D116" s="39" t="str">
        <f aca="false">IFERROR(__xludf.dummyfunction("""COMPUTED_VALUE"""),"Vũ Khắc Ngọc")</f>
        <v>Vũ Khắc Ngọc</v>
      </c>
      <c r="E116" s="40" t="n">
        <f aca="false">IFERROR(__xludf.dummyfunction("""COMPUTED_VALUE"""),46216)</f>
        <v>46216</v>
      </c>
      <c r="F116" s="41" t="n">
        <f aca="false">IFERROR(__xludf.dummyfunction("""COMPUTED_VALUE"""),2)</f>
        <v>2</v>
      </c>
      <c r="G116" s="37" t="str">
        <f aca="false">IFERROR(__xludf.dummyfunction("""COMPUTED_VALUE"""),"21:30-23:30")</f>
        <v>21:30-23:30</v>
      </c>
      <c r="H116" s="37"/>
      <c r="I116" s="37"/>
      <c r="J116" s="42" t="str">
        <f aca="false">IFERROR(__xludf.dummyfunction("""COMPUTED_VALUE"""),"https://drive.google.com/file/d/1-zYJl-bhmahoggqStwOK_pyZlaMyJ91Z/view?usp=drive_link")</f>
        <v>https://drive.google.com/file/d/1-zYJl-bhmahoggqStwOK_pyZlaMyJ91Z/view?usp=drive_link</v>
      </c>
      <c r="K116" s="68" t="str">
        <f aca="false">IFERROR(__xludf.dummyfunction("""COMPUTED_VALUE"""),"Hangvt3")</f>
        <v>Hangvt3</v>
      </c>
      <c r="L116" s="68" t="str">
        <f aca="false">IFERROR(__xludf.dummyfunction("""COMPUTED_VALUE"""),"Phan Đức Kiên")</f>
        <v>Phan Đức Kiên</v>
      </c>
      <c r="M116" s="71"/>
      <c r="N116" s="77" t="str">
        <f aca="false">IFERROR(__xludf.dummyfunction("""COMPUTED_VALUE"""),"3109")</f>
        <v>3109</v>
      </c>
      <c r="O116" s="63" t="n">
        <f aca="false">IFERROR(__xludf.dummyfunction("""COMPUTED_VALUE"""),167228)</f>
        <v>167228</v>
      </c>
      <c r="P116" s="63"/>
      <c r="Q116" s="63"/>
      <c r="R116" s="41"/>
      <c r="S116" s="41"/>
      <c r="T116" s="63"/>
      <c r="U116" s="63"/>
      <c r="V116" s="70" t="n">
        <f aca="false">IFERROR(__xludf.dummyfunction("""COMPUTED_VALUE"""),46219)</f>
        <v>46219</v>
      </c>
      <c r="W116" s="39" t="str">
        <f aca="false">IFERROR(__xludf.dummyfunction("""COMPUTED_VALUE"""),"Hoàn thành XB")</f>
        <v>Hoàn thành XB</v>
      </c>
      <c r="X116" s="41" t="str">
        <f aca="false">IFERROR(__xludf.dummyfunction("""COMPUTED_VALUE"""),"Hoantt")</f>
        <v>Hoantt</v>
      </c>
      <c r="Y116" s="44" t="str">
        <f aca="false">IFERROR(__xludf.dummyfunction("""COMPUTED_VALUE"""),"done")</f>
        <v>done</v>
      </c>
      <c r="Z116" s="57" t="str">
        <f aca="false">IFERROR(__xludf.dummyfunction("""COMPUTED_VALUE"""),"#N/A")</f>
        <v>#N/A</v>
      </c>
      <c r="AA116" s="57"/>
      <c r="AB116" s="41" t="n">
        <f aca="false">IFERROR(__xludf.dummyfunction("""COMPUTED_VALUE"""),7)</f>
        <v>7</v>
      </c>
      <c r="AC116" s="57" t="str">
        <f aca="false">IFERROR(__xludf.dummyfunction("""COMPUTED_VALUE"""),"gv.ngocvk@hocmai.edu.vn")</f>
        <v>gv.ngocvk@hocmai.edu.vn</v>
      </c>
      <c r="AD116" s="46" t="str">
        <f aca="false">IFERROR(__xludf.dummyfunction("""COMPUTED_VALUE"""),"duckien010607@gmail.com")</f>
        <v>duckien010607@gmail.com</v>
      </c>
      <c r="AE116" s="46"/>
      <c r="AF116" s="47" t="str">
        <f aca="false">IFERROR(__xludf.dummyfunction("""COMPUTED_VALUE"""),"lophoctoan-946216")</f>
        <v>lophoctoan-946216</v>
      </c>
      <c r="AG116" s="46" t="str">
        <f aca="false">IFERROR(__xludf.dummyfunction("""COMPUTED_VALUE"""),"")</f>
        <v/>
      </c>
      <c r="AH116" s="35"/>
      <c r="AI116" s="53" t="b">
        <f aca="false">IFERROR(__xludf.dummyfunction("""COMPUTED_VALUE"""),TRUE())</f>
        <v>1</v>
      </c>
      <c r="AJ116" s="35"/>
      <c r="AK116" s="35"/>
      <c r="AL116" s="35"/>
      <c r="AM116" s="35"/>
      <c r="AN116" s="35"/>
      <c r="AO116" s="46"/>
    </row>
    <row r="117" customFormat="false" ht="15.75" hidden="false" customHeight="true" outlineLevel="0" collapsed="false">
      <c r="A117" s="37" t="str">
        <f aca="false">IFERROR(__xludf.dummyfunction("""COMPUTED_VALUE"""),"Tiếng Anh")</f>
        <v>Tiếng Anh</v>
      </c>
      <c r="B117" s="37" t="str">
        <f aca="false">IFERROR(__xludf.dummyfunction("""COMPUTED_VALUE"""),"TOV_HV_TA05")</f>
        <v>TOV_HV_TA05</v>
      </c>
      <c r="C117" s="59" t="str">
        <f aca="false">IFERROR(__xludf.dummyfunction("""COMPUTED_VALUE"""),"Câu so sánh - Câu bị động - Câu đảo ngữ")</f>
        <v>Câu so sánh - Câu bị động - Câu đảo ngữ</v>
      </c>
      <c r="D117" s="39" t="str">
        <f aca="false">IFERROR(__xludf.dummyfunction("""COMPUTED_VALUE"""),"Nguyễn Thanh Hương")</f>
        <v>Nguyễn Thanh Hương</v>
      </c>
      <c r="E117" s="40" t="n">
        <f aca="false">IFERROR(__xludf.dummyfunction("""COMPUTED_VALUE"""),46216)</f>
        <v>46216</v>
      </c>
      <c r="F117" s="41" t="n">
        <f aca="false">IFERROR(__xludf.dummyfunction("""COMPUTED_VALUE"""),2)</f>
        <v>2</v>
      </c>
      <c r="G117" s="37" t="str">
        <f aca="false">IFERROR(__xludf.dummyfunction("""COMPUTED_VALUE"""),"20:00-22:00")</f>
        <v>20:00-22:00</v>
      </c>
      <c r="H117" s="37"/>
      <c r="I117" s="37"/>
      <c r="J117" s="42" t="str">
        <f aca="false">IFERROR(__xludf.dummyfunction("""COMPUTED_VALUE"""),"https://drive.google.com/file/d/1k0TNqoVrHfILUmlcMl__AplVLtSfxhRM/view?usp=drive_link")</f>
        <v>https://drive.google.com/file/d/1k0TNqoVrHfILUmlcMl__AplVLtSfxhRM/view?usp=drive_link</v>
      </c>
      <c r="K117" s="68" t="str">
        <f aca="false">IFERROR(__xludf.dummyfunction("""COMPUTED_VALUE"""),"huyennn2")</f>
        <v>huyennn2</v>
      </c>
      <c r="L117" s="68" t="str">
        <f aca="false">IFERROR(__xludf.dummyfunction("""COMPUTED_VALUE"""),"Nguyễn Lê Thụy Quyên ")</f>
        <v>Nguyễn Lê Thụy Quyên </v>
      </c>
      <c r="M117" s="71"/>
      <c r="N117" s="77" t="str">
        <f aca="false">IFERROR(__xludf.dummyfunction("""COMPUTED_VALUE"""),"3140,3165,3339")</f>
        <v>3140,3165,3339</v>
      </c>
      <c r="O117" s="73" t="str">
        <f aca="false">IFERROR(__xludf.dummyfunction("""COMPUTED_VALUE"""),"167541,167609,167633")</f>
        <v>167541,167609,167633</v>
      </c>
      <c r="P117" s="63" t="str">
        <f aca="false">IFERROR(__xludf.dummyfunction("""COMPUTED_VALUE"""),"9030,9038,9047,9119")</f>
        <v>9030,9038,9047,9119</v>
      </c>
      <c r="Q117" s="63"/>
      <c r="R117" s="41"/>
      <c r="S117" s="41"/>
      <c r="T117" s="63"/>
      <c r="U117" s="63"/>
      <c r="V117" s="70" t="n">
        <f aca="false">IFERROR(__xludf.dummyfunction("""COMPUTED_VALUE"""),46219)</f>
        <v>46219</v>
      </c>
      <c r="W117" s="39" t="str">
        <f aca="false">IFERROR(__xludf.dummyfunction("""COMPUTED_VALUE"""),"Hoàn thành XB")</f>
        <v>Hoàn thành XB</v>
      </c>
      <c r="X117" s="41" t="str">
        <f aca="false">IFERROR(__xludf.dummyfunction("""COMPUTED_VALUE"""),"huyennn2")</f>
        <v>huyennn2</v>
      </c>
      <c r="Y117" s="44" t="str">
        <f aca="false">IFERROR(__xludf.dummyfunction("""COMPUTED_VALUE"""),"done")</f>
        <v>done</v>
      </c>
      <c r="Z117" s="57" t="str">
        <f aca="false">IFERROR(__xludf.dummyfunction("""COMPUTED_VALUE"""),"#N/A")</f>
        <v>#N/A</v>
      </c>
      <c r="AA117" s="57"/>
      <c r="AB117" s="41" t="n">
        <f aca="false">IFERROR(__xludf.dummyfunction("""COMPUTED_VALUE"""),7)</f>
        <v>7</v>
      </c>
      <c r="AC117" s="57" t="str">
        <f aca="false">IFERROR(__xludf.dummyfunction("""COMPUTED_VALUE"""),"gv.huongnt@hocmai.edu.vn ")</f>
        <v>gv.huongnt@hocmai.edu.vn </v>
      </c>
      <c r="AD117" s="46" t="str">
        <f aca="false">IFERROR(__xludf.dummyfunction("""COMPUTED_VALUE"""),"nguyenlethuyquyencp@gmail.com")</f>
        <v>nguyenlethuyquyencp@gmail.com</v>
      </c>
      <c r="AE117" s="46"/>
      <c r="AF117" s="47" t="str">
        <f aca="false">IFERROR(__xludf.dummyfunction("""COMPUTED_VALUE"""),"lophoctienganh46216")</f>
        <v>lophoctienganh46216</v>
      </c>
      <c r="AG117" s="46" t="str">
        <f aca="false">IFERROR(__xludf.dummyfunction("""COMPUTED_VALUE"""),"")</f>
        <v/>
      </c>
      <c r="AH117" s="35"/>
      <c r="AI117" s="35"/>
      <c r="AJ117" s="53" t="b">
        <f aca="false">IFERROR(__xludf.dummyfunction("""COMPUTED_VALUE"""),TRUE())</f>
        <v>1</v>
      </c>
      <c r="AK117" s="53" t="b">
        <f aca="false">IFERROR(__xludf.dummyfunction("""COMPUTED_VALUE"""),TRUE())</f>
        <v>1</v>
      </c>
      <c r="AL117" s="35"/>
      <c r="AM117" s="53" t="b">
        <f aca="false">IFERROR(__xludf.dummyfunction("""COMPUTED_VALUE"""),TRUE())</f>
        <v>1</v>
      </c>
      <c r="AN117" s="53" t="b">
        <f aca="false">IFERROR(__xludf.dummyfunction("""COMPUTED_VALUE"""),TRUE())</f>
        <v>1</v>
      </c>
      <c r="AO117" s="46"/>
    </row>
    <row r="118" customFormat="false" ht="15.75" hidden="false" customHeight="true" outlineLevel="0" collapsed="false">
      <c r="A118" s="37" t="str">
        <f aca="false">IFERROR(__xludf.dummyfunction("""COMPUTED_VALUE"""),"Hóa học")</f>
        <v>Hóa học</v>
      </c>
      <c r="B118" s="37" t="str">
        <f aca="false">IFERROR(__xludf.dummyfunction("""COMPUTED_VALUE"""),"TOV_HSA_HH05")</f>
        <v>TOV_HSA_HH05</v>
      </c>
      <c r="C118" s="59" t="str">
        <f aca="false">IFERROR(__xludf.dummyfunction("""COMPUTED_VALUE"""),"Tốc độ phản ứng và cân bằng hóa học")</f>
        <v>Tốc độ phản ứng và cân bằng hóa học</v>
      </c>
      <c r="D118" s="39" t="str">
        <f aca="false">IFERROR(__xludf.dummyfunction("""COMPUTED_VALUE"""),"Chu Hải Long")</f>
        <v>Chu Hải Long</v>
      </c>
      <c r="E118" s="40" t="n">
        <f aca="false">IFERROR(__xludf.dummyfunction("""COMPUTED_VALUE"""),46216)</f>
        <v>46216</v>
      </c>
      <c r="F118" s="41" t="n">
        <f aca="false">IFERROR(__xludf.dummyfunction("""COMPUTED_VALUE"""),2)</f>
        <v>2</v>
      </c>
      <c r="G118" s="37" t="str">
        <f aca="false">IFERROR(__xludf.dummyfunction("""COMPUTED_VALUE"""),"19:45-21:45")</f>
        <v>19:45-21:45</v>
      </c>
      <c r="H118" s="42" t="str">
        <f aca="false">IFERROR(__xludf.dummyfunction("""COMPUTED_VALUE"""),"https://hocmai.vn/mod/scorm/view_file.php?id=182289")</f>
        <v>https://hocmai.vn/mod/scorm/view_file.php?id=182289</v>
      </c>
      <c r="I118" s="42" t="str">
        <f aca="false">IFERROR(__xludf.dummyfunction("""COMPUTED_VALUE"""),"https://hocmai.vn/mod/scorm/view_file.php?id=182366")</f>
        <v>https://hocmai.vn/mod/scorm/view_file.php?id=182366</v>
      </c>
      <c r="J118" s="42" t="str">
        <f aca="false">IFERROR(__xludf.dummyfunction("""COMPUTED_VALUE"""),"5. TOV_HSA_HH05 – TỐC ĐỘ PHẢN ỨNG VÀ CÂN BẰNG HÓA HỌC")</f>
        <v>5. TOV_HSA_HH05 – TỐC ĐỘ PHẢN ỨNG VÀ CÂN BẰNG HÓA HỌC</v>
      </c>
      <c r="K118" s="68" t="str">
        <f aca="false">IFERROR(__xludf.dummyfunction("""COMPUTED_VALUE"""),"Huebt")</f>
        <v>Huebt</v>
      </c>
      <c r="L118" s="68" t="str">
        <f aca="false">IFERROR(__xludf.dummyfunction("""COMPUTED_VALUE"""),"Võ Hương Giang")</f>
        <v>Võ Hương Giang</v>
      </c>
      <c r="M118" s="71"/>
      <c r="N118" s="77" t="str">
        <f aca="false">IFERROR(__xludf.dummyfunction("""COMPUTED_VALUE"""),"3120")</f>
        <v>3120</v>
      </c>
      <c r="O118" s="63" t="n">
        <f aca="false">IFERROR(__xludf.dummyfunction("""COMPUTED_VALUE"""),167429)</f>
        <v>167429</v>
      </c>
      <c r="P118" s="63"/>
      <c r="Q118" s="63"/>
      <c r="R118" s="41"/>
      <c r="S118" s="41"/>
      <c r="T118" s="63" t="n">
        <f aca="false">IFERROR(__xludf.dummyfunction("""COMPUTED_VALUE"""),23958)</f>
        <v>23958</v>
      </c>
      <c r="U118" s="63" t="n">
        <f aca="false">IFERROR(__xludf.dummyfunction("""COMPUTED_VALUE"""),10482)</f>
        <v>10482</v>
      </c>
      <c r="V118" s="70" t="n">
        <f aca="false">IFERROR(__xludf.dummyfunction("""COMPUTED_VALUE"""),46219)</f>
        <v>46219</v>
      </c>
      <c r="W118" s="39" t="str">
        <f aca="false">IFERROR(__xludf.dummyfunction("""COMPUTED_VALUE"""),"Hoàn thành XB")</f>
        <v>Hoàn thành XB</v>
      </c>
      <c r="X118" s="41" t="str">
        <f aca="false">IFERROR(__xludf.dummyfunction("""COMPUTED_VALUE"""),"Huebt")</f>
        <v>Huebt</v>
      </c>
      <c r="Y118" s="44" t="str">
        <f aca="false">IFERROR(__xludf.dummyfunction("""COMPUTED_VALUE"""),"done")</f>
        <v>done</v>
      </c>
      <c r="Z118" s="57" t="str">
        <f aca="false">IFERROR(__xludf.dummyfunction("""COMPUTED_VALUE"""),"#N/A")</f>
        <v>#N/A</v>
      </c>
      <c r="AA118" s="57"/>
      <c r="AB118" s="41" t="n">
        <f aca="false">IFERROR(__xludf.dummyfunction("""COMPUTED_VALUE"""),7)</f>
        <v>7</v>
      </c>
      <c r="AC118" s="57" t="str">
        <f aca="false">IFERROR(__xludf.dummyfunction("""COMPUTED_VALUE"""),"gv.longch@hocmai.edu.vn")</f>
        <v>gv.longch@hocmai.edu.vn</v>
      </c>
      <c r="AD118" s="46" t="str">
        <f aca="false">IFERROR(__xludf.dummyfunction("""COMPUTED_VALUE"""),"giangvh@ctv.hocmai.vn")</f>
        <v>giangvh@ctv.hocmai.vn</v>
      </c>
      <c r="AE118" s="46"/>
      <c r="AF118" s="74" t="b">
        <f aca="false">IFERROR(__xludf.dummyfunction("""COMPUTED_VALUE"""),FALSE())</f>
        <v>0</v>
      </c>
      <c r="AG118" s="46" t="str">
        <f aca="false">IFERROR(__xludf.dummyfunction("""COMPUTED_VALUE"""),"")</f>
        <v/>
      </c>
      <c r="AH118" s="35"/>
      <c r="AI118" s="35"/>
      <c r="AJ118" s="53" t="b">
        <f aca="false">IFERROR(__xludf.dummyfunction("""COMPUTED_VALUE"""),TRUE())</f>
        <v>1</v>
      </c>
      <c r="AK118" s="53" t="b">
        <f aca="false">IFERROR(__xludf.dummyfunction("""COMPUTED_VALUE"""),TRUE())</f>
        <v>1</v>
      </c>
      <c r="AL118" s="35"/>
      <c r="AM118" s="35"/>
      <c r="AN118" s="35"/>
      <c r="AO118" s="46"/>
    </row>
    <row r="119" customFormat="false" ht="15.75" hidden="false" customHeight="true" outlineLevel="0" collapsed="false">
      <c r="A119" s="37" t="str">
        <f aca="false">IFERROR(__xludf.dummyfunction("""COMPUTED_VALUE"""),"Thực chiến Toán")</f>
        <v>Thực chiến Toán</v>
      </c>
      <c r="B119" s="37" t="str">
        <f aca="false">IFERROR(__xludf.dummyfunction("""COMPUTED_VALUE"""),"TC_TSA_T_04")</f>
        <v>TC_TSA_T_04</v>
      </c>
      <c r="C119" s="59" t="str">
        <f aca="false">IFERROR(__xludf.dummyfunction("""COMPUTED_VALUE"""),"[Bổ trợ]_Chữa bài tập TSA_Tư duy Toán học số 04")</f>
        <v>[Bổ trợ]_Chữa bài tập TSA_Tư duy Toán học số 04</v>
      </c>
      <c r="D119" s="39" t="str">
        <f aca="false">IFERROR(__xludf.dummyfunction("""COMPUTED_VALUE"""),"Phạm Huy Hoàng")</f>
        <v>Phạm Huy Hoàng</v>
      </c>
      <c r="E119" s="40" t="n">
        <f aca="false">IFERROR(__xludf.dummyfunction("""COMPUTED_VALUE"""),46216)</f>
        <v>46216</v>
      </c>
      <c r="F119" s="41" t="n">
        <f aca="false">IFERROR(__xludf.dummyfunction("""COMPUTED_VALUE"""),2)</f>
        <v>2</v>
      </c>
      <c r="G119" s="37" t="str">
        <f aca="false">IFERROR(__xludf.dummyfunction("""COMPUTED_VALUE"""),"19:00-20:00")</f>
        <v>19:00-20:00</v>
      </c>
      <c r="H119" s="37"/>
      <c r="I119" s="37"/>
      <c r="J119" s="42" t="str">
        <f aca="false">IFERROR(__xludf.dummyfunction("""COMPUTED_VALUE"""),"https://drive.google.com/drive/folders/1z-V4IKMTnoil-9QZm4XdPI9cnpDu12PS?usp=drive_link")</f>
        <v>https://drive.google.com/drive/folders/1z-V4IKMTnoil-9QZm4XdPI9cnpDu12PS?usp=drive_link</v>
      </c>
      <c r="K119" s="68" t="str">
        <f aca="false">IFERROR(__xludf.dummyfunction("""COMPUTED_VALUE"""),"Locdd")</f>
        <v>Locdd</v>
      </c>
      <c r="L119" s="68" t="str">
        <f aca="false">IFERROR(__xludf.dummyfunction("""COMPUTED_VALUE"""),"HOCMAI")</f>
        <v>HOCMAI</v>
      </c>
      <c r="M119" s="71"/>
      <c r="N119" s="77" t="str">
        <f aca="false">IFERROR(__xludf.dummyfunction("""COMPUTED_VALUE"""),"3108")</f>
        <v>3108</v>
      </c>
      <c r="O119" s="63" t="n">
        <f aca="false">IFERROR(__xludf.dummyfunction("""COMPUTED_VALUE"""),175116)</f>
        <v>175116</v>
      </c>
      <c r="P119" s="60" t="str">
        <f aca="false">IFERROR(__xludf.dummyfunction("""COMPUTED_VALUE"""),"https://hocmai.vn/bai-giang-truc-tuyen/175116/.html")</f>
        <v>https://hocmai.vn/bai-giang-truc-tuyen/175116/.html</v>
      </c>
      <c r="Q119" s="63"/>
      <c r="R119" s="41"/>
      <c r="S119" s="41"/>
      <c r="T119" s="63"/>
      <c r="U119" s="63"/>
      <c r="V119" s="70" t="n">
        <f aca="false">IFERROR(__xludf.dummyfunction("""COMPUTED_VALUE"""),46219)</f>
        <v>46219</v>
      </c>
      <c r="W119" s="39" t="str">
        <f aca="false">IFERROR(__xludf.dummyfunction("""COMPUTED_VALUE"""),"Hoàn thành XB")</f>
        <v>Hoàn thành XB</v>
      </c>
      <c r="X119" s="41" t="str">
        <f aca="false">IFERROR(__xludf.dummyfunction("""COMPUTED_VALUE"""),"Vuta")</f>
        <v>Vuta</v>
      </c>
      <c r="Y119" s="44"/>
      <c r="Z119" s="57"/>
      <c r="AA119" s="57"/>
      <c r="AB119" s="41" t="n">
        <f aca="false">IFERROR(__xludf.dummyfunction("""COMPUTED_VALUE"""),7)</f>
        <v>7</v>
      </c>
      <c r="AC119" s="57" t="str">
        <f aca="false">IFERROR(__xludf.dummyfunction("""COMPUTED_VALUE"""),"0376611308")</f>
        <v>0376611308</v>
      </c>
      <c r="AD119" s="46"/>
      <c r="AE119" s="46"/>
      <c r="AF119" s="47"/>
      <c r="AG119" s="46"/>
      <c r="AH119" s="53" t="b">
        <f aca="false">IFERROR(__xludf.dummyfunction("""COMPUTED_VALUE"""),FALSE())</f>
        <v>0</v>
      </c>
      <c r="AI119" s="53" t="b">
        <f aca="false">IFERROR(__xludf.dummyfunction("""COMPUTED_VALUE"""),TRUE())</f>
        <v>1</v>
      </c>
      <c r="AJ119" s="53" t="b">
        <f aca="false">IFERROR(__xludf.dummyfunction("""COMPUTED_VALUE"""),FALSE())</f>
        <v>0</v>
      </c>
      <c r="AK119" s="53" t="b">
        <f aca="false">IFERROR(__xludf.dummyfunction("""COMPUTED_VALUE"""),FALSE())</f>
        <v>0</v>
      </c>
      <c r="AL119" s="53" t="b">
        <f aca="false">IFERROR(__xludf.dummyfunction("""COMPUTED_VALUE"""),FALSE())</f>
        <v>0</v>
      </c>
      <c r="AM119" s="53" t="b">
        <f aca="false">IFERROR(__xludf.dummyfunction("""COMPUTED_VALUE"""),FALSE())</f>
        <v>0</v>
      </c>
      <c r="AN119" s="53" t="b">
        <f aca="false">IFERROR(__xludf.dummyfunction("""COMPUTED_VALUE"""),FALSE())</f>
        <v>0</v>
      </c>
      <c r="AO119" s="46"/>
    </row>
    <row r="120" customFormat="false" ht="15.75" hidden="false" customHeight="true" outlineLevel="0" collapsed="false">
      <c r="A120" s="37" t="str">
        <f aca="false">IFERROR(__xludf.dummyfunction("""COMPUTED_VALUE"""),"Thực chiến Tiếng Anh")</f>
        <v>Thực chiến Tiếng Anh</v>
      </c>
      <c r="B120" s="37" t="str">
        <f aca="false">IFERROR(__xludf.dummyfunction("""COMPUTED_VALUE"""),"TC_HSA_TA_01")</f>
        <v>TC_HSA_TA_01</v>
      </c>
      <c r="C120" s="59" t="str">
        <f aca="false">IFERROR(__xludf.dummyfunction("""COMPUTED_VALUE"""),"[Bổ trợ]_Chữa bài tập _Tiếng Anh số 01")</f>
        <v>[Bổ trợ]_Chữa bài tập _Tiếng Anh số 01</v>
      </c>
      <c r="D120" s="39" t="str">
        <f aca="false">IFERROR(__xludf.dummyfunction("""COMPUTED_VALUE"""),"Trần Đức Lương")</f>
        <v>Trần Đức Lương</v>
      </c>
      <c r="E120" s="40" t="n">
        <f aca="false">IFERROR(__xludf.dummyfunction("""COMPUTED_VALUE"""),46216)</f>
        <v>46216</v>
      </c>
      <c r="F120" s="41" t="n">
        <f aca="false">IFERROR(__xludf.dummyfunction("""COMPUTED_VALUE"""),2)</f>
        <v>2</v>
      </c>
      <c r="G120" s="37" t="str">
        <f aca="false">IFERROR(__xludf.dummyfunction("""COMPUTED_VALUE"""),"18:00-19:00")</f>
        <v>18:00-19:00</v>
      </c>
      <c r="H120" s="37"/>
      <c r="I120" s="37"/>
      <c r="J120" s="42" t="str">
        <f aca="false">IFERROR(__xludf.dummyfunction("""COMPUTED_VALUE"""),"https://drive.google.com/drive/folders/1WcebBbpEUZVrhb_-tOT3rW-aNpm_109K?usp=sharing")</f>
        <v>https://drive.google.com/drive/folders/1WcebBbpEUZVrhb_-tOT3rW-aNpm_109K?usp=sharing</v>
      </c>
      <c r="K120" s="68" t="str">
        <f aca="false">IFERROR(__xludf.dummyfunction("""COMPUTED_VALUE"""),"Huyenn2")</f>
        <v>Huyenn2</v>
      </c>
      <c r="L120" s="68" t="str">
        <f aca="false">IFERROR(__xludf.dummyfunction("""COMPUTED_VALUE"""),"HOCMAI")</f>
        <v>HOCMAI</v>
      </c>
      <c r="M120" s="71"/>
      <c r="N120" s="77" t="str">
        <f aca="false">IFERROR(__xludf.dummyfunction("""COMPUTED_VALUE"""),"3140")</f>
        <v>3140</v>
      </c>
      <c r="O120" s="63" t="n">
        <f aca="false">IFERROR(__xludf.dummyfunction("""COMPUTED_VALUE"""),175194)</f>
        <v>175194</v>
      </c>
      <c r="P120" s="60" t="str">
        <f aca="false">IFERROR(__xludf.dummyfunction("""COMPUTED_VALUE"""),"https://hocmai.vn/bai-giang-truc-tuyen/175194/.html")</f>
        <v>https://hocmai.vn/bai-giang-truc-tuyen/175194/.html</v>
      </c>
      <c r="Q120" s="63"/>
      <c r="R120" s="41"/>
      <c r="S120" s="41"/>
      <c r="T120" s="63"/>
      <c r="U120" s="63"/>
      <c r="V120" s="70" t="n">
        <f aca="false">IFERROR(__xludf.dummyfunction("""COMPUTED_VALUE"""),46219)</f>
        <v>46219</v>
      </c>
      <c r="W120" s="39" t="str">
        <f aca="false">IFERROR(__xludf.dummyfunction("""COMPUTED_VALUE"""),"Hoàn thành XB")</f>
        <v>Hoàn thành XB</v>
      </c>
      <c r="X120" s="41" t="str">
        <f aca="false">IFERROR(__xludf.dummyfunction("""COMPUTED_VALUE"""),"Vuta")</f>
        <v>Vuta</v>
      </c>
      <c r="Y120" s="44"/>
      <c r="Z120" s="57"/>
      <c r="AA120" s="57"/>
      <c r="AB120" s="41" t="n">
        <f aca="false">IFERROR(__xludf.dummyfunction("""COMPUTED_VALUE"""),7)</f>
        <v>7</v>
      </c>
      <c r="AC120" s="57" t="str">
        <f aca="false">IFERROR(__xludf.dummyfunction("""COMPUTED_VALUE"""),"ss.hsa01@ctv.hocmai.vn")</f>
        <v>ss.hsa01@ctv.hocmai.vn</v>
      </c>
      <c r="AD120" s="46"/>
      <c r="AE120" s="46"/>
      <c r="AF120" s="47"/>
      <c r="AG120" s="46"/>
      <c r="AH120" s="53" t="b">
        <f aca="false">IFERROR(__xludf.dummyfunction("""COMPUTED_VALUE"""),FALSE())</f>
        <v>0</v>
      </c>
      <c r="AI120" s="53" t="b">
        <f aca="false">IFERROR(__xludf.dummyfunction("""COMPUTED_VALUE"""),FALSE())</f>
        <v>0</v>
      </c>
      <c r="AJ120" s="53" t="b">
        <f aca="false">IFERROR(__xludf.dummyfunction("""COMPUTED_VALUE"""),TRUE())</f>
        <v>1</v>
      </c>
      <c r="AK120" s="53" t="b">
        <f aca="false">IFERROR(__xludf.dummyfunction("""COMPUTED_VALUE"""),TRUE())</f>
        <v>1</v>
      </c>
      <c r="AL120" s="53" t="b">
        <f aca="false">IFERROR(__xludf.dummyfunction("""COMPUTED_VALUE"""),FALSE())</f>
        <v>0</v>
      </c>
      <c r="AM120" s="53" t="b">
        <f aca="false">IFERROR(__xludf.dummyfunction("""COMPUTED_VALUE"""),FALSE())</f>
        <v>0</v>
      </c>
      <c r="AN120" s="53" t="b">
        <f aca="false">IFERROR(__xludf.dummyfunction("""COMPUTED_VALUE"""),FALSE())</f>
        <v>0</v>
      </c>
      <c r="AO120" s="46"/>
    </row>
    <row r="121" customFormat="false" ht="15.75" hidden="false" customHeight="true" outlineLevel="0" collapsed="false">
      <c r="A121" s="37" t="str">
        <f aca="false">IFERROR(__xludf.dummyfunction("""COMPUTED_VALUE"""),"Thực chiến Vật lí")</f>
        <v>Thực chiến Vật lí</v>
      </c>
      <c r="B121" s="37" t="str">
        <f aca="false">IFERROR(__xludf.dummyfunction("""COMPUTED_VALUE"""),"TC_HSA_KH_01")</f>
        <v>TC_HSA_KH_01</v>
      </c>
      <c r="C121" s="59" t="str">
        <f aca="false">IFERROR(__xludf.dummyfunction("""COMPUTED_VALUE"""),"[Bổ trợ]_Chữa bài tập _Vật lí số 01")</f>
        <v>[Bổ trợ]_Chữa bài tập _Vật lí số 01</v>
      </c>
      <c r="D121" s="39" t="str">
        <f aca="false">IFERROR(__xludf.dummyfunction("""COMPUTED_VALUE"""),"Nguyễn Trọng Trường Anh")</f>
        <v>Nguyễn Trọng Trường Anh</v>
      </c>
      <c r="E121" s="40" t="n">
        <f aca="false">IFERROR(__xludf.dummyfunction("""COMPUTED_VALUE"""),46216)</f>
        <v>46216</v>
      </c>
      <c r="F121" s="41" t="n">
        <f aca="false">IFERROR(__xludf.dummyfunction("""COMPUTED_VALUE"""),2)</f>
        <v>2</v>
      </c>
      <c r="G121" s="37" t="str">
        <f aca="false">IFERROR(__xludf.dummyfunction("""COMPUTED_VALUE"""),"22:00-23:00")</f>
        <v>22:00-23:00</v>
      </c>
      <c r="H121" s="37"/>
      <c r="I121" s="37"/>
      <c r="J121" s="42" t="str">
        <f aca="false">IFERROR(__xludf.dummyfunction("""COMPUTED_VALUE"""),"https://drive.google.com/drive/folders/1XXK4bc0HmGit4Trs1OikvZKc5PRXH-Mi")</f>
        <v>https://drive.google.com/drive/folders/1XXK4bc0HmGit4Trs1OikvZKc5PRXH-Mi</v>
      </c>
      <c r="K121" s="68" t="str">
        <f aca="false">IFERROR(__xludf.dummyfunction("""COMPUTED_VALUE"""),"Trangnth2")</f>
        <v>Trangnth2</v>
      </c>
      <c r="L121" s="68" t="str">
        <f aca="false">IFERROR(__xludf.dummyfunction("""COMPUTED_VALUE"""),"HOCMAI")</f>
        <v>HOCMAI</v>
      </c>
      <c r="M121" s="71"/>
      <c r="N121" s="77" t="str">
        <f aca="false">IFERROR(__xludf.dummyfunction("""COMPUTED_VALUE"""),"3119")</f>
        <v>3119</v>
      </c>
      <c r="O121" s="63" t="n">
        <f aca="false">IFERROR(__xludf.dummyfunction("""COMPUTED_VALUE"""),175170)</f>
        <v>175170</v>
      </c>
      <c r="P121" s="60" t="str">
        <f aca="false">IFERROR(__xludf.dummyfunction("""COMPUTED_VALUE"""),"https://hocmai.vn/bai-giang-truc-tuyen/175170/.html")</f>
        <v>https://hocmai.vn/bai-giang-truc-tuyen/175170/.html</v>
      </c>
      <c r="Q121" s="63"/>
      <c r="R121" s="41"/>
      <c r="S121" s="41"/>
      <c r="T121" s="63"/>
      <c r="U121" s="63"/>
      <c r="V121" s="70" t="n">
        <f aca="false">IFERROR(__xludf.dummyfunction("""COMPUTED_VALUE"""),46219)</f>
        <v>46219</v>
      </c>
      <c r="W121" s="39" t="str">
        <f aca="false">IFERROR(__xludf.dummyfunction("""COMPUTED_VALUE"""),"Hoàn thành XB")</f>
        <v>Hoàn thành XB</v>
      </c>
      <c r="X121" s="41" t="str">
        <f aca="false">IFERROR(__xludf.dummyfunction("""COMPUTED_VALUE"""),"Vuta")</f>
        <v>Vuta</v>
      </c>
      <c r="Y121" s="44"/>
      <c r="Z121" s="57"/>
      <c r="AA121" s="57"/>
      <c r="AB121" s="41" t="n">
        <f aca="false">IFERROR(__xludf.dummyfunction("""COMPUTED_VALUE"""),7)</f>
        <v>7</v>
      </c>
      <c r="AC121" s="57" t="str">
        <f aca="false">IFERROR(__xludf.dummyfunction("""COMPUTED_VALUE"""),"thochi1981@gmail.com")</f>
        <v>thochi1981@gmail.com</v>
      </c>
      <c r="AD121" s="46"/>
      <c r="AE121" s="46"/>
      <c r="AF121" s="47"/>
      <c r="AG121" s="46"/>
      <c r="AH121" s="53" t="b">
        <f aca="false">IFERROR(__xludf.dummyfunction("""COMPUTED_VALUE"""),FALSE())</f>
        <v>0</v>
      </c>
      <c r="AI121" s="53" t="b">
        <f aca="false">IFERROR(__xludf.dummyfunction("""COMPUTED_VALUE"""),FALSE())</f>
        <v>0</v>
      </c>
      <c r="AJ121" s="53" t="b">
        <f aca="false">IFERROR(__xludf.dummyfunction("""COMPUTED_VALUE"""),TRUE())</f>
        <v>1</v>
      </c>
      <c r="AK121" s="53" t="b">
        <f aca="false">IFERROR(__xludf.dummyfunction("""COMPUTED_VALUE"""),TRUE())</f>
        <v>1</v>
      </c>
      <c r="AL121" s="53" t="b">
        <f aca="false">IFERROR(__xludf.dummyfunction("""COMPUTED_VALUE"""),FALSE())</f>
        <v>0</v>
      </c>
      <c r="AM121" s="53" t="b">
        <f aca="false">IFERROR(__xludf.dummyfunction("""COMPUTED_VALUE"""),FALSE())</f>
        <v>0</v>
      </c>
      <c r="AN121" s="53" t="b">
        <f aca="false">IFERROR(__xludf.dummyfunction("""COMPUTED_VALUE"""),FALSE())</f>
        <v>0</v>
      </c>
      <c r="AO121" s="46"/>
    </row>
    <row r="122" customFormat="false" ht="15.75" hidden="false" customHeight="true" outlineLevel="0" collapsed="false">
      <c r="A122" s="37" t="str">
        <f aca="false">IFERROR(__xludf.dummyfunction("""COMPUTED_VALUE"""),"Thực chiến Toán")</f>
        <v>Thực chiến Toán</v>
      </c>
      <c r="B122" s="37" t="str">
        <f aca="false">IFERROR(__xludf.dummyfunction("""COMPUTED_VALUE"""),"TC_V-ACT_T_01")</f>
        <v>TC_V-ACT_T_01</v>
      </c>
      <c r="C122" s="59" t="str">
        <f aca="false">IFERROR(__xludf.dummyfunction("""COMPUTED_VALUE"""),"[Bổ trợ]_Chữa bài tập_V-ACT_Toán số 01")</f>
        <v>[Bổ trợ]_Chữa bài tập_V-ACT_Toán số 01</v>
      </c>
      <c r="D122" s="39" t="str">
        <f aca="false">IFERROR(__xludf.dummyfunction("""COMPUTED_VALUE"""),"Lê Thế Anh")</f>
        <v>Lê Thế Anh</v>
      </c>
      <c r="E122" s="40" t="n">
        <f aca="false">IFERROR(__xludf.dummyfunction("""COMPUTED_VALUE"""),46216)</f>
        <v>46216</v>
      </c>
      <c r="F122" s="41" t="n">
        <f aca="false">IFERROR(__xludf.dummyfunction("""COMPUTED_VALUE"""),2)</f>
        <v>2</v>
      </c>
      <c r="G122" s="37" t="str">
        <f aca="false">IFERROR(__xludf.dummyfunction("""COMPUTED_VALUE"""),"18:45-19:45")</f>
        <v>18:45-19:45</v>
      </c>
      <c r="H122" s="37"/>
      <c r="I122" s="37"/>
      <c r="J122" s="42" t="str">
        <f aca="false">IFERROR(__xludf.dummyfunction("""COMPUTED_VALUE"""),"https://drive.google.com/drive/folders/1hG2IPc-z3HP3TeyGRPoAaYknWGCHRBX_?usp=sharing")</f>
        <v>https://drive.google.com/drive/folders/1hG2IPc-z3HP3TeyGRPoAaYknWGCHRBX_?usp=sharing</v>
      </c>
      <c r="K122" s="68" t="str">
        <f aca="false">IFERROR(__xludf.dummyfunction("""COMPUTED_VALUE"""),"lent")</f>
        <v>lent</v>
      </c>
      <c r="L122" s="68" t="str">
        <f aca="false">IFERROR(__xludf.dummyfunction("""COMPUTED_VALUE"""),"HOCMAI")</f>
        <v>HOCMAI</v>
      </c>
      <c r="M122" s="71"/>
      <c r="N122" s="77" t="str">
        <f aca="false">IFERROR(__xludf.dummyfunction("""COMPUTED_VALUE"""),"3124")</f>
        <v>3124</v>
      </c>
      <c r="O122" s="63" t="n">
        <f aca="false">IFERROR(__xludf.dummyfunction("""COMPUTED_VALUE"""),175176)</f>
        <v>175176</v>
      </c>
      <c r="P122" s="60" t="str">
        <f aca="false">IFERROR(__xludf.dummyfunction("""COMPUTED_VALUE"""),"https://hocmai.vn/bai-giang-truc-tuyen/175176/.html")</f>
        <v>https://hocmai.vn/bai-giang-truc-tuyen/175176/.html</v>
      </c>
      <c r="Q122" s="63"/>
      <c r="R122" s="41"/>
      <c r="S122" s="41"/>
      <c r="T122" s="63"/>
      <c r="U122" s="63"/>
      <c r="V122" s="70" t="n">
        <f aca="false">IFERROR(__xludf.dummyfunction("""COMPUTED_VALUE"""),46219)</f>
        <v>46219</v>
      </c>
      <c r="W122" s="39" t="str">
        <f aca="false">IFERROR(__xludf.dummyfunction("""COMPUTED_VALUE"""),"Hoàn thành XB")</f>
        <v>Hoàn thành XB</v>
      </c>
      <c r="X122" s="41" t="str">
        <f aca="false">IFERROR(__xludf.dummyfunction("""COMPUTED_VALUE"""),"Vuta")</f>
        <v>Vuta</v>
      </c>
      <c r="Y122" s="44"/>
      <c r="Z122" s="57"/>
      <c r="AA122" s="57"/>
      <c r="AB122" s="41" t="n">
        <f aca="false">IFERROR(__xludf.dummyfunction("""COMPUTED_VALUE"""),7)</f>
        <v>7</v>
      </c>
      <c r="AC122" s="57" t="str">
        <f aca="false">IFERROR(__xludf.dummyfunction("""COMPUTED_VALUE"""),"ss.vact01@ctv.hocmai.vn")</f>
        <v>ss.vact01@ctv.hocmai.vn</v>
      </c>
      <c r="AD122" s="46"/>
      <c r="AE122" s="46"/>
      <c r="AF122" s="47"/>
      <c r="AG122" s="46"/>
      <c r="AH122" s="53" t="b">
        <f aca="false">IFERROR(__xludf.dummyfunction("""COMPUTED_VALUE"""),FALSE())</f>
        <v>0</v>
      </c>
      <c r="AI122" s="53" t="b">
        <f aca="false">IFERROR(__xludf.dummyfunction("""COMPUTED_VALUE"""),FALSE())</f>
        <v>0</v>
      </c>
      <c r="AJ122" s="53" t="b">
        <f aca="false">IFERROR(__xludf.dummyfunction("""COMPUTED_VALUE"""),FALSE())</f>
        <v>0</v>
      </c>
      <c r="AK122" s="53" t="b">
        <f aca="false">IFERROR(__xludf.dummyfunction("""COMPUTED_VALUE"""),FALSE())</f>
        <v>0</v>
      </c>
      <c r="AL122" s="53" t="b">
        <f aca="false">IFERROR(__xludf.dummyfunction("""COMPUTED_VALUE"""),FALSE())</f>
        <v>0</v>
      </c>
      <c r="AM122" s="53" t="b">
        <f aca="false">IFERROR(__xludf.dummyfunction("""COMPUTED_VALUE"""),TRUE())</f>
        <v>1</v>
      </c>
      <c r="AN122" s="53" t="b">
        <f aca="false">IFERROR(__xludf.dummyfunction("""COMPUTED_VALUE"""),TRUE())</f>
        <v>1</v>
      </c>
      <c r="AO122" s="46"/>
    </row>
    <row r="123" customFormat="false" ht="15.75" hidden="false" customHeight="true" outlineLevel="0" collapsed="false">
      <c r="A123" s="37" t="str">
        <f aca="false">IFERROR(__xludf.dummyfunction("""COMPUTED_VALUE"""),"Toán")</f>
        <v>Toán</v>
      </c>
      <c r="B123" s="37" t="str">
        <f aca="false">IFERROR(__xludf.dummyfunction("""COMPUTED_VALUE"""),"TOV_TC_T05")</f>
        <v>TOV_TC_T05</v>
      </c>
      <c r="C123" s="59" t="str">
        <f aca="false">IFERROR(__xludf.dummyfunction("""COMPUTED_VALUE"""),"Ứng dụng đạo hàm giải bài toán chuyển động và bài toán nước dâng")</f>
        <v>Ứng dụng đạo hàm giải bài toán chuyển động và bài toán nước dâng</v>
      </c>
      <c r="D123" s="39" t="str">
        <f aca="false">IFERROR(__xludf.dummyfunction("""COMPUTED_VALUE"""),"Nguyễn Thanh Tùng")</f>
        <v>Nguyễn Thanh Tùng</v>
      </c>
      <c r="E123" s="40" t="n">
        <f aca="false">IFERROR(__xludf.dummyfunction("""COMPUTED_VALUE"""),46217)</f>
        <v>46217</v>
      </c>
      <c r="F123" s="41" t="n">
        <f aca="false">IFERROR(__xludf.dummyfunction("""COMPUTED_VALUE"""),3)</f>
        <v>3</v>
      </c>
      <c r="G123" s="37" t="str">
        <f aca="false">IFERROR(__xludf.dummyfunction("""COMPUTED_VALUE"""),"21:00-23:00")</f>
        <v>21:00-23:00</v>
      </c>
      <c r="H123" s="37"/>
      <c r="I123" s="37"/>
      <c r="J123" s="42" t="str">
        <f aca="false">IFERROR(__xludf.dummyfunction("""COMPUTED_VALUE"""),"https://drive.google.com/drive/folders/1iMRCdi3uXEM8OyIc8kF-47Uiupzee1ak?usp=drive_link")</f>
        <v>https://drive.google.com/drive/folders/1iMRCdi3uXEM8OyIc8kF-47Uiupzee1ak?usp=drive_link</v>
      </c>
      <c r="K123" s="68" t="str">
        <f aca="false">IFERROR(__xludf.dummyfunction("""COMPUTED_VALUE"""),"Chientd2")</f>
        <v>Chientd2</v>
      </c>
      <c r="L123" s="68" t="str">
        <f aca="false">IFERROR(__xludf.dummyfunction("""COMPUTED_VALUE"""),"Tưởng Thị Huyền Trang")</f>
        <v>Tưởng Thị Huyền Trang</v>
      </c>
      <c r="M123" s="71"/>
      <c r="N123" s="77" t="str">
        <f aca="false">IFERROR(__xludf.dummyfunction("""COMPUTED_VALUE"""),"3108,3117,3315,3127,3314")</f>
        <v>3108,3117,3315,3127,3314</v>
      </c>
      <c r="O123" s="63" t="str">
        <f aca="false">IFERROR(__xludf.dummyfunction("""COMPUTED_VALUE"""),"168363, 168578, 168319, 167463, 167063")</f>
        <v>168363, 168578, 168319, 167463, 167063</v>
      </c>
      <c r="P123" s="63" t="str">
        <f aca="false">IFERROR(__xludf.dummyfunction("""COMPUTED_VALUE"""),"9025,9028,9036,9104,9106,9017,9102")</f>
        <v>9025,9028,9036,9104,9106,9017,9102</v>
      </c>
      <c r="Q123" s="63" t="n">
        <f aca="false">IFERROR(__xludf.dummyfunction("""COMPUTED_VALUE"""),167063)</f>
        <v>167063</v>
      </c>
      <c r="R123" s="41"/>
      <c r="S123" s="41"/>
      <c r="T123" s="63" t="str">
        <f aca="false">IFERROR(__xludf.dummyfunction("""COMPUTED_VALUE"""),"24040, 24041, 24042")</f>
        <v>24040, 24041, 24042</v>
      </c>
      <c r="U123" s="63"/>
      <c r="V123" s="70" t="n">
        <f aca="false">IFERROR(__xludf.dummyfunction("""COMPUTED_VALUE"""),46220)</f>
        <v>46220</v>
      </c>
      <c r="W123" s="39" t="str">
        <f aca="false">IFERROR(__xludf.dummyfunction("""COMPUTED_VALUE"""),"Hoàn thành XB")</f>
        <v>Hoàn thành XB</v>
      </c>
      <c r="X123" s="41" t="str">
        <f aca="false">IFERROR(__xludf.dummyfunction("""COMPUTED_VALUE"""),"Chientd2")</f>
        <v>Chientd2</v>
      </c>
      <c r="Y123" s="44" t="str">
        <f aca="false">IFERROR(__xludf.dummyfunction("""COMPUTED_VALUE"""),"done")</f>
        <v>done</v>
      </c>
      <c r="Z123" s="57" t="str">
        <f aca="false">IFERROR(__xludf.dummyfunction("""COMPUTED_VALUE"""),"#N/A")</f>
        <v>#N/A</v>
      </c>
      <c r="AA123" s="57"/>
      <c r="AB123" s="41" t="n">
        <f aca="false">IFERROR(__xludf.dummyfunction("""COMPUTED_VALUE"""),7)</f>
        <v>7</v>
      </c>
      <c r="AC123" s="57" t="str">
        <f aca="false">IFERROR(__xludf.dummyfunction("""COMPUTED_VALUE"""),"gv.tungnt@hocmai.edu.vn ")</f>
        <v>gv.tungnt@hocmai.edu.vn </v>
      </c>
      <c r="AD123" s="46" t="str">
        <f aca="false">IFERROR(__xludf.dummyfunction("""COMPUTED_VALUE"""),"trangcrazy699@gmail.com")</f>
        <v>trangcrazy699@gmail.com</v>
      </c>
      <c r="AE123" s="46"/>
      <c r="AF123" s="47" t="str">
        <f aca="false">IFERROR(__xludf.dummyfunction("""COMPUTED_VALUE"""),"lophoctoan-946217")</f>
        <v>lophoctoan-946217</v>
      </c>
      <c r="AG123" s="46" t="str">
        <f aca="false">IFERROR(__xludf.dummyfunction("""COMPUTED_VALUE"""),"")</f>
        <v/>
      </c>
      <c r="AH123" s="35"/>
      <c r="AI123" s="53" t="b">
        <f aca="false">IFERROR(__xludf.dummyfunction("""COMPUTED_VALUE"""),TRUE())</f>
        <v>1</v>
      </c>
      <c r="AJ123" s="53" t="b">
        <f aca="false">IFERROR(__xludf.dummyfunction("""COMPUTED_VALUE"""),TRUE())</f>
        <v>1</v>
      </c>
      <c r="AK123" s="53" t="b">
        <f aca="false">IFERROR(__xludf.dummyfunction("""COMPUTED_VALUE"""),TRUE())</f>
        <v>1</v>
      </c>
      <c r="AL123" s="53" t="b">
        <f aca="false">IFERROR(__xludf.dummyfunction("""COMPUTED_VALUE"""),TRUE())</f>
        <v>1</v>
      </c>
      <c r="AM123" s="35"/>
      <c r="AN123" s="35"/>
      <c r="AO123" s="46"/>
    </row>
    <row r="124" customFormat="false" ht="15.75" hidden="false" customHeight="true" outlineLevel="0" collapsed="false">
      <c r="A124" s="37" t="str">
        <f aca="false">IFERROR(__xludf.dummyfunction("""COMPUTED_VALUE"""),"LG&amp;PTSL")</f>
        <v>LG&amp;PTSL</v>
      </c>
      <c r="B124" s="37" t="str">
        <f aca="false">IFERROR(__xludf.dummyfunction("""COMPUTED_VALUE"""),"TOV_V-ACT_LG01")</f>
        <v>TOV_V-ACT_LG01</v>
      </c>
      <c r="C124" s="59" t="str">
        <f aca="false">IFERROR(__xludf.dummyfunction("""COMPUTED_VALUE"""),"Bài toán logic dạng xếp chỗ hoặc tìm mối liên hệ giữa các đối tượng")</f>
        <v>Bài toán logic dạng xếp chỗ hoặc tìm mối liên hệ giữa các đối tượng</v>
      </c>
      <c r="D124" s="39" t="str">
        <f aca="false">IFERROR(__xludf.dummyfunction("""COMPUTED_VALUE"""),"Nguyễn Hoài Nam")</f>
        <v>Nguyễn Hoài Nam</v>
      </c>
      <c r="E124" s="40" t="n">
        <f aca="false">IFERROR(__xludf.dummyfunction("""COMPUTED_VALUE"""),46217)</f>
        <v>46217</v>
      </c>
      <c r="F124" s="41" t="n">
        <f aca="false">IFERROR(__xludf.dummyfunction("""COMPUTED_VALUE"""),3)</f>
        <v>3</v>
      </c>
      <c r="G124" s="37" t="str">
        <f aca="false">IFERROR(__xludf.dummyfunction("""COMPUTED_VALUE"""),"20:00-21:30")</f>
        <v>20:00-21:30</v>
      </c>
      <c r="H124" s="37"/>
      <c r="I124" s="37"/>
      <c r="J124" s="42" t="str">
        <f aca="false">IFERROR(__xludf.dummyfunction("""COMPUTED_VALUE"""),"https://drive.google.com/drive/folders/16BNqJlArbRhXp2FFgg2I2ky-r-pIn9Rp?usp=sharing")</f>
        <v>https://drive.google.com/drive/folders/16BNqJlArbRhXp2FFgg2I2ky-r-pIn9Rp?usp=sharing</v>
      </c>
      <c r="K124" s="68" t="str">
        <f aca="false">IFERROR(__xludf.dummyfunction("""COMPUTED_VALUE"""),"Lent")</f>
        <v>Lent</v>
      </c>
      <c r="L124" s="68" t="str">
        <f aca="false">IFERROR(__xludf.dummyfunction("""COMPUTED_VALUE"""),"Hoàng Tiến Quang")</f>
        <v>Hoàng Tiến Quang</v>
      </c>
      <c r="M124" s="71"/>
      <c r="N124" s="77" t="str">
        <f aca="false">IFERROR(__xludf.dummyfunction("""COMPUTED_VALUE"""),"3126,3340,3316")</f>
        <v>3126,3340,3316</v>
      </c>
      <c r="O124" s="73" t="str">
        <f aca="false">IFERROR(__xludf.dummyfunction("""COMPUTED_VALUE"""),"167380,174792,166879")</f>
        <v>167380,174792,166879</v>
      </c>
      <c r="P124" s="63" t="n">
        <f aca="false">IFERROR(__xludf.dummyfunction("""COMPUTED_VALUE"""),9045.9108)</f>
        <v>9045.9108</v>
      </c>
      <c r="Q124" s="63"/>
      <c r="R124" s="41"/>
      <c r="S124" s="41"/>
      <c r="T124" s="63"/>
      <c r="U124" s="63"/>
      <c r="V124" s="70" t="n">
        <f aca="false">IFERROR(__xludf.dummyfunction("""COMPUTED_VALUE"""),46220)</f>
        <v>46220</v>
      </c>
      <c r="W124" s="39" t="str">
        <f aca="false">IFERROR(__xludf.dummyfunction("""COMPUTED_VALUE"""),"Hoàn thành XB")</f>
        <v>Hoàn thành XB</v>
      </c>
      <c r="X124" s="41" t="str">
        <f aca="false">IFERROR(__xludf.dummyfunction("""COMPUTED_VALUE"""),"Lent")</f>
        <v>Lent</v>
      </c>
      <c r="Y124" s="44"/>
      <c r="Z124" s="57" t="str">
        <f aca="false">IFERROR(__xludf.dummyfunction("""COMPUTED_VALUE"""),"#N/A")</f>
        <v>#N/A</v>
      </c>
      <c r="AA124" s="57"/>
      <c r="AB124" s="41" t="n">
        <f aca="false">IFERROR(__xludf.dummyfunction("""COMPUTED_VALUE"""),7)</f>
        <v>7</v>
      </c>
      <c r="AC124" s="57" t="str">
        <f aca="false">IFERROR(__xludf.dummyfunction("""COMPUTED_VALUE"""),"gv.namnh@hocmai.edu.vn ")</f>
        <v>gv.namnh@hocmai.edu.vn </v>
      </c>
      <c r="AD124" s="46" t="str">
        <f aca="false">IFERROR(__xludf.dummyfunction("""COMPUTED_VALUE"""),"thanhquang09bnc@gmail.com")</f>
        <v>thanhquang09bnc@gmail.com</v>
      </c>
      <c r="AE124" s="46"/>
      <c r="AF124" s="74" t="b">
        <f aca="false">IFERROR(__xludf.dummyfunction("""COMPUTED_VALUE"""),FALSE())</f>
        <v>0</v>
      </c>
      <c r="AG124" s="46" t="str">
        <f aca="false">IFERROR(__xludf.dummyfunction("""COMPUTED_VALUE"""),"")</f>
        <v/>
      </c>
      <c r="AH124" s="35"/>
      <c r="AI124" s="35"/>
      <c r="AJ124" s="35"/>
      <c r="AK124" s="35"/>
      <c r="AL124" s="35"/>
      <c r="AM124" s="53" t="b">
        <f aca="false">IFERROR(__xludf.dummyfunction("""COMPUTED_VALUE"""),TRUE())</f>
        <v>1</v>
      </c>
      <c r="AN124" s="35"/>
      <c r="AO124" s="46"/>
    </row>
    <row r="125" customFormat="false" ht="15.75" hidden="false" customHeight="true" outlineLevel="0" collapsed="false">
      <c r="A125" s="37" t="str">
        <f aca="false">IFERROR(__xludf.dummyfunction("""COMPUTED_VALUE"""),"Địa lí")</f>
        <v>Địa lí</v>
      </c>
      <c r="B125" s="37" t="str">
        <f aca="false">IFERROR(__xludf.dummyfunction("""COMPUTED_VALUE"""),"TOV_HSA_ĐL02")</f>
        <v>TOV_HSA_ĐL02</v>
      </c>
      <c r="C125" s="59" t="str">
        <f aca="false">IFERROR(__xludf.dummyfunction("""COMPUTED_VALUE"""),"Địa lí tự nhiên đại cương (phần 2)")</f>
        <v>Địa lí tự nhiên đại cương (phần 2)</v>
      </c>
      <c r="D125" s="39" t="str">
        <f aca="false">IFERROR(__xludf.dummyfunction("""COMPUTED_VALUE"""),"Nguyễn Văn Vinh")</f>
        <v>Nguyễn Văn Vinh</v>
      </c>
      <c r="E125" s="40" t="n">
        <f aca="false">IFERROR(__xludf.dummyfunction("""COMPUTED_VALUE"""),46217)</f>
        <v>46217</v>
      </c>
      <c r="F125" s="41" t="n">
        <f aca="false">IFERROR(__xludf.dummyfunction("""COMPUTED_VALUE"""),3)</f>
        <v>3</v>
      </c>
      <c r="G125" s="37" t="str">
        <f aca="false">IFERROR(__xludf.dummyfunction("""COMPUTED_VALUE"""),"18:30-20:30")</f>
        <v>18:30-20:30</v>
      </c>
      <c r="H125" s="37"/>
      <c r="I125" s="37"/>
      <c r="J125" s="42" t="str">
        <f aca="false">IFERROR(__xludf.dummyfunction("""COMPUTED_VALUE"""),"https://drive.google.com/drive/folders/1dWIi1sPROnRGMbbrrHunLvAysN_shFf1")</f>
        <v>https://drive.google.com/drive/folders/1dWIi1sPROnRGMbbrrHunLvAysN_shFf1</v>
      </c>
      <c r="K125" s="68" t="str">
        <f aca="false">IFERROR(__xludf.dummyfunction("""COMPUTED_VALUE"""),"Trinhntt")</f>
        <v>Trinhntt</v>
      </c>
      <c r="L125" s="68" t="str">
        <f aca="false">IFERROR(__xludf.dummyfunction("""COMPUTED_VALUE"""),"Phan Đức Kiên")</f>
        <v>Phan Đức Kiên</v>
      </c>
      <c r="M125" s="71"/>
      <c r="N125" s="77" t="str">
        <f aca="false">IFERROR(__xludf.dummyfunction("""COMPUTED_VALUE"""),"3123")</f>
        <v>3123</v>
      </c>
      <c r="O125" s="63" t="n">
        <f aca="false">IFERROR(__xludf.dummyfunction("""COMPUTED_VALUE"""),174749)</f>
        <v>174749</v>
      </c>
      <c r="P125" s="63"/>
      <c r="Q125" s="63" t="n">
        <f aca="false">IFERROR(__xludf.dummyfunction("""COMPUTED_VALUE"""),174749)</f>
        <v>174749</v>
      </c>
      <c r="R125" s="41"/>
      <c r="S125" s="41"/>
      <c r="T125" s="63"/>
      <c r="U125" s="63"/>
      <c r="V125" s="70" t="n">
        <f aca="false">IFERROR(__xludf.dummyfunction("""COMPUTED_VALUE"""),46220)</f>
        <v>46220</v>
      </c>
      <c r="W125" s="39" t="str">
        <f aca="false">IFERROR(__xludf.dummyfunction("""COMPUTED_VALUE"""),"Hoàn thành XB")</f>
        <v>Hoàn thành XB</v>
      </c>
      <c r="X125" s="41" t="str">
        <f aca="false">IFERROR(__xludf.dummyfunction("""COMPUTED_VALUE"""),"Huent7")</f>
        <v>Huent7</v>
      </c>
      <c r="Y125" s="44"/>
      <c r="Z125" s="57" t="str">
        <f aca="false">IFERROR(__xludf.dummyfunction("""COMPUTED_VALUE"""),"#N/A")</f>
        <v>#N/A</v>
      </c>
      <c r="AA125" s="57"/>
      <c r="AB125" s="41"/>
      <c r="AC125" s="57" t="str">
        <f aca="false">IFERROR(__xludf.dummyfunction("""COMPUTED_VALUE"""),"gv.vinhnv@hocmai.edu.vn")</f>
        <v>gv.vinhnv@hocmai.edu.vn</v>
      </c>
      <c r="AD125" s="46" t="str">
        <f aca="false">IFERROR(__xludf.dummyfunction("""COMPUTED_VALUE"""),"duckien010607@gmail.com")</f>
        <v>duckien010607@gmail.com</v>
      </c>
      <c r="AE125" s="46"/>
      <c r="AF125" s="74" t="b">
        <f aca="false">IFERROR(__xludf.dummyfunction("""COMPUTED_VALUE"""),FALSE())</f>
        <v>0</v>
      </c>
      <c r="AG125" s="46" t="str">
        <f aca="false">IFERROR(__xludf.dummyfunction("""COMPUTED_VALUE"""),"")</f>
        <v/>
      </c>
      <c r="AH125" s="35"/>
      <c r="AI125" s="35"/>
      <c r="AJ125" s="53" t="b">
        <f aca="false">IFERROR(__xludf.dummyfunction("""COMPUTED_VALUE"""),TRUE())</f>
        <v>1</v>
      </c>
      <c r="AK125" s="53" t="b">
        <f aca="false">IFERROR(__xludf.dummyfunction("""COMPUTED_VALUE"""),TRUE())</f>
        <v>1</v>
      </c>
      <c r="AL125" s="35"/>
      <c r="AM125" s="35"/>
      <c r="AN125" s="35"/>
      <c r="AO125" s="46"/>
    </row>
    <row r="126" customFormat="false" ht="15.75" hidden="false" customHeight="true" outlineLevel="0" collapsed="false">
      <c r="A126" s="37" t="str">
        <f aca="false">IFERROR(__xludf.dummyfunction("""COMPUTED_VALUE"""),"Thực chiến Khoa học")</f>
        <v>Thực chiến Khoa học</v>
      </c>
      <c r="B126" s="37" t="str">
        <f aca="false">IFERROR(__xludf.dummyfunction("""COMPUTED_VALUE"""),"TC_TSA_KH_04")</f>
        <v>TC_TSA_KH_04</v>
      </c>
      <c r="C126" s="59" t="str">
        <f aca="false">IFERROR(__xludf.dummyfunction("""COMPUTED_VALUE"""),"[Bổ trợ]_Chữa bài tập TSA_Tư duy Khoa học số 04")</f>
        <v>[Bổ trợ]_Chữa bài tập TSA_Tư duy Khoa học số 04</v>
      </c>
      <c r="D126" s="39" t="str">
        <f aca="false">IFERROR(__xludf.dummyfunction("""COMPUTED_VALUE"""),"Nguyễn Trọng Trường Anh")</f>
        <v>Nguyễn Trọng Trường Anh</v>
      </c>
      <c r="E126" s="40" t="n">
        <f aca="false">IFERROR(__xludf.dummyfunction("""COMPUTED_VALUE"""),46217)</f>
        <v>46217</v>
      </c>
      <c r="F126" s="41" t="n">
        <f aca="false">IFERROR(__xludf.dummyfunction("""COMPUTED_VALUE"""),3)</f>
        <v>3</v>
      </c>
      <c r="G126" s="37" t="str">
        <f aca="false">IFERROR(__xludf.dummyfunction("""COMPUTED_VALUE"""),"19:00-20:00")</f>
        <v>19:00-20:00</v>
      </c>
      <c r="H126" s="37"/>
      <c r="I126" s="37"/>
      <c r="J126" s="42" t="str">
        <f aca="false">IFERROR(__xludf.dummyfunction("""COMPUTED_VALUE"""),"https://drive.google.com/drive/folders/1K5uNZkiKFu8CuRWDvDhqu2j62-0aPlsb?usp=drive_link")</f>
        <v>https://drive.google.com/drive/folders/1K5uNZkiKFu8CuRWDvDhqu2j62-0aPlsb?usp=drive_link</v>
      </c>
      <c r="K126" s="68" t="str">
        <f aca="false">IFERROR(__xludf.dummyfunction("""COMPUTED_VALUE"""),"Trangnth2")</f>
        <v>Trangnth2</v>
      </c>
      <c r="L126" s="68" t="str">
        <f aca="false">IFERROR(__xludf.dummyfunction("""COMPUTED_VALUE"""),"HOCMAI")</f>
        <v>HOCMAI</v>
      </c>
      <c r="M126" s="71"/>
      <c r="N126" s="77" t="str">
        <f aca="false">IFERROR(__xludf.dummyfunction("""COMPUTED_VALUE"""),"3110")</f>
        <v>3110</v>
      </c>
      <c r="O126" s="63" t="n">
        <f aca="false">IFERROR(__xludf.dummyfunction("""COMPUTED_VALUE"""),175127)</f>
        <v>175127</v>
      </c>
      <c r="P126" s="60" t="str">
        <f aca="false">IFERROR(__xludf.dummyfunction("""COMPUTED_VALUE"""),"https://hocmai.vn/bai-giang-truc-tuyen/175127/.html")</f>
        <v>https://hocmai.vn/bai-giang-truc-tuyen/175127/.html</v>
      </c>
      <c r="Q126" s="63"/>
      <c r="R126" s="41"/>
      <c r="S126" s="41"/>
      <c r="T126" s="63"/>
      <c r="U126" s="63"/>
      <c r="V126" s="70" t="n">
        <f aca="false">IFERROR(__xludf.dummyfunction("""COMPUTED_VALUE"""),46220)</f>
        <v>46220</v>
      </c>
      <c r="W126" s="39" t="str">
        <f aca="false">IFERROR(__xludf.dummyfunction("""COMPUTED_VALUE"""),"Hoàn thành XB")</f>
        <v>Hoàn thành XB</v>
      </c>
      <c r="X126" s="41" t="str">
        <f aca="false">IFERROR(__xludf.dummyfunction("""COMPUTED_VALUE"""),"Vuta")</f>
        <v>Vuta</v>
      </c>
      <c r="Y126" s="44"/>
      <c r="Z126" s="57"/>
      <c r="AA126" s="57"/>
      <c r="AB126" s="41" t="n">
        <f aca="false">IFERROR(__xludf.dummyfunction("""COMPUTED_VALUE"""),7)</f>
        <v>7</v>
      </c>
      <c r="AC126" s="57" t="str">
        <f aca="false">IFERROR(__xludf.dummyfunction("""COMPUTED_VALUE"""),"thochi1981@gmail.com")</f>
        <v>thochi1981@gmail.com</v>
      </c>
      <c r="AD126" s="46"/>
      <c r="AE126" s="46"/>
      <c r="AF126" s="47"/>
      <c r="AG126" s="46"/>
      <c r="AH126" s="53" t="b">
        <f aca="false">IFERROR(__xludf.dummyfunction("""COMPUTED_VALUE"""),FALSE())</f>
        <v>0</v>
      </c>
      <c r="AI126" s="53" t="b">
        <f aca="false">IFERROR(__xludf.dummyfunction("""COMPUTED_VALUE"""),TRUE())</f>
        <v>1</v>
      </c>
      <c r="AJ126" s="53" t="b">
        <f aca="false">IFERROR(__xludf.dummyfunction("""COMPUTED_VALUE"""),FALSE())</f>
        <v>0</v>
      </c>
      <c r="AK126" s="53" t="b">
        <f aca="false">IFERROR(__xludf.dummyfunction("""COMPUTED_VALUE"""),FALSE())</f>
        <v>0</v>
      </c>
      <c r="AL126" s="53" t="b">
        <f aca="false">IFERROR(__xludf.dummyfunction("""COMPUTED_VALUE"""),FALSE())</f>
        <v>0</v>
      </c>
      <c r="AM126" s="53" t="b">
        <f aca="false">IFERROR(__xludf.dummyfunction("""COMPUTED_VALUE"""),FALSE())</f>
        <v>0</v>
      </c>
      <c r="AN126" s="53" t="b">
        <f aca="false">IFERROR(__xludf.dummyfunction("""COMPUTED_VALUE"""),FALSE())</f>
        <v>0</v>
      </c>
      <c r="AO126" s="46"/>
    </row>
    <row r="127" customFormat="false" ht="15.75" hidden="false" customHeight="true" outlineLevel="0" collapsed="false">
      <c r="A127" s="37" t="str">
        <f aca="false">IFERROR(__xludf.dummyfunction("""COMPUTED_VALUE"""),"Thực chiến Tiếng Anh")</f>
        <v>Thực chiến Tiếng Anh</v>
      </c>
      <c r="B127" s="37" t="str">
        <f aca="false">IFERROR(__xludf.dummyfunction("""COMPUTED_VALUE"""),"TC_V-ACT_TA_01")</f>
        <v>TC_V-ACT_TA_01</v>
      </c>
      <c r="C127" s="59" t="str">
        <f aca="false">IFERROR(__xludf.dummyfunction("""COMPUTED_VALUE"""),"[Bổ trợ]_Chữa bài tập_V-ACT_Tiếng Anh số 01")</f>
        <v>[Bổ trợ]_Chữa bài tập_V-ACT_Tiếng Anh số 01</v>
      </c>
      <c r="D127" s="39" t="str">
        <f aca="false">IFERROR(__xludf.dummyfunction("""COMPUTED_VALUE"""),"Dung Thành Vinh")</f>
        <v>Dung Thành Vinh</v>
      </c>
      <c r="E127" s="40" t="n">
        <f aca="false">IFERROR(__xludf.dummyfunction("""COMPUTED_VALUE"""),46217)</f>
        <v>46217</v>
      </c>
      <c r="F127" s="41" t="n">
        <f aca="false">IFERROR(__xludf.dummyfunction("""COMPUTED_VALUE"""),3)</f>
        <v>3</v>
      </c>
      <c r="G127" s="37" t="str">
        <f aca="false">IFERROR(__xludf.dummyfunction("""COMPUTED_VALUE"""),"18:00-19:00")</f>
        <v>18:00-19:00</v>
      </c>
      <c r="H127" s="37"/>
      <c r="I127" s="37"/>
      <c r="J127" s="42" t="str">
        <f aca="false">IFERROR(__xludf.dummyfunction("""COMPUTED_VALUE"""),"https://drive.google.com/drive/folders/1HspX8mZ4_KxqyQbG6D5M51QzdtsZ6KgN?usp=sharing")</f>
        <v>https://drive.google.com/drive/folders/1HspX8mZ4_KxqyQbG6D5M51QzdtsZ6KgN?usp=sharing</v>
      </c>
      <c r="K127" s="68" t="str">
        <f aca="false">IFERROR(__xludf.dummyfunction("""COMPUTED_VALUE"""),"Huyenn2")</f>
        <v>Huyenn2</v>
      </c>
      <c r="L127" s="68" t="str">
        <f aca="false">IFERROR(__xludf.dummyfunction("""COMPUTED_VALUE"""),"HOCMAI")</f>
        <v>HOCMAI</v>
      </c>
      <c r="M127" s="71"/>
      <c r="N127" s="77" t="str">
        <f aca="false">IFERROR(__xludf.dummyfunction("""COMPUTED_VALUE"""),"3165")</f>
        <v>3165</v>
      </c>
      <c r="O127" s="63" t="n">
        <f aca="false">IFERROR(__xludf.dummyfunction("""COMPUTED_VALUE"""),175197)</f>
        <v>175197</v>
      </c>
      <c r="P127" s="60" t="str">
        <f aca="false">IFERROR(__xludf.dummyfunction("""COMPUTED_VALUE"""),"https://hocmai.vn/bai-giang-truc-tuyen/175197/.html")</f>
        <v>https://hocmai.vn/bai-giang-truc-tuyen/175197/.html</v>
      </c>
      <c r="Q127" s="63"/>
      <c r="R127" s="41"/>
      <c r="S127" s="41"/>
      <c r="T127" s="63"/>
      <c r="U127" s="63"/>
      <c r="V127" s="70" t="n">
        <f aca="false">IFERROR(__xludf.dummyfunction("""COMPUTED_VALUE"""),46220)</f>
        <v>46220</v>
      </c>
      <c r="W127" s="39" t="str">
        <f aca="false">IFERROR(__xludf.dummyfunction("""COMPUTED_VALUE"""),"Hoàn thành XB")</f>
        <v>Hoàn thành XB</v>
      </c>
      <c r="X127" s="41" t="str">
        <f aca="false">IFERROR(__xludf.dummyfunction("""COMPUTED_VALUE"""),"Vuta")</f>
        <v>Vuta</v>
      </c>
      <c r="Y127" s="44"/>
      <c r="Z127" s="57"/>
      <c r="AA127" s="57"/>
      <c r="AB127" s="41" t="n">
        <f aca="false">IFERROR(__xludf.dummyfunction("""COMPUTED_VALUE"""),7)</f>
        <v>7</v>
      </c>
      <c r="AC127" s="57" t="str">
        <f aca="false">IFERROR(__xludf.dummyfunction("""COMPUTED_VALUE"""),"shimlim04@gmail.com")</f>
        <v>shimlim04@gmail.com</v>
      </c>
      <c r="AD127" s="46"/>
      <c r="AE127" s="46"/>
      <c r="AF127" s="47"/>
      <c r="AG127" s="46"/>
      <c r="AH127" s="53" t="b">
        <f aca="false">IFERROR(__xludf.dummyfunction("""COMPUTED_VALUE"""),FALSE())</f>
        <v>0</v>
      </c>
      <c r="AI127" s="53" t="b">
        <f aca="false">IFERROR(__xludf.dummyfunction("""COMPUTED_VALUE"""),FALSE())</f>
        <v>0</v>
      </c>
      <c r="AJ127" s="53" t="b">
        <f aca="false">IFERROR(__xludf.dummyfunction("""COMPUTED_VALUE"""),FALSE())</f>
        <v>0</v>
      </c>
      <c r="AK127" s="53" t="b">
        <f aca="false">IFERROR(__xludf.dummyfunction("""COMPUTED_VALUE"""),FALSE())</f>
        <v>0</v>
      </c>
      <c r="AL127" s="53" t="b">
        <f aca="false">IFERROR(__xludf.dummyfunction("""COMPUTED_VALUE"""),FALSE())</f>
        <v>0</v>
      </c>
      <c r="AM127" s="53" t="b">
        <f aca="false">IFERROR(__xludf.dummyfunction("""COMPUTED_VALUE"""),TRUE())</f>
        <v>1</v>
      </c>
      <c r="AN127" s="53" t="b">
        <f aca="false">IFERROR(__xludf.dummyfunction("""COMPUTED_VALUE"""),TRUE())</f>
        <v>1</v>
      </c>
      <c r="AO127" s="46"/>
    </row>
    <row r="128" customFormat="false" ht="15.75" hidden="false" customHeight="true" outlineLevel="0" collapsed="false">
      <c r="A128" s="37" t="str">
        <f aca="false">IFERROR(__xludf.dummyfunction("""COMPUTED_VALUE"""),"Định tính")</f>
        <v>Định tính</v>
      </c>
      <c r="B128" s="37" t="str">
        <f aca="false">IFERROR(__xludf.dummyfunction("""COMPUTED_VALUE"""),"TOV_HSA_DT04")</f>
        <v>TOV_HSA_DT04</v>
      </c>
      <c r="C128" s="59" t="str">
        <f aca="false">IFERROR(__xludf.dummyfunction("""COMPUTED_VALUE"""),"Đoạn văn: Mô hình, cấu trúc của đoạn và liên kết ý trong đoạn")</f>
        <v>Đoạn văn: Mô hình, cấu trúc của đoạn và liên kết ý trong đoạn</v>
      </c>
      <c r="D128" s="39" t="str">
        <f aca="false">IFERROR(__xludf.dummyfunction("""COMPUTED_VALUE"""),"Vương Thúy Hằng")</f>
        <v>Vương Thúy Hằng</v>
      </c>
      <c r="E128" s="40" t="n">
        <f aca="false">IFERROR(__xludf.dummyfunction("""COMPUTED_VALUE"""),46218)</f>
        <v>46218</v>
      </c>
      <c r="F128" s="41" t="n">
        <f aca="false">IFERROR(__xludf.dummyfunction("""COMPUTED_VALUE"""),4)</f>
        <v>4</v>
      </c>
      <c r="G128" s="37" t="str">
        <f aca="false">IFERROR(__xludf.dummyfunction("""COMPUTED_VALUE"""),"21:00-23:00")</f>
        <v>21:00-23:00</v>
      </c>
      <c r="H128" s="37"/>
      <c r="I128" s="37"/>
      <c r="J128" s="42" t="str">
        <f aca="false">IFERROR(__xludf.dummyfunction("""COMPUTED_VALUE"""),"https://drive.google.com/file/d/1A8Spe44L08Y3MIRAzfK657-pvfX8-fvs/view?usp=drive_link")</f>
        <v>https://drive.google.com/file/d/1A8Spe44L08Y3MIRAzfK657-pvfX8-fvs/view?usp=drive_link</v>
      </c>
      <c r="K128" s="68" t="str">
        <f aca="false">IFERROR(__xludf.dummyfunction("""COMPUTED_VALUE"""),"Hangvt3")</f>
        <v>Hangvt3</v>
      </c>
      <c r="L128" s="68" t="str">
        <f aca="false">IFERROR(__xludf.dummyfunction("""COMPUTED_VALUE"""),"Kiều Bảo Minh")</f>
        <v>Kiều Bảo Minh</v>
      </c>
      <c r="M128" s="71"/>
      <c r="N128" s="77" t="str">
        <f aca="false">IFERROR(__xludf.dummyfunction("""COMPUTED_VALUE"""),"3118")</f>
        <v>3118</v>
      </c>
      <c r="O128" s="63" t="n">
        <f aca="false">IFERROR(__xludf.dummyfunction("""COMPUTED_VALUE"""),167293)</f>
        <v>167293</v>
      </c>
      <c r="P128" s="63"/>
      <c r="Q128" s="63"/>
      <c r="R128" s="41"/>
      <c r="S128" s="41"/>
      <c r="T128" s="63"/>
      <c r="U128" s="63"/>
      <c r="V128" s="70" t="n">
        <f aca="false">IFERROR(__xludf.dummyfunction("""COMPUTED_VALUE"""),46221)</f>
        <v>46221</v>
      </c>
      <c r="W128" s="39" t="str">
        <f aca="false">IFERROR(__xludf.dummyfunction("""COMPUTED_VALUE"""),"Hoàn thành XB")</f>
        <v>Hoàn thành XB</v>
      </c>
      <c r="X128" s="41" t="str">
        <f aca="false">IFERROR(__xludf.dummyfunction("""COMPUTED_VALUE"""),"Hoantt")</f>
        <v>Hoantt</v>
      </c>
      <c r="Y128" s="44" t="str">
        <f aca="false">IFERROR(__xludf.dummyfunction("""COMPUTED_VALUE"""),"done")</f>
        <v>done</v>
      </c>
      <c r="Z128" s="57" t="str">
        <f aca="false">IFERROR(__xludf.dummyfunction("""COMPUTED_VALUE"""),"#N/A")</f>
        <v>#N/A</v>
      </c>
      <c r="AA128" s="57"/>
      <c r="AB128" s="41" t="n">
        <f aca="false">IFERROR(__xludf.dummyfunction("""COMPUTED_VALUE"""),7)</f>
        <v>7</v>
      </c>
      <c r="AC128" s="57" t="str">
        <f aca="false">IFERROR(__xludf.dummyfunction("""COMPUTED_VALUE"""),"gv.hangvt@hocmai.edu.vn ")</f>
        <v>gv.hangvt@hocmai.edu.vn </v>
      </c>
      <c r="AD128" s="46" t="str">
        <f aca="false">IFERROR(__xludf.dummyfunction("""COMPUTED_VALUE"""),"mkieu2662@gmail.com")</f>
        <v>mkieu2662@gmail.com</v>
      </c>
      <c r="AE128" s="46"/>
      <c r="AF128" s="74" t="b">
        <f aca="false">IFERROR(__xludf.dummyfunction("""COMPUTED_VALUE"""),FALSE())</f>
        <v>0</v>
      </c>
      <c r="AG128" s="46" t="str">
        <f aca="false">IFERROR(__xludf.dummyfunction("""COMPUTED_VALUE"""),"")</f>
        <v/>
      </c>
      <c r="AH128" s="35"/>
      <c r="AI128" s="35"/>
      <c r="AJ128" s="53" t="b">
        <f aca="false">IFERROR(__xludf.dummyfunction("""COMPUTED_VALUE"""),TRUE())</f>
        <v>1</v>
      </c>
      <c r="AK128" s="53" t="b">
        <f aca="false">IFERROR(__xludf.dummyfunction("""COMPUTED_VALUE"""),TRUE())</f>
        <v>1</v>
      </c>
      <c r="AL128" s="35"/>
      <c r="AM128" s="35"/>
      <c r="AN128" s="35"/>
      <c r="AO128" s="46"/>
    </row>
    <row r="129" customFormat="false" ht="15.75" hidden="false" customHeight="true" outlineLevel="0" collapsed="false">
      <c r="A129" s="37" t="str">
        <f aca="false">IFERROR(__xludf.dummyfunction("""COMPUTED_VALUE"""),"Thực chiến Toán")</f>
        <v>Thực chiến Toán</v>
      </c>
      <c r="B129" s="37" t="str">
        <f aca="false">IFERROR(__xludf.dummyfunction("""COMPUTED_VALUE"""),"TC_TSA_T_05")</f>
        <v>TC_TSA_T_05</v>
      </c>
      <c r="C129" s="59" t="str">
        <f aca="false">IFERROR(__xludf.dummyfunction("""COMPUTED_VALUE"""),"[Bổ trợ]_Chữa bài tập TSA_Tư duy Toán học số 05")</f>
        <v>[Bổ trợ]_Chữa bài tập TSA_Tư duy Toán học số 05</v>
      </c>
      <c r="D129" s="39" t="str">
        <f aca="false">IFERROR(__xludf.dummyfunction("""COMPUTED_VALUE"""),"Phạm Huy Hoàng")</f>
        <v>Phạm Huy Hoàng</v>
      </c>
      <c r="E129" s="40" t="n">
        <f aca="false">IFERROR(__xludf.dummyfunction("""COMPUTED_VALUE"""),46218)</f>
        <v>46218</v>
      </c>
      <c r="F129" s="41" t="n">
        <f aca="false">IFERROR(__xludf.dummyfunction("""COMPUTED_VALUE"""),4)</f>
        <v>4</v>
      </c>
      <c r="G129" s="37" t="str">
        <f aca="false">IFERROR(__xludf.dummyfunction("""COMPUTED_VALUE"""),"19:00-20:00")</f>
        <v>19:00-20:00</v>
      </c>
      <c r="H129" s="37"/>
      <c r="I129" s="37"/>
      <c r="J129" s="42" t="str">
        <f aca="false">IFERROR(__xludf.dummyfunction("""COMPUTED_VALUE"""),"https://drive.google.com/drive/folders/1MFQN4gHFf_3adenp45YtK_905fsSCVeh?usp=drive_link")</f>
        <v>https://drive.google.com/drive/folders/1MFQN4gHFf_3adenp45YtK_905fsSCVeh?usp=drive_link</v>
      </c>
      <c r="K129" s="68" t="str">
        <f aca="false">IFERROR(__xludf.dummyfunction("""COMPUTED_VALUE"""),"Locdd")</f>
        <v>Locdd</v>
      </c>
      <c r="L129" s="68" t="str">
        <f aca="false">IFERROR(__xludf.dummyfunction("""COMPUTED_VALUE"""),"HOCMAI")</f>
        <v>HOCMAI</v>
      </c>
      <c r="M129" s="71"/>
      <c r="N129" s="77" t="str">
        <f aca="false">IFERROR(__xludf.dummyfunction("""COMPUTED_VALUE"""),"3108")</f>
        <v>3108</v>
      </c>
      <c r="O129" s="63" t="n">
        <f aca="false">IFERROR(__xludf.dummyfunction("""COMPUTED_VALUE"""),175117)</f>
        <v>175117</v>
      </c>
      <c r="P129" s="60" t="str">
        <f aca="false">IFERROR(__xludf.dummyfunction("""COMPUTED_VALUE"""),"https://hocmai.vn/bai-giang-truc-tuyen/175117/.html")</f>
        <v>https://hocmai.vn/bai-giang-truc-tuyen/175117/.html</v>
      </c>
      <c r="Q129" s="63"/>
      <c r="R129" s="41"/>
      <c r="S129" s="41"/>
      <c r="T129" s="63"/>
      <c r="U129" s="63"/>
      <c r="V129" s="70" t="n">
        <f aca="false">IFERROR(__xludf.dummyfunction("""COMPUTED_VALUE"""),46221)</f>
        <v>46221</v>
      </c>
      <c r="W129" s="39" t="str">
        <f aca="false">IFERROR(__xludf.dummyfunction("""COMPUTED_VALUE"""),"Hoàn thành XB")</f>
        <v>Hoàn thành XB</v>
      </c>
      <c r="X129" s="41" t="str">
        <f aca="false">IFERROR(__xludf.dummyfunction("""COMPUTED_VALUE"""),"Vuta")</f>
        <v>Vuta</v>
      </c>
      <c r="Y129" s="44"/>
      <c r="Z129" s="57"/>
      <c r="AA129" s="57"/>
      <c r="AB129" s="41" t="n">
        <f aca="false">IFERROR(__xludf.dummyfunction("""COMPUTED_VALUE"""),7)</f>
        <v>7</v>
      </c>
      <c r="AC129" s="57" t="str">
        <f aca="false">IFERROR(__xludf.dummyfunction("""COMPUTED_VALUE"""),"0376611308")</f>
        <v>0376611308</v>
      </c>
      <c r="AD129" s="46"/>
      <c r="AE129" s="46"/>
      <c r="AF129" s="47"/>
      <c r="AG129" s="46"/>
      <c r="AH129" s="53" t="b">
        <f aca="false">IFERROR(__xludf.dummyfunction("""COMPUTED_VALUE"""),FALSE())</f>
        <v>0</v>
      </c>
      <c r="AI129" s="53" t="b">
        <f aca="false">IFERROR(__xludf.dummyfunction("""COMPUTED_VALUE"""),TRUE())</f>
        <v>1</v>
      </c>
      <c r="AJ129" s="53" t="b">
        <f aca="false">IFERROR(__xludf.dummyfunction("""COMPUTED_VALUE"""),FALSE())</f>
        <v>0</v>
      </c>
      <c r="AK129" s="53" t="b">
        <f aca="false">IFERROR(__xludf.dummyfunction("""COMPUTED_VALUE"""),FALSE())</f>
        <v>0</v>
      </c>
      <c r="AL129" s="53" t="b">
        <f aca="false">IFERROR(__xludf.dummyfunction("""COMPUTED_VALUE"""),FALSE())</f>
        <v>0</v>
      </c>
      <c r="AM129" s="53" t="b">
        <f aca="false">IFERROR(__xludf.dummyfunction("""COMPUTED_VALUE"""),FALSE())</f>
        <v>0</v>
      </c>
      <c r="AN129" s="53" t="b">
        <f aca="false">IFERROR(__xludf.dummyfunction("""COMPUTED_VALUE"""),FALSE())</f>
        <v>0</v>
      </c>
      <c r="AO129" s="46"/>
    </row>
    <row r="130" customFormat="false" ht="15.75" hidden="false" customHeight="true" outlineLevel="0" collapsed="false">
      <c r="A130" s="37" t="str">
        <f aca="false">IFERROR(__xludf.dummyfunction("""COMPUTED_VALUE"""),"Thực chiến Tiếng Việt")</f>
        <v>Thực chiến Tiếng Việt</v>
      </c>
      <c r="B130" s="37" t="str">
        <f aca="false">IFERROR(__xludf.dummyfunction("""COMPUTED_VALUE"""),"TC_V-ACT_TV_01")</f>
        <v>TC_V-ACT_TV_01</v>
      </c>
      <c r="C130" s="59" t="str">
        <f aca="false">IFERROR(__xludf.dummyfunction("""COMPUTED_VALUE"""),"[Bổ trợ]_Chữa bài tập_V-ACT_Tiếng Việt số 01")</f>
        <v>[Bổ trợ]_Chữa bài tập_V-ACT_Tiếng Việt số 01</v>
      </c>
      <c r="D130" s="39" t="str">
        <f aca="false">IFERROR(__xludf.dummyfunction("""COMPUTED_VALUE"""),"Nguyễn Thị Khánh Ly")</f>
        <v>Nguyễn Thị Khánh Ly</v>
      </c>
      <c r="E130" s="40" t="n">
        <f aca="false">IFERROR(__xludf.dummyfunction("""COMPUTED_VALUE"""),46218)</f>
        <v>46218</v>
      </c>
      <c r="F130" s="41" t="n">
        <f aca="false">IFERROR(__xludf.dummyfunction("""COMPUTED_VALUE"""),4)</f>
        <v>4</v>
      </c>
      <c r="G130" s="37" t="str">
        <f aca="false">IFERROR(__xludf.dummyfunction("""COMPUTED_VALUE"""),"21:00-22:00")</f>
        <v>21:00-22:00</v>
      </c>
      <c r="H130" s="37"/>
      <c r="I130" s="37"/>
      <c r="J130" s="42" t="str">
        <f aca="false">IFERROR(__xludf.dummyfunction("""COMPUTED_VALUE"""),"https://drive.google.com/open?id=1TB6HSDucAmViE-FNmI3_3v2NDHuCaDNS&amp;usp=drive_fs")</f>
        <v>https://drive.google.com/open?id=1TB6HSDucAmViE-FNmI3_3v2NDHuCaDNS&amp;usp=drive_fs</v>
      </c>
      <c r="K130" s="68" t="str">
        <f aca="false">IFERROR(__xludf.dummyfunction("""COMPUTED_VALUE"""),"Hoantt")</f>
        <v>Hoantt</v>
      </c>
      <c r="L130" s="68" t="str">
        <f aca="false">IFERROR(__xludf.dummyfunction("""COMPUTED_VALUE"""),"HOCMAI")</f>
        <v>HOCMAI</v>
      </c>
      <c r="M130" s="71"/>
      <c r="N130" s="77" t="str">
        <f aca="false">IFERROR(__xludf.dummyfunction("""COMPUTED_VALUE"""),"3125")</f>
        <v>3125</v>
      </c>
      <c r="O130" s="63" t="n">
        <f aca="false">IFERROR(__xludf.dummyfunction("""COMPUTED_VALUE"""),175185)</f>
        <v>175185</v>
      </c>
      <c r="P130" s="60" t="str">
        <f aca="false">IFERROR(__xludf.dummyfunction("""COMPUTED_VALUE"""),"https://hocmai.vn/bai-giang-truc-tuyen/175185/.html")</f>
        <v>https://hocmai.vn/bai-giang-truc-tuyen/175185/.html</v>
      </c>
      <c r="Q130" s="63"/>
      <c r="R130" s="41"/>
      <c r="S130" s="41"/>
      <c r="T130" s="63"/>
      <c r="U130" s="63"/>
      <c r="V130" s="70" t="n">
        <f aca="false">IFERROR(__xludf.dummyfunction("""COMPUTED_VALUE"""),46221)</f>
        <v>46221</v>
      </c>
      <c r="W130" s="39" t="str">
        <f aca="false">IFERROR(__xludf.dummyfunction("""COMPUTED_VALUE"""),"Hoàn thành XB")</f>
        <v>Hoàn thành XB</v>
      </c>
      <c r="X130" s="41" t="str">
        <f aca="false">IFERROR(__xludf.dummyfunction("""COMPUTED_VALUE"""),"Vuta")</f>
        <v>Vuta</v>
      </c>
      <c r="Y130" s="44"/>
      <c r="Z130" s="57"/>
      <c r="AA130" s="57"/>
      <c r="AB130" s="41" t="n">
        <f aca="false">IFERROR(__xludf.dummyfunction("""COMPUTED_VALUE"""),7)</f>
        <v>7</v>
      </c>
      <c r="AC130" s="57" t="str">
        <f aca="false">IFERROR(__xludf.dummyfunction("""COMPUTED_VALUE"""),"khanhly16092003@gmail.com")</f>
        <v>khanhly16092003@gmail.com</v>
      </c>
      <c r="AD130" s="46"/>
      <c r="AE130" s="46"/>
      <c r="AF130" s="47"/>
      <c r="AG130" s="46"/>
      <c r="AH130" s="53" t="b">
        <f aca="false">IFERROR(__xludf.dummyfunction("""COMPUTED_VALUE"""),FALSE())</f>
        <v>0</v>
      </c>
      <c r="AI130" s="53" t="b">
        <f aca="false">IFERROR(__xludf.dummyfunction("""COMPUTED_VALUE"""),FALSE())</f>
        <v>0</v>
      </c>
      <c r="AJ130" s="53" t="b">
        <f aca="false">IFERROR(__xludf.dummyfunction("""COMPUTED_VALUE"""),FALSE())</f>
        <v>0</v>
      </c>
      <c r="AK130" s="53" t="b">
        <f aca="false">IFERROR(__xludf.dummyfunction("""COMPUTED_VALUE"""),FALSE())</f>
        <v>0</v>
      </c>
      <c r="AL130" s="53" t="b">
        <f aca="false">IFERROR(__xludf.dummyfunction("""COMPUTED_VALUE"""),FALSE())</f>
        <v>0</v>
      </c>
      <c r="AM130" s="53" t="b">
        <f aca="false">IFERROR(__xludf.dummyfunction("""COMPUTED_VALUE"""),TRUE())</f>
        <v>1</v>
      </c>
      <c r="AN130" s="53" t="b">
        <f aca="false">IFERROR(__xludf.dummyfunction("""COMPUTED_VALUE"""),TRUE())</f>
        <v>1</v>
      </c>
      <c r="AO130" s="46"/>
    </row>
    <row r="131" customFormat="false" ht="15.75" hidden="false" customHeight="true" outlineLevel="0" collapsed="false">
      <c r="A131" s="37" t="str">
        <f aca="false">IFERROR(__xludf.dummyfunction("""COMPUTED_VALUE"""),"Thực chiến Khoa học")</f>
        <v>Thực chiến Khoa học</v>
      </c>
      <c r="B131" s="37" t="str">
        <f aca="false">IFERROR(__xludf.dummyfunction("""COMPUTED_VALUE"""),"TC_V-ACT_KH_01")</f>
        <v>TC_V-ACT_KH_01</v>
      </c>
      <c r="C131" s="59" t="str">
        <f aca="false">IFERROR(__xludf.dummyfunction("""COMPUTED_VALUE"""),"[Bổ trợ]_Chữa bài tập_V-ACT_Tư duy khoa học số 01")</f>
        <v>[Bổ trợ]_Chữa bài tập_V-ACT_Tư duy khoa học số 01</v>
      </c>
      <c r="D131" s="39" t="str">
        <f aca="false">IFERROR(__xludf.dummyfunction("""COMPUTED_VALUE"""),"Lê Thế Anh")</f>
        <v>Lê Thế Anh</v>
      </c>
      <c r="E131" s="40" t="n">
        <f aca="false">IFERROR(__xludf.dummyfunction("""COMPUTED_VALUE"""),46218)</f>
        <v>46218</v>
      </c>
      <c r="F131" s="41" t="n">
        <f aca="false">IFERROR(__xludf.dummyfunction("""COMPUTED_VALUE"""),4)</f>
        <v>4</v>
      </c>
      <c r="G131" s="37" t="str">
        <f aca="false">IFERROR(__xludf.dummyfunction("""COMPUTED_VALUE"""),"19:00-20:00")</f>
        <v>19:00-20:00</v>
      </c>
      <c r="H131" s="37"/>
      <c r="I131" s="37"/>
      <c r="J131" s="42" t="str">
        <f aca="false">IFERROR(__xludf.dummyfunction("""COMPUTED_VALUE"""),"https://drive.google.com/drive/folders/1kmanWKyt6kZUOr_BQRl5m4EvYOJPQfOe?usp=drive_link")</f>
        <v>https://drive.google.com/drive/folders/1kmanWKyt6kZUOr_BQRl5m4EvYOJPQfOe?usp=drive_link</v>
      </c>
      <c r="K131" s="68" t="str">
        <f aca="false">IFERROR(__xludf.dummyfunction("""COMPUTED_VALUE"""),"Trangnth2")</f>
        <v>Trangnth2</v>
      </c>
      <c r="L131" s="68" t="str">
        <f aca="false">IFERROR(__xludf.dummyfunction("""COMPUTED_VALUE"""),"HOCMAI")</f>
        <v>HOCMAI</v>
      </c>
      <c r="M131" s="71"/>
      <c r="N131" s="77" t="str">
        <f aca="false">IFERROR(__xludf.dummyfunction("""COMPUTED_VALUE"""),"3126")</f>
        <v>3126</v>
      </c>
      <c r="O131" s="63" t="n">
        <f aca="false">IFERROR(__xludf.dummyfunction("""COMPUTED_VALUE"""),175191)</f>
        <v>175191</v>
      </c>
      <c r="P131" s="60" t="str">
        <f aca="false">IFERROR(__xludf.dummyfunction("""COMPUTED_VALUE"""),"https://hocmai.vn/bai-giang-truc-tuyen/175191/.html")</f>
        <v>https://hocmai.vn/bai-giang-truc-tuyen/175191/.html</v>
      </c>
      <c r="Q131" s="63"/>
      <c r="R131" s="41"/>
      <c r="S131" s="41"/>
      <c r="T131" s="63"/>
      <c r="U131" s="63"/>
      <c r="V131" s="70" t="n">
        <f aca="false">IFERROR(__xludf.dummyfunction("""COMPUTED_VALUE"""),46221)</f>
        <v>46221</v>
      </c>
      <c r="W131" s="39" t="str">
        <f aca="false">IFERROR(__xludf.dummyfunction("""COMPUTED_VALUE"""),"Hoàn thành XB")</f>
        <v>Hoàn thành XB</v>
      </c>
      <c r="X131" s="41" t="str">
        <f aca="false">IFERROR(__xludf.dummyfunction("""COMPUTED_VALUE"""),"Vuta")</f>
        <v>Vuta</v>
      </c>
      <c r="Y131" s="44"/>
      <c r="Z131" s="57"/>
      <c r="AA131" s="57"/>
      <c r="AB131" s="41" t="n">
        <f aca="false">IFERROR(__xludf.dummyfunction("""COMPUTED_VALUE"""),7)</f>
        <v>7</v>
      </c>
      <c r="AC131" s="57" t="str">
        <f aca="false">IFERROR(__xludf.dummyfunction("""COMPUTED_VALUE"""),"ss.vact01@ctv.hocmai.vn")</f>
        <v>ss.vact01@ctv.hocmai.vn</v>
      </c>
      <c r="AD131" s="46"/>
      <c r="AE131" s="46"/>
      <c r="AF131" s="47"/>
      <c r="AG131" s="46"/>
      <c r="AH131" s="53" t="b">
        <f aca="false">IFERROR(__xludf.dummyfunction("""COMPUTED_VALUE"""),FALSE())</f>
        <v>0</v>
      </c>
      <c r="AI131" s="53" t="b">
        <f aca="false">IFERROR(__xludf.dummyfunction("""COMPUTED_VALUE"""),FALSE())</f>
        <v>0</v>
      </c>
      <c r="AJ131" s="53" t="b">
        <f aca="false">IFERROR(__xludf.dummyfunction("""COMPUTED_VALUE"""),FALSE())</f>
        <v>0</v>
      </c>
      <c r="AK131" s="53" t="b">
        <f aca="false">IFERROR(__xludf.dummyfunction("""COMPUTED_VALUE"""),FALSE())</f>
        <v>0</v>
      </c>
      <c r="AL131" s="53" t="b">
        <f aca="false">IFERROR(__xludf.dummyfunction("""COMPUTED_VALUE"""),FALSE())</f>
        <v>0</v>
      </c>
      <c r="AM131" s="53" t="b">
        <f aca="false">IFERROR(__xludf.dummyfunction("""COMPUTED_VALUE"""),TRUE())</f>
        <v>1</v>
      </c>
      <c r="AN131" s="53" t="b">
        <f aca="false">IFERROR(__xludf.dummyfunction("""COMPUTED_VALUE"""),TRUE())</f>
        <v>1</v>
      </c>
      <c r="AO131" s="46"/>
    </row>
    <row r="132" customFormat="false" ht="15.75" hidden="false" customHeight="true" outlineLevel="0" collapsed="false">
      <c r="A132" s="37" t="str">
        <f aca="false">IFERROR(__xludf.dummyfunction("""COMPUTED_VALUE"""),"Vật lí")</f>
        <v>Vật lí</v>
      </c>
      <c r="B132" s="37" t="str">
        <f aca="false">IFERROR(__xludf.dummyfunction("""COMPUTED_VALUE"""),"TOV_TSA_L05")</f>
        <v>TOV_TSA_L05</v>
      </c>
      <c r="C132" s="59" t="str">
        <f aca="false">IFERROR(__xludf.dummyfunction("""COMPUTED_VALUE"""),"Moment lực, cân bằng và ứng dụng kĩ thuật")</f>
        <v>Moment lực, cân bằng và ứng dụng kĩ thuật</v>
      </c>
      <c r="D132" s="39" t="str">
        <f aca="false">IFERROR(__xludf.dummyfunction("""COMPUTED_VALUE"""),"Thiều Thị Dung")</f>
        <v>Thiều Thị Dung</v>
      </c>
      <c r="E132" s="40" t="n">
        <f aca="false">IFERROR(__xludf.dummyfunction("""COMPUTED_VALUE"""),46219)</f>
        <v>46219</v>
      </c>
      <c r="F132" s="41" t="n">
        <f aca="false">IFERROR(__xludf.dummyfunction("""COMPUTED_VALUE"""),5)</f>
        <v>5</v>
      </c>
      <c r="G132" s="37" t="str">
        <f aca="false">IFERROR(__xludf.dummyfunction("""COMPUTED_VALUE"""),"21:00-23:00")</f>
        <v>21:00-23:00</v>
      </c>
      <c r="H132" s="42" t="str">
        <f aca="false">IFERROR(__xludf.dummyfunction("""COMPUTED_VALUE"""),"https://hocmai.vn/file.php/3110/Nam_hoc_2026_-_2027/VAT_LI/TAI_LIEU_HOC_SINH/TLHS_TOV_TSA_05_Moment_luc_can_bang_va_ung_dung_ki_thuat.pdf")</f>
        <v>https://hocmai.vn/file.php/3110/Nam_hoc_2026_-_2027/VAT_LI/TAI_LIEU_HOC_SINH/TLHS_TOV_TSA_05_Moment_luc_can_bang_va_ung_dung_ki_thuat.pdf</v>
      </c>
      <c r="I132" s="42" t="str">
        <f aca="false">IFERROR(__xludf.dummyfunction("""COMPUTED_VALUE"""),"https://hocmai.vn/file.php/3110/Nam_hoc_2026_-_2027/VAT_LI/BTTL/BTTL_TOV_TSA_L05._Moment_luc_can_bang_va_ung_dung_ki_thuat.pdf")</f>
        <v>https://hocmai.vn/file.php/3110/Nam_hoc_2026_-_2027/VAT_LI/BTTL/BTTL_TOV_TSA_L05._Moment_luc_can_bang_va_ung_dung_ki_thuat.pdf</v>
      </c>
      <c r="J132" s="42" t="str">
        <f aca="false">IFERROR(__xludf.dummyfunction("""COMPUTED_VALUE"""),"https://drive.google.com/drive/folders/1Sb_eLt9M8BBYzE-bCSW58XrJAMTZUX0R")</f>
        <v>https://drive.google.com/drive/folders/1Sb_eLt9M8BBYzE-bCSW58XrJAMTZUX0R</v>
      </c>
      <c r="K132" s="68" t="str">
        <f aca="false">IFERROR(__xludf.dummyfunction("""COMPUTED_VALUE"""),"Trangnth2")</f>
        <v>Trangnth2</v>
      </c>
      <c r="L132" s="68" t="str">
        <f aca="false">IFERROR(__xludf.dummyfunction("""COMPUTED_VALUE"""),"Trần Đức Lương")</f>
        <v>Trần Đức Lương</v>
      </c>
      <c r="M132" s="71"/>
      <c r="N132" s="77" t="str">
        <f aca="false">IFERROR(__xludf.dummyfunction("""COMPUTED_VALUE"""),"3110")</f>
        <v>3110</v>
      </c>
      <c r="O132" s="63" t="n">
        <f aca="false">IFERROR(__xludf.dummyfunction("""COMPUTED_VALUE"""),167254)</f>
        <v>167254</v>
      </c>
      <c r="P132" s="63"/>
      <c r="Q132" s="63"/>
      <c r="R132" s="41"/>
      <c r="S132" s="41"/>
      <c r="T132" s="63"/>
      <c r="U132" s="63"/>
      <c r="V132" s="70" t="n">
        <f aca="false">IFERROR(__xludf.dummyfunction("""COMPUTED_VALUE"""),46222)</f>
        <v>46222</v>
      </c>
      <c r="W132" s="39" t="str">
        <f aca="false">IFERROR(__xludf.dummyfunction("""COMPUTED_VALUE"""),"Hoàn thành XB")</f>
        <v>Hoàn thành XB</v>
      </c>
      <c r="X132" s="41" t="str">
        <f aca="false">IFERROR(__xludf.dummyfunction("""COMPUTED_VALUE"""),"Trangnth2")</f>
        <v>Trangnth2</v>
      </c>
      <c r="Y132" s="44" t="str">
        <f aca="false">IFERROR(__xludf.dummyfunction("""COMPUTED_VALUE"""),"done")</f>
        <v>done</v>
      </c>
      <c r="Z132" s="57" t="str">
        <f aca="false">IFERROR(__xludf.dummyfunction("""COMPUTED_VALUE"""),"#N/A")</f>
        <v>#N/A</v>
      </c>
      <c r="AA132" s="57"/>
      <c r="AB132" s="41" t="n">
        <f aca="false">IFERROR(__xludf.dummyfunction("""COMPUTED_VALUE"""),7)</f>
        <v>7</v>
      </c>
      <c r="AC132" s="57" t="str">
        <f aca="false">IFERROR(__xludf.dummyfunction("""COMPUTED_VALUE"""),"dungtt2@hocmai.vn                ")</f>
        <v>dungtt2@hocmai.vn                </v>
      </c>
      <c r="AD132" s="46" t="str">
        <f aca="false">IFERROR(__xludf.dummyfunction("""COMPUTED_VALUE"""),"ss.hsa01@ctv.hocmai.vn")</f>
        <v>ss.hsa01@ctv.hocmai.vn</v>
      </c>
      <c r="AE132" s="46"/>
      <c r="AF132" s="74" t="b">
        <f aca="false">IFERROR(__xludf.dummyfunction("""COMPUTED_VALUE"""),FALSE())</f>
        <v>0</v>
      </c>
      <c r="AG132" s="46" t="str">
        <f aca="false">IFERROR(__xludf.dummyfunction("""COMPUTED_VALUE"""),"")</f>
        <v/>
      </c>
      <c r="AH132" s="35"/>
      <c r="AI132" s="53" t="b">
        <f aca="false">IFERROR(__xludf.dummyfunction("""COMPUTED_VALUE"""),TRUE())</f>
        <v>1</v>
      </c>
      <c r="AJ132" s="35"/>
      <c r="AK132" s="35"/>
      <c r="AL132" s="35"/>
      <c r="AM132" s="35"/>
      <c r="AN132" s="35"/>
      <c r="AO132" s="46"/>
    </row>
    <row r="133" customFormat="false" ht="15.75" hidden="false" customHeight="true" outlineLevel="0" collapsed="false">
      <c r="A133" s="37" t="str">
        <f aca="false">IFERROR(__xludf.dummyfunction("""COMPUTED_VALUE"""),"Toán")</f>
        <v>Toán</v>
      </c>
      <c r="B133" s="37" t="str">
        <f aca="false">IFERROR(__xludf.dummyfunction("""COMPUTED_VALUE"""),"TOV_HSA_DL05")</f>
        <v>TOV_HSA_DL05</v>
      </c>
      <c r="C133" s="59" t="str">
        <f aca="false">IFERROR(__xludf.dummyfunction("""COMPUTED_VALUE"""),"Ứng dụng đạo hàm giải PT – BPT")</f>
        <v>Ứng dụng đạo hàm giải PT – BPT</v>
      </c>
      <c r="D133" s="39" t="str">
        <f aca="false">IFERROR(__xludf.dummyfunction("""COMPUTED_VALUE"""),"Nguyễn Thanh Tùng")</f>
        <v>Nguyễn Thanh Tùng</v>
      </c>
      <c r="E133" s="40" t="n">
        <f aca="false">IFERROR(__xludf.dummyfunction("""COMPUTED_VALUE"""),46219)</f>
        <v>46219</v>
      </c>
      <c r="F133" s="41" t="n">
        <f aca="false">IFERROR(__xludf.dummyfunction("""COMPUTED_VALUE"""),5)</f>
        <v>5</v>
      </c>
      <c r="G133" s="37" t="str">
        <f aca="false">IFERROR(__xludf.dummyfunction("""COMPUTED_VALUE"""),"18:00-20:00")</f>
        <v>18:00-20:00</v>
      </c>
      <c r="H133" s="37"/>
      <c r="I133" s="37"/>
      <c r="J133" s="42" t="str">
        <f aca="false">IFERROR(__xludf.dummyfunction("""COMPUTED_VALUE"""),"https://drive.google.com/drive/folders/1Re6mpwgNFciwRMex-dT0z4Bhw2SFS_VB?usp=drive_link")</f>
        <v>https://drive.google.com/drive/folders/1Re6mpwgNFciwRMex-dT0z4Bhw2SFS_VB?usp=drive_link</v>
      </c>
      <c r="K133" s="68" t="str">
        <f aca="false">IFERROR(__xludf.dummyfunction("""COMPUTED_VALUE"""),"Locdd")</f>
        <v>Locdd</v>
      </c>
      <c r="L133" s="68" t="str">
        <f aca="false">IFERROR(__xludf.dummyfunction("""COMPUTED_VALUE"""),"Phan Đức Kiên")</f>
        <v>Phan Đức Kiên</v>
      </c>
      <c r="M133" s="71"/>
      <c r="N133" s="77" t="str">
        <f aca="false">IFERROR(__xludf.dummyfunction("""COMPUTED_VALUE"""),"3117,3315")</f>
        <v>3117,3315</v>
      </c>
      <c r="O133" s="73" t="n">
        <f aca="false">IFERROR(__xludf.dummyfunction("""COMPUTED_VALUE"""),168579.16832)</f>
        <v>168579.16832</v>
      </c>
      <c r="P133" s="63" t="str">
        <f aca="false">IFERROR(__xludf.dummyfunction("""COMPUTED_VALUE"""),"9028,9036,9104,9106")</f>
        <v>9028,9036,9104,9106</v>
      </c>
      <c r="Q133" s="63" t="n">
        <f aca="false">IFERROR(__xludf.dummyfunction("""COMPUTED_VALUE"""),168320)</f>
        <v>168320</v>
      </c>
      <c r="R133" s="41"/>
      <c r="S133" s="41"/>
      <c r="T133" s="63"/>
      <c r="U133" s="63"/>
      <c r="V133" s="70" t="n">
        <f aca="false">IFERROR(__xludf.dummyfunction("""COMPUTED_VALUE"""),46222)</f>
        <v>46222</v>
      </c>
      <c r="W133" s="39" t="str">
        <f aca="false">IFERROR(__xludf.dummyfunction("""COMPUTED_VALUE"""),"Hoàn thành XB")</f>
        <v>Hoàn thành XB</v>
      </c>
      <c r="X133" s="41" t="str">
        <f aca="false">IFERROR(__xludf.dummyfunction("""COMPUTED_VALUE"""),"Locdd")</f>
        <v>Locdd</v>
      </c>
      <c r="Y133" s="44" t="str">
        <f aca="false">IFERROR(__xludf.dummyfunction("""COMPUTED_VALUE"""),"done")</f>
        <v>done</v>
      </c>
      <c r="Z133" s="57" t="str">
        <f aca="false">IFERROR(__xludf.dummyfunction("""COMPUTED_VALUE"""),"#N/A")</f>
        <v>#N/A</v>
      </c>
      <c r="AA133" s="57"/>
      <c r="AB133" s="41" t="n">
        <f aca="false">IFERROR(__xludf.dummyfunction("""COMPUTED_VALUE"""),7)</f>
        <v>7</v>
      </c>
      <c r="AC133" s="57" t="str">
        <f aca="false">IFERROR(__xludf.dummyfunction("""COMPUTED_VALUE"""),"gv.tungnt@hocmai.edu.vn ")</f>
        <v>gv.tungnt@hocmai.edu.vn </v>
      </c>
      <c r="AD133" s="46" t="str">
        <f aca="false">IFERROR(__xludf.dummyfunction("""COMPUTED_VALUE"""),"duckien010607@gmail.com")</f>
        <v>duckien010607@gmail.com</v>
      </c>
      <c r="AE133" s="46"/>
      <c r="AF133" s="47" t="str">
        <f aca="false">IFERROR(__xludf.dummyfunction("""COMPUTED_VALUE"""),"lophoctoan-946219")</f>
        <v>lophoctoan-946219</v>
      </c>
      <c r="AG133" s="46" t="str">
        <f aca="false">IFERROR(__xludf.dummyfunction("""COMPUTED_VALUE"""),"")</f>
        <v/>
      </c>
      <c r="AH133" s="35"/>
      <c r="AI133" s="35"/>
      <c r="AJ133" s="53" t="b">
        <f aca="false">IFERROR(__xludf.dummyfunction("""COMPUTED_VALUE"""),TRUE())</f>
        <v>1</v>
      </c>
      <c r="AK133" s="53" t="b">
        <f aca="false">IFERROR(__xludf.dummyfunction("""COMPUTED_VALUE"""),TRUE())</f>
        <v>1</v>
      </c>
      <c r="AL133" s="35"/>
      <c r="AM133" s="35"/>
      <c r="AN133" s="35"/>
      <c r="AO133" s="46"/>
    </row>
    <row r="134" customFormat="false" ht="15.75" hidden="false" customHeight="true" outlineLevel="0" collapsed="false">
      <c r="A134" s="37" t="str">
        <f aca="false">IFERROR(__xludf.dummyfunction("""COMPUTED_VALUE"""),"Vật lí")</f>
        <v>Vật lí</v>
      </c>
      <c r="B134" s="37" t="str">
        <f aca="false">IFERROR(__xludf.dummyfunction("""COMPUTED_VALUE"""),"TOV_HSA_VL05")</f>
        <v>TOV_HSA_VL05</v>
      </c>
      <c r="C134" s="59" t="str">
        <f aca="false">IFERROR(__xludf.dummyfunction("""COMPUTED_VALUE"""),"Động lượng – Va chạm và bảo toàn động lượng")</f>
        <v>Động lượng – Va chạm và bảo toàn động lượng</v>
      </c>
      <c r="D134" s="39" t="str">
        <f aca="false">IFERROR(__xludf.dummyfunction("""COMPUTED_VALUE"""),"Nguyễn Hữu Tình")</f>
        <v>Nguyễn Hữu Tình</v>
      </c>
      <c r="E134" s="40" t="n">
        <f aca="false">IFERROR(__xludf.dummyfunction("""COMPUTED_VALUE"""),46219)</f>
        <v>46219</v>
      </c>
      <c r="F134" s="41" t="n">
        <f aca="false">IFERROR(__xludf.dummyfunction("""COMPUTED_VALUE"""),5)</f>
        <v>5</v>
      </c>
      <c r="G134" s="37" t="str">
        <f aca="false">IFERROR(__xludf.dummyfunction("""COMPUTED_VALUE"""),"21:00-23:00")</f>
        <v>21:00-23:00</v>
      </c>
      <c r="H134" s="42" t="str">
        <f aca="false">IFERROR(__xludf.dummyfunction("""COMPUTED_VALUE"""),"https://hocmai.vn/file.php/3119/NAM_HOC_2026_-_2027/Tai_lieu_live/TLHS_TOV_HSA_VL05._Dong_luong_-_Va_cham_va_bao_toan_dong_luong.pdf")</f>
        <v>https://hocmai.vn/file.php/3119/NAM_HOC_2026_-_2027/Tai_lieu_live/TLHS_TOV_HSA_VL05._Dong_luong_-_Va_cham_va_bao_toan_dong_luong.pdf</v>
      </c>
      <c r="I134" s="42" t="str">
        <f aca="false">IFERROR(__xludf.dummyfunction("""COMPUTED_VALUE"""),"https://hocmai.vn/file.php/3119/NAM_HOC_2026_-_2027/BTTL/BTTL_TOV_HSA_VL05._Dong_luong_-_Va_cham_va_bao_toan_dong_luong.pdf")</f>
        <v>https://hocmai.vn/file.php/3119/NAM_HOC_2026_-_2027/BTTL/BTTL_TOV_HSA_VL05._Dong_luong_-_Va_cham_va_bao_toan_dong_luong.pdf</v>
      </c>
      <c r="J134" s="42" t="str">
        <f aca="false">IFERROR(__xludf.dummyfunction("""COMPUTED_VALUE"""),"https://drive.google.com/drive/folders/1rlTyYhT-FwlfE9okU0Gcey3xWVP1FXNP")</f>
        <v>https://drive.google.com/drive/folders/1rlTyYhT-FwlfE9okU0Gcey3xWVP1FXNP</v>
      </c>
      <c r="K134" s="68" t="str">
        <f aca="false">IFERROR(__xludf.dummyfunction("""COMPUTED_VALUE"""),"Trangnth2")</f>
        <v>Trangnth2</v>
      </c>
      <c r="L134" s="68" t="str">
        <f aca="false">IFERROR(__xludf.dummyfunction("""COMPUTED_VALUE"""),"Kiều Bảo Minh")</f>
        <v>Kiều Bảo Minh</v>
      </c>
      <c r="M134" s="71"/>
      <c r="N134" s="76" t="str">
        <f aca="false">IFERROR(__xludf.dummyfunction("""COMPUTED_VALUE"""),"3119")</f>
        <v>3119</v>
      </c>
      <c r="O134" s="63" t="n">
        <f aca="false">IFERROR(__xludf.dummyfunction("""COMPUTED_VALUE"""),167520)</f>
        <v>167520</v>
      </c>
      <c r="P134" s="63"/>
      <c r="Q134" s="63"/>
      <c r="R134" s="41"/>
      <c r="S134" s="41"/>
      <c r="T134" s="63"/>
      <c r="U134" s="63" t="n">
        <f aca="false">IFERROR(__xludf.dummyfunction("""COMPUTED_VALUE"""),10461)</f>
        <v>10461</v>
      </c>
      <c r="V134" s="70" t="n">
        <f aca="false">IFERROR(__xludf.dummyfunction("""COMPUTED_VALUE"""),46222)</f>
        <v>46222</v>
      </c>
      <c r="W134" s="39" t="str">
        <f aca="false">IFERROR(__xludf.dummyfunction("""COMPUTED_VALUE"""),"Hoàn thành XB")</f>
        <v>Hoàn thành XB</v>
      </c>
      <c r="X134" s="41" t="str">
        <f aca="false">IFERROR(__xludf.dummyfunction("""COMPUTED_VALUE"""),"Trangnth2")</f>
        <v>Trangnth2</v>
      </c>
      <c r="Y134" s="44" t="str">
        <f aca="false">IFERROR(__xludf.dummyfunction("""COMPUTED_VALUE"""),"done")</f>
        <v>done</v>
      </c>
      <c r="Z134" s="57" t="str">
        <f aca="false">IFERROR(__xludf.dummyfunction("""COMPUTED_VALUE"""),"#N/A")</f>
        <v>#N/A</v>
      </c>
      <c r="AA134" s="57"/>
      <c r="AB134" s="41" t="n">
        <f aca="false">IFERROR(__xludf.dummyfunction("""COMPUTED_VALUE"""),7)</f>
        <v>7</v>
      </c>
      <c r="AC134" s="57" t="str">
        <f aca="false">IFERROR(__xludf.dummyfunction("""COMPUTED_VALUE"""),"gv.tinhnh@hocmai.edu.vn ")</f>
        <v>gv.tinhnh@hocmai.edu.vn </v>
      </c>
      <c r="AD134" s="46" t="str">
        <f aca="false">IFERROR(__xludf.dummyfunction("""COMPUTED_VALUE"""),"mkieu2662@gmail.com")</f>
        <v>mkieu2662@gmail.com</v>
      </c>
      <c r="AE134" s="46"/>
      <c r="AF134" s="74" t="b">
        <f aca="false">IFERROR(__xludf.dummyfunction("""COMPUTED_VALUE"""),FALSE())</f>
        <v>0</v>
      </c>
      <c r="AG134" s="46" t="str">
        <f aca="false">IFERROR(__xludf.dummyfunction("""COMPUTED_VALUE"""),"")</f>
        <v/>
      </c>
      <c r="AH134" s="35"/>
      <c r="AI134" s="35"/>
      <c r="AJ134" s="53" t="b">
        <f aca="false">IFERROR(__xludf.dummyfunction("""COMPUTED_VALUE"""),TRUE())</f>
        <v>1</v>
      </c>
      <c r="AK134" s="53" t="b">
        <f aca="false">IFERROR(__xludf.dummyfunction("""COMPUTED_VALUE"""),TRUE())</f>
        <v>1</v>
      </c>
      <c r="AL134" s="35"/>
      <c r="AM134" s="35"/>
      <c r="AN134" s="35"/>
      <c r="AO134" s="46"/>
    </row>
    <row r="135" customFormat="false" ht="15.75" hidden="false" customHeight="true" outlineLevel="0" collapsed="false">
      <c r="A135" s="37" t="str">
        <f aca="false">IFERROR(__xludf.dummyfunction("""COMPUTED_VALUE"""),"Toán")</f>
        <v>Toán</v>
      </c>
      <c r="B135" s="37" t="str">
        <f aca="false">IFERROR(__xludf.dummyfunction("""COMPUTED_VALUE"""),"TOA_V-ACT_T05")</f>
        <v>TOA_V-ACT_T05</v>
      </c>
      <c r="C135" s="59" t="str">
        <f aca="false">IFERROR(__xludf.dummyfunction("""COMPUTED_VALUE"""),"Các phương pháp và kĩ năng xử lí bài toán giới hạn và đạo hàm (P2)")</f>
        <v>Các phương pháp và kĩ năng xử lí bài toán giới hạn và đạo hàm (P2)</v>
      </c>
      <c r="D135" s="39" t="str">
        <f aca="false">IFERROR(__xludf.dummyfunction("""COMPUTED_VALUE"""),"Nguyễn Hoài Nam")</f>
        <v>Nguyễn Hoài Nam</v>
      </c>
      <c r="E135" s="40" t="n">
        <f aca="false">IFERROR(__xludf.dummyfunction("""COMPUTED_VALUE"""),46219)</f>
        <v>46219</v>
      </c>
      <c r="F135" s="41" t="n">
        <f aca="false">IFERROR(__xludf.dummyfunction("""COMPUTED_VALUE"""),5)</f>
        <v>5</v>
      </c>
      <c r="G135" s="37" t="str">
        <f aca="false">IFERROR(__xludf.dummyfunction("""COMPUTED_VALUE"""),"21:00-22:30")</f>
        <v>21:00-22:30</v>
      </c>
      <c r="H135" s="37"/>
      <c r="I135" s="37"/>
      <c r="J135" s="42" t="str">
        <f aca="false">IFERROR(__xludf.dummyfunction("""COMPUTED_VALUE"""),"https://drive.google.com/drive/folders/1HMD18CKH7MoJo30Hcwt8w_2qoCplrOy7?usp=sharing")</f>
        <v>https://drive.google.com/drive/folders/1HMD18CKH7MoJo30Hcwt8w_2qoCplrOy7?usp=sharing</v>
      </c>
      <c r="K135" s="68" t="str">
        <f aca="false">IFERROR(__xludf.dummyfunction("""COMPUTED_VALUE"""),"Lent")</f>
        <v>Lent</v>
      </c>
      <c r="L135" s="68" t="str">
        <f aca="false">IFERROR(__xludf.dummyfunction("""COMPUTED_VALUE"""),"Lường Nhật Nam")</f>
        <v>Lường Nhật Nam</v>
      </c>
      <c r="M135" s="71"/>
      <c r="N135" s="77" t="str">
        <f aca="false">IFERROR(__xludf.dummyfunction("""COMPUTED_VALUE"""),"3124,3316")</f>
        <v>3124,3316</v>
      </c>
      <c r="O135" s="73" t="n">
        <f aca="false">IFERROR(__xludf.dummyfunction("""COMPUTED_VALUE"""),167190.166859)</f>
        <v>167190.166859</v>
      </c>
      <c r="P135" s="63" t="n">
        <f aca="false">IFERROR(__xludf.dummyfunction("""COMPUTED_VALUE"""),9044.9108)</f>
        <v>9044.9108</v>
      </c>
      <c r="Q135" s="63" t="n">
        <f aca="false">IFERROR(__xludf.dummyfunction("""COMPUTED_VALUE"""),167190)</f>
        <v>167190</v>
      </c>
      <c r="R135" s="41" t="n">
        <f aca="false">IFERROR(__xludf.dummyfunction("""COMPUTED_VALUE"""),166859)</f>
        <v>166859</v>
      </c>
      <c r="S135" s="41"/>
      <c r="T135" s="63"/>
      <c r="U135" s="63"/>
      <c r="V135" s="70" t="n">
        <f aca="false">IFERROR(__xludf.dummyfunction("""COMPUTED_VALUE"""),46222)</f>
        <v>46222</v>
      </c>
      <c r="W135" s="39" t="str">
        <f aca="false">IFERROR(__xludf.dummyfunction("""COMPUTED_VALUE"""),"Hoàn thành XB")</f>
        <v>Hoàn thành XB</v>
      </c>
      <c r="X135" s="41" t="str">
        <f aca="false">IFERROR(__xludf.dummyfunction("""COMPUTED_VALUE"""),"Lent")</f>
        <v>Lent</v>
      </c>
      <c r="Y135" s="44" t="str">
        <f aca="false">IFERROR(__xludf.dummyfunction("""COMPUTED_VALUE"""),"done")</f>
        <v>done</v>
      </c>
      <c r="Z135" s="57" t="str">
        <f aca="false">IFERROR(__xludf.dummyfunction("""COMPUTED_VALUE"""),"#N/A")</f>
        <v>#N/A</v>
      </c>
      <c r="AA135" s="57"/>
      <c r="AB135" s="41" t="n">
        <f aca="false">IFERROR(__xludf.dummyfunction("""COMPUTED_VALUE"""),7)</f>
        <v>7</v>
      </c>
      <c r="AC135" s="57" t="str">
        <f aca="false">IFERROR(__xludf.dummyfunction("""COMPUTED_VALUE"""),"gv.namnh@hocmai.edu.vn ")</f>
        <v>gv.namnh@hocmai.edu.vn </v>
      </c>
      <c r="AD135" s="46" t="str">
        <f aca="false">IFERROR(__xludf.dummyfunction("""COMPUTED_VALUE"""),"nhatnam1092@gmail.com")</f>
        <v>nhatnam1092@gmail.com</v>
      </c>
      <c r="AE135" s="46"/>
      <c r="AF135" s="47" t="str">
        <f aca="false">IFERROR(__xludf.dummyfunction("""COMPUTED_VALUE"""),"lophoctoan-946219")</f>
        <v>lophoctoan-946219</v>
      </c>
      <c r="AG135" s="46" t="str">
        <f aca="false">IFERROR(__xludf.dummyfunction("""COMPUTED_VALUE"""),"")</f>
        <v/>
      </c>
      <c r="AH135" s="35"/>
      <c r="AI135" s="35"/>
      <c r="AJ135" s="35"/>
      <c r="AK135" s="35"/>
      <c r="AL135" s="35"/>
      <c r="AM135" s="53" t="b">
        <f aca="false">IFERROR(__xludf.dummyfunction("""COMPUTED_VALUE"""),TRUE())</f>
        <v>1</v>
      </c>
      <c r="AN135" s="53" t="b">
        <f aca="false">IFERROR(__xludf.dummyfunction("""COMPUTED_VALUE"""),TRUE())</f>
        <v>1</v>
      </c>
      <c r="AO135" s="46"/>
    </row>
    <row r="136" customFormat="false" ht="15.75" hidden="false" customHeight="true" outlineLevel="0" collapsed="false">
      <c r="A136" s="37" t="str">
        <f aca="false">IFERROR(__xludf.dummyfunction("""COMPUTED_VALUE"""),"Thực chiến Khoa học")</f>
        <v>Thực chiến Khoa học</v>
      </c>
      <c r="B136" s="37" t="str">
        <f aca="false">IFERROR(__xludf.dummyfunction("""COMPUTED_VALUE"""),"TC_TSA_KH_05")</f>
        <v>TC_TSA_KH_05</v>
      </c>
      <c r="C136" s="59" t="str">
        <f aca="false">IFERROR(__xludf.dummyfunction("""COMPUTED_VALUE"""),"[Bổ trợ]_Chữa bài tập TSA_Tư duy Khoa học số 05")</f>
        <v>[Bổ trợ]_Chữa bài tập TSA_Tư duy Khoa học số 05</v>
      </c>
      <c r="D136" s="39" t="str">
        <f aca="false">IFERROR(__xludf.dummyfunction("""COMPUTED_VALUE"""),"Phạm Huy Hoàng")</f>
        <v>Phạm Huy Hoàng</v>
      </c>
      <c r="E136" s="40" t="n">
        <f aca="false">IFERROR(__xludf.dummyfunction("""COMPUTED_VALUE"""),46219)</f>
        <v>46219</v>
      </c>
      <c r="F136" s="41" t="n">
        <f aca="false">IFERROR(__xludf.dummyfunction("""COMPUTED_VALUE"""),5)</f>
        <v>5</v>
      </c>
      <c r="G136" s="37" t="str">
        <f aca="false">IFERROR(__xludf.dummyfunction("""COMPUTED_VALUE"""),"19:00-20:00")</f>
        <v>19:00-20:00</v>
      </c>
      <c r="H136" s="37"/>
      <c r="I136" s="37"/>
      <c r="J136" s="42" t="str">
        <f aca="false">IFERROR(__xludf.dummyfunction("""COMPUTED_VALUE"""),"https://drive.google.com/drive/folders/1_7xuY6Lowa0JEIG5PK0Zlu6xm-cZIvjD?usp=drive_link")</f>
        <v>https://drive.google.com/drive/folders/1_7xuY6Lowa0JEIG5PK0Zlu6xm-cZIvjD?usp=drive_link</v>
      </c>
      <c r="K136" s="68" t="str">
        <f aca="false">IFERROR(__xludf.dummyfunction("""COMPUTED_VALUE"""),"Trangnth2")</f>
        <v>Trangnth2</v>
      </c>
      <c r="L136" s="68" t="str">
        <f aca="false">IFERROR(__xludf.dummyfunction("""COMPUTED_VALUE"""),"HOCMAI")</f>
        <v>HOCMAI</v>
      </c>
      <c r="M136" s="71"/>
      <c r="N136" s="77" t="str">
        <f aca="false">IFERROR(__xludf.dummyfunction("""COMPUTED_VALUE"""),"3110")</f>
        <v>3110</v>
      </c>
      <c r="O136" s="63" t="n">
        <f aca="false">IFERROR(__xludf.dummyfunction("""COMPUTED_VALUE"""),175128)</f>
        <v>175128</v>
      </c>
      <c r="P136" s="60" t="str">
        <f aca="false">IFERROR(__xludf.dummyfunction("""COMPUTED_VALUE"""),"https://hocmai.vn/bai-giang-truc-tuyen/175128/.html")</f>
        <v>https://hocmai.vn/bai-giang-truc-tuyen/175128/.html</v>
      </c>
      <c r="Q136" s="63"/>
      <c r="R136" s="41"/>
      <c r="S136" s="41"/>
      <c r="T136" s="63"/>
      <c r="U136" s="63"/>
      <c r="V136" s="70" t="n">
        <f aca="false">IFERROR(__xludf.dummyfunction("""COMPUTED_VALUE"""),46222)</f>
        <v>46222</v>
      </c>
      <c r="W136" s="39" t="str">
        <f aca="false">IFERROR(__xludf.dummyfunction("""COMPUTED_VALUE"""),"Hoàn thành XB")</f>
        <v>Hoàn thành XB</v>
      </c>
      <c r="X136" s="41" t="str">
        <f aca="false">IFERROR(__xludf.dummyfunction("""COMPUTED_VALUE"""),"Vuta")</f>
        <v>Vuta</v>
      </c>
      <c r="Y136" s="44"/>
      <c r="Z136" s="57"/>
      <c r="AA136" s="57"/>
      <c r="AB136" s="41" t="n">
        <f aca="false">IFERROR(__xludf.dummyfunction("""COMPUTED_VALUE"""),7)</f>
        <v>7</v>
      </c>
      <c r="AC136" s="57" t="str">
        <f aca="false">IFERROR(__xludf.dummyfunction("""COMPUTED_VALUE"""),"0376611308")</f>
        <v>0376611308</v>
      </c>
      <c r="AD136" s="46"/>
      <c r="AE136" s="46"/>
      <c r="AF136" s="47"/>
      <c r="AG136" s="46"/>
      <c r="AH136" s="53" t="b">
        <f aca="false">IFERROR(__xludf.dummyfunction("""COMPUTED_VALUE"""),FALSE())</f>
        <v>0</v>
      </c>
      <c r="AI136" s="53" t="b">
        <f aca="false">IFERROR(__xludf.dummyfunction("""COMPUTED_VALUE"""),TRUE())</f>
        <v>1</v>
      </c>
      <c r="AJ136" s="53" t="b">
        <f aca="false">IFERROR(__xludf.dummyfunction("""COMPUTED_VALUE"""),FALSE())</f>
        <v>0</v>
      </c>
      <c r="AK136" s="53" t="b">
        <f aca="false">IFERROR(__xludf.dummyfunction("""COMPUTED_VALUE"""),FALSE())</f>
        <v>0</v>
      </c>
      <c r="AL136" s="53" t="b">
        <f aca="false">IFERROR(__xludf.dummyfunction("""COMPUTED_VALUE"""),FALSE())</f>
        <v>0</v>
      </c>
      <c r="AM136" s="53" t="b">
        <f aca="false">IFERROR(__xludf.dummyfunction("""COMPUTED_VALUE"""),FALSE())</f>
        <v>0</v>
      </c>
      <c r="AN136" s="53" t="b">
        <f aca="false">IFERROR(__xludf.dummyfunction("""COMPUTED_VALUE"""),FALSE())</f>
        <v>0</v>
      </c>
      <c r="AO136" s="46"/>
    </row>
    <row r="137" customFormat="false" ht="15.75" hidden="false" customHeight="true" outlineLevel="0" collapsed="false">
      <c r="A137" s="37" t="str">
        <f aca="false">IFERROR(__xludf.dummyfunction("""COMPUTED_VALUE"""),"Toán")</f>
        <v>Toán</v>
      </c>
      <c r="B137" s="37" t="str">
        <f aca="false">IFERROR(__xludf.dummyfunction("""COMPUTED_VALUE"""),"TOV_TSA_T05")</f>
        <v>TOV_TSA_T05</v>
      </c>
      <c r="C137" s="59" t="str">
        <f aca="false">IFERROR(__xludf.dummyfunction("""COMPUTED_VALUE"""),"Các bài toán đặc biệt và các bài toán tổng hợp")</f>
        <v>Các bài toán đặc biệt và các bài toán tổng hợp</v>
      </c>
      <c r="D137" s="39" t="str">
        <f aca="false">IFERROR(__xludf.dummyfunction("""COMPUTED_VALUE"""),"Nguyễn Thanh Tùng")</f>
        <v>Nguyễn Thanh Tùng</v>
      </c>
      <c r="E137" s="40" t="n">
        <f aca="false">IFERROR(__xludf.dummyfunction("""COMPUTED_VALUE"""),46220)</f>
        <v>46220</v>
      </c>
      <c r="F137" s="41" t="n">
        <f aca="false">IFERROR(__xludf.dummyfunction("""COMPUTED_VALUE"""),6)</f>
        <v>6</v>
      </c>
      <c r="G137" s="37" t="str">
        <f aca="false">IFERROR(__xludf.dummyfunction("""COMPUTED_VALUE"""),"18:00-20:00")</f>
        <v>18:00-20:00</v>
      </c>
      <c r="H137" s="37"/>
      <c r="I137" s="37"/>
      <c r="J137" s="42" t="str">
        <f aca="false">IFERROR(__xludf.dummyfunction("""COMPUTED_VALUE"""),"https://drive.google.com/drive/folders/1hHk-q_KWefu3WjynJmV_BUNT3-iT6BKI?usp=drive_link")</f>
        <v>https://drive.google.com/drive/folders/1hHk-q_KWefu3WjynJmV_BUNT3-iT6BKI?usp=drive_link</v>
      </c>
      <c r="K137" s="68" t="str">
        <f aca="false">IFERROR(__xludf.dummyfunction("""COMPUTED_VALUE"""),"Locdd")</f>
        <v>Locdd</v>
      </c>
      <c r="L137" s="68" t="str">
        <f aca="false">IFERROR(__xludf.dummyfunction("""COMPUTED_VALUE"""),"Tưởng Thị Huyền Trang")</f>
        <v>Tưởng Thị Huyền Trang</v>
      </c>
      <c r="M137" s="71"/>
      <c r="N137" s="77" t="str">
        <f aca="false">IFERROR(__xludf.dummyfunction("""COMPUTED_VALUE"""),"3108")</f>
        <v>3108</v>
      </c>
      <c r="O137" s="63" t="n">
        <f aca="false">IFERROR(__xludf.dummyfunction("""COMPUTED_VALUE"""),168364)</f>
        <v>168364</v>
      </c>
      <c r="P137" s="63"/>
      <c r="Q137" s="63"/>
      <c r="R137" s="41"/>
      <c r="S137" s="41"/>
      <c r="T137" s="63"/>
      <c r="U137" s="63"/>
      <c r="V137" s="70" t="n">
        <f aca="false">IFERROR(__xludf.dummyfunction("""COMPUTED_VALUE"""),46223)</f>
        <v>46223</v>
      </c>
      <c r="W137" s="39" t="str">
        <f aca="false">IFERROR(__xludf.dummyfunction("""COMPUTED_VALUE"""),"Hoàn thành XB")</f>
        <v>Hoàn thành XB</v>
      </c>
      <c r="X137" s="41" t="str">
        <f aca="false">IFERROR(__xludf.dummyfunction("""COMPUTED_VALUE"""),"Locdd")</f>
        <v>Locdd</v>
      </c>
      <c r="Y137" s="44" t="str">
        <f aca="false">IFERROR(__xludf.dummyfunction("""COMPUTED_VALUE"""),"done")</f>
        <v>done</v>
      </c>
      <c r="Z137" s="57" t="str">
        <f aca="false">IFERROR(__xludf.dummyfunction("""COMPUTED_VALUE"""),"#N/A")</f>
        <v>#N/A</v>
      </c>
      <c r="AA137" s="57"/>
      <c r="AB137" s="41" t="n">
        <f aca="false">IFERROR(__xludf.dummyfunction("""COMPUTED_VALUE"""),7)</f>
        <v>7</v>
      </c>
      <c r="AC137" s="57" t="str">
        <f aca="false">IFERROR(__xludf.dummyfunction("""COMPUTED_VALUE"""),"gv.tungnt@hocmai.edu.vn ")</f>
        <v>gv.tungnt@hocmai.edu.vn </v>
      </c>
      <c r="AD137" s="46" t="str">
        <f aca="false">IFERROR(__xludf.dummyfunction("""COMPUTED_VALUE"""),"trangcrazy699@gmail.com")</f>
        <v>trangcrazy699@gmail.com</v>
      </c>
      <c r="AE137" s="46"/>
      <c r="AF137" s="47" t="str">
        <f aca="false">IFERROR(__xludf.dummyfunction("""COMPUTED_VALUE"""),"lophoctoan-946220")</f>
        <v>lophoctoan-946220</v>
      </c>
      <c r="AG137" s="46" t="str">
        <f aca="false">IFERROR(__xludf.dummyfunction("""COMPUTED_VALUE"""),"")</f>
        <v/>
      </c>
      <c r="AH137" s="35"/>
      <c r="AI137" s="53" t="b">
        <f aca="false">IFERROR(__xludf.dummyfunction("""COMPUTED_VALUE"""),TRUE())</f>
        <v>1</v>
      </c>
      <c r="AJ137" s="35"/>
      <c r="AK137" s="35"/>
      <c r="AL137" s="35"/>
      <c r="AM137" s="35"/>
      <c r="AN137" s="35"/>
      <c r="AO137" s="46"/>
    </row>
    <row r="138" customFormat="false" ht="15.75" hidden="false" customHeight="true" outlineLevel="0" collapsed="false">
      <c r="A138" s="37" t="str">
        <f aca="false">IFERROR(__xludf.dummyfunction("""COMPUTED_VALUE"""),"Sinh học")</f>
        <v>Sinh học</v>
      </c>
      <c r="B138" s="37" t="str">
        <f aca="false">IFERROR(__xludf.dummyfunction("""COMPUTED_VALUE"""),"TOV_HSA_SH05")</f>
        <v>TOV_HSA_SH05</v>
      </c>
      <c r="C138" s="59" t="str">
        <f aca="false">IFERROR(__xludf.dummyfunction("""COMPUTED_VALUE"""),"Chu kì tế bào – Nguyên phân – Giảm phân – Công nghệ tế bào")</f>
        <v>Chu kì tế bào – Nguyên phân – Giảm phân – Công nghệ tế bào</v>
      </c>
      <c r="D138" s="39" t="str">
        <f aca="false">IFERROR(__xludf.dummyfunction("""COMPUTED_VALUE"""),"Nguyễn Dương Ánh Hồng")</f>
        <v>Nguyễn Dương Ánh Hồng</v>
      </c>
      <c r="E138" s="40" t="n">
        <f aca="false">IFERROR(__xludf.dummyfunction("""COMPUTED_VALUE"""),46220)</f>
        <v>46220</v>
      </c>
      <c r="F138" s="41" t="n">
        <f aca="false">IFERROR(__xludf.dummyfunction("""COMPUTED_VALUE"""),6)</f>
        <v>6</v>
      </c>
      <c r="G138" s="37" t="str">
        <f aca="false">IFERROR(__xludf.dummyfunction("""COMPUTED_VALUE"""),"19:30-21:30")</f>
        <v>19:30-21:30</v>
      </c>
      <c r="H138" s="37"/>
      <c r="I138" s="37"/>
      <c r="J138" s="42" t="str">
        <f aca="false">IFERROR(__xludf.dummyfunction("""COMPUTED_VALUE"""),"https://drive.google.com/drive/folders/1Fg7Eq65FjOVpdj4U0syIxiASkA1EFOvB?usp=drive_link")</f>
        <v>https://drive.google.com/drive/folders/1Fg7Eq65FjOVpdj4U0syIxiASkA1EFOvB?usp=drive_link</v>
      </c>
      <c r="K138" s="68" t="str">
        <f aca="false">IFERROR(__xludf.dummyfunction("""COMPUTED_VALUE"""),"Phuongdt")</f>
        <v>Phuongdt</v>
      </c>
      <c r="L138" s="68" t="str">
        <f aca="false">IFERROR(__xludf.dummyfunction("""COMPUTED_VALUE"""),"Phan Đức Kiên")</f>
        <v>Phan Đức Kiên</v>
      </c>
      <c r="M138" s="71"/>
      <c r="N138" s="77" t="str">
        <f aca="false">IFERROR(__xludf.dummyfunction("""COMPUTED_VALUE"""),"3121")</f>
        <v>3121</v>
      </c>
      <c r="O138" s="63" t="n">
        <f aca="false">IFERROR(__xludf.dummyfunction("""COMPUTED_VALUE"""),167322)</f>
        <v>167322</v>
      </c>
      <c r="P138" s="63"/>
      <c r="Q138" s="63"/>
      <c r="R138" s="41"/>
      <c r="S138" s="41"/>
      <c r="T138" s="63" t="n">
        <f aca="false">IFERROR(__xludf.dummyfunction("""COMPUTED_VALUE"""),23585)</f>
        <v>23585</v>
      </c>
      <c r="U138" s="63"/>
      <c r="V138" s="70" t="n">
        <f aca="false">IFERROR(__xludf.dummyfunction("""COMPUTED_VALUE"""),46223)</f>
        <v>46223</v>
      </c>
      <c r="W138" s="39" t="str">
        <f aca="false">IFERROR(__xludf.dummyfunction("""COMPUTED_VALUE"""),"Hoàn thành XB")</f>
        <v>Hoàn thành XB</v>
      </c>
      <c r="X138" s="41" t="str">
        <f aca="false">IFERROR(__xludf.dummyfunction("""COMPUTED_VALUE"""),"Phuongdt")</f>
        <v>Phuongdt</v>
      </c>
      <c r="Y138" s="44" t="str">
        <f aca="false">IFERROR(__xludf.dummyfunction("""COMPUTED_VALUE"""),"done")</f>
        <v>done</v>
      </c>
      <c r="Z138" s="57" t="str">
        <f aca="false">IFERROR(__xludf.dummyfunction("""COMPUTED_VALUE"""),"#N/A")</f>
        <v>#N/A</v>
      </c>
      <c r="AA138" s="57"/>
      <c r="AB138" s="41" t="n">
        <f aca="false">IFERROR(__xludf.dummyfunction("""COMPUTED_VALUE"""),7)</f>
        <v>7</v>
      </c>
      <c r="AC138" s="57" t="str">
        <f aca="false">IFERROR(__xludf.dummyfunction("""COMPUTED_VALUE"""),"gv.hongnda@hocmai.edu.vn ")</f>
        <v>gv.hongnda@hocmai.edu.vn </v>
      </c>
      <c r="AD138" s="46" t="str">
        <f aca="false">IFERROR(__xludf.dummyfunction("""COMPUTED_VALUE"""),"duckien010607@gmail.com")</f>
        <v>duckien010607@gmail.com</v>
      </c>
      <c r="AE138" s="46"/>
      <c r="AF138" s="74" t="b">
        <f aca="false">IFERROR(__xludf.dummyfunction("""COMPUTED_VALUE"""),FALSE())</f>
        <v>0</v>
      </c>
      <c r="AG138" s="46" t="str">
        <f aca="false">IFERROR(__xludf.dummyfunction("""COMPUTED_VALUE"""),"")</f>
        <v/>
      </c>
      <c r="AH138" s="35"/>
      <c r="AI138" s="35"/>
      <c r="AJ138" s="53" t="b">
        <f aca="false">IFERROR(__xludf.dummyfunction("""COMPUTED_VALUE"""),TRUE())</f>
        <v>1</v>
      </c>
      <c r="AK138" s="53" t="b">
        <f aca="false">IFERROR(__xludf.dummyfunction("""COMPUTED_VALUE"""),TRUE())</f>
        <v>1</v>
      </c>
      <c r="AL138" s="35"/>
      <c r="AM138" s="35"/>
      <c r="AN138" s="35"/>
      <c r="AO138" s="46"/>
    </row>
    <row r="139" customFormat="false" ht="15.75" hidden="false" customHeight="true" outlineLevel="0" collapsed="false">
      <c r="A139" s="37" t="str">
        <f aca="false">IFERROR(__xludf.dummyfunction("""COMPUTED_VALUE"""),"Thực chiến Toán")</f>
        <v>Thực chiến Toán</v>
      </c>
      <c r="B139" s="37" t="str">
        <f aca="false">IFERROR(__xludf.dummyfunction("""COMPUTED_VALUE"""),"TC_V-ACT_T_02")</f>
        <v>TC_V-ACT_T_02</v>
      </c>
      <c r="C139" s="59" t="str">
        <f aca="false">IFERROR(__xludf.dummyfunction("""COMPUTED_VALUE"""),"[Bổ trợ]_Chữa bài tập_V-ACT_Toán số 02")</f>
        <v>[Bổ trợ]_Chữa bài tập_V-ACT_Toán số 02</v>
      </c>
      <c r="D139" s="39" t="str">
        <f aca="false">IFERROR(__xludf.dummyfunction("""COMPUTED_VALUE"""),"Lê Thế Anh")</f>
        <v>Lê Thế Anh</v>
      </c>
      <c r="E139" s="40" t="n">
        <f aca="false">IFERROR(__xludf.dummyfunction("""COMPUTED_VALUE"""),46220)</f>
        <v>46220</v>
      </c>
      <c r="F139" s="41" t="n">
        <f aca="false">IFERROR(__xludf.dummyfunction("""COMPUTED_VALUE"""),6)</f>
        <v>6</v>
      </c>
      <c r="G139" s="37" t="str">
        <f aca="false">IFERROR(__xludf.dummyfunction("""COMPUTED_VALUE"""),"18:45-19:45")</f>
        <v>18:45-19:45</v>
      </c>
      <c r="H139" s="37"/>
      <c r="I139" s="37"/>
      <c r="J139" s="42" t="str">
        <f aca="false">IFERROR(__xludf.dummyfunction("""COMPUTED_VALUE"""),"https://drive.google.com/drive/folders/19niuA-DJurzpPINlPz162cx-LDtxK5Wc?usp=sharing")</f>
        <v>https://drive.google.com/drive/folders/19niuA-DJurzpPINlPz162cx-LDtxK5Wc?usp=sharing</v>
      </c>
      <c r="K139" s="68" t="str">
        <f aca="false">IFERROR(__xludf.dummyfunction("""COMPUTED_VALUE"""),"lent")</f>
        <v>lent</v>
      </c>
      <c r="L139" s="68" t="str">
        <f aca="false">IFERROR(__xludf.dummyfunction("""COMPUTED_VALUE"""),"HOCMAI")</f>
        <v>HOCMAI</v>
      </c>
      <c r="M139" s="71"/>
      <c r="N139" s="77" t="str">
        <f aca="false">IFERROR(__xludf.dummyfunction("""COMPUTED_VALUE"""),"3124")</f>
        <v>3124</v>
      </c>
      <c r="O139" s="63" t="n">
        <f aca="false">IFERROR(__xludf.dummyfunction("""COMPUTED_VALUE"""),175177)</f>
        <v>175177</v>
      </c>
      <c r="P139" s="60" t="str">
        <f aca="false">IFERROR(__xludf.dummyfunction("""COMPUTED_VALUE"""),"https://hocmai.vn/bai-giang-truc-tuyen/175177/.html")</f>
        <v>https://hocmai.vn/bai-giang-truc-tuyen/175177/.html</v>
      </c>
      <c r="Q139" s="63"/>
      <c r="R139" s="41"/>
      <c r="S139" s="41"/>
      <c r="T139" s="63"/>
      <c r="U139" s="63"/>
      <c r="V139" s="70" t="n">
        <f aca="false">IFERROR(__xludf.dummyfunction("""COMPUTED_VALUE"""),46223)</f>
        <v>46223</v>
      </c>
      <c r="W139" s="39" t="str">
        <f aca="false">IFERROR(__xludf.dummyfunction("""COMPUTED_VALUE"""),"Hoàn thành XB")</f>
        <v>Hoàn thành XB</v>
      </c>
      <c r="X139" s="41" t="str">
        <f aca="false">IFERROR(__xludf.dummyfunction("""COMPUTED_VALUE"""),"Vuta")</f>
        <v>Vuta</v>
      </c>
      <c r="Y139" s="44"/>
      <c r="Z139" s="57"/>
      <c r="AA139" s="57"/>
      <c r="AB139" s="41" t="n">
        <f aca="false">IFERROR(__xludf.dummyfunction("""COMPUTED_VALUE"""),7)</f>
        <v>7</v>
      </c>
      <c r="AC139" s="57" t="str">
        <f aca="false">IFERROR(__xludf.dummyfunction("""COMPUTED_VALUE"""),"ss.vact01@ctv.hocmai.vn")</f>
        <v>ss.vact01@ctv.hocmai.vn</v>
      </c>
      <c r="AD139" s="46"/>
      <c r="AE139" s="46"/>
      <c r="AF139" s="47"/>
      <c r="AG139" s="46"/>
      <c r="AH139" s="53" t="b">
        <f aca="false">IFERROR(__xludf.dummyfunction("""COMPUTED_VALUE"""),FALSE())</f>
        <v>0</v>
      </c>
      <c r="AI139" s="53" t="b">
        <f aca="false">IFERROR(__xludf.dummyfunction("""COMPUTED_VALUE"""),FALSE())</f>
        <v>0</v>
      </c>
      <c r="AJ139" s="53" t="b">
        <f aca="false">IFERROR(__xludf.dummyfunction("""COMPUTED_VALUE"""),FALSE())</f>
        <v>0</v>
      </c>
      <c r="AK139" s="53" t="b">
        <f aca="false">IFERROR(__xludf.dummyfunction("""COMPUTED_VALUE"""),FALSE())</f>
        <v>0</v>
      </c>
      <c r="AL139" s="53" t="b">
        <f aca="false">IFERROR(__xludf.dummyfunction("""COMPUTED_VALUE"""),FALSE())</f>
        <v>0</v>
      </c>
      <c r="AM139" s="53" t="b">
        <f aca="false">IFERROR(__xludf.dummyfunction("""COMPUTED_VALUE"""),TRUE())</f>
        <v>1</v>
      </c>
      <c r="AN139" s="53" t="b">
        <f aca="false">IFERROR(__xludf.dummyfunction("""COMPUTED_VALUE"""),TRUE())</f>
        <v>1</v>
      </c>
      <c r="AO139" s="46"/>
    </row>
    <row r="140" customFormat="false" ht="15.75" hidden="false" customHeight="true" outlineLevel="0" collapsed="false">
      <c r="A140" s="37" t="str">
        <f aca="false">IFERROR(__xludf.dummyfunction("""COMPUTED_VALUE"""),"Thực chiến Tiếng Anh")</f>
        <v>Thực chiến Tiếng Anh</v>
      </c>
      <c r="B140" s="37" t="str">
        <f aca="false">IFERROR(__xludf.dummyfunction("""COMPUTED_VALUE"""),"TC_V-ACT_TA_02")</f>
        <v>TC_V-ACT_TA_02</v>
      </c>
      <c r="C140" s="59" t="str">
        <f aca="false">IFERROR(__xludf.dummyfunction("""COMPUTED_VALUE"""),"[Bổ trợ]_Chữa bài tập_V-ACT_Tiếng Anh số 02")</f>
        <v>[Bổ trợ]_Chữa bài tập_V-ACT_Tiếng Anh số 02</v>
      </c>
      <c r="D140" s="39" t="str">
        <f aca="false">IFERROR(__xludf.dummyfunction("""COMPUTED_VALUE"""),"Dung Thành Vinh")</f>
        <v>Dung Thành Vinh</v>
      </c>
      <c r="E140" s="40" t="n">
        <f aca="false">IFERROR(__xludf.dummyfunction("""COMPUTED_VALUE"""),46220)</f>
        <v>46220</v>
      </c>
      <c r="F140" s="41" t="n">
        <f aca="false">IFERROR(__xludf.dummyfunction("""COMPUTED_VALUE"""),6)</f>
        <v>6</v>
      </c>
      <c r="G140" s="37" t="str">
        <f aca="false">IFERROR(__xludf.dummyfunction("""COMPUTED_VALUE"""),"20:00-21:00")</f>
        <v>20:00-21:00</v>
      </c>
      <c r="H140" s="37"/>
      <c r="I140" s="37"/>
      <c r="J140" s="42" t="str">
        <f aca="false">IFERROR(__xludf.dummyfunction("""COMPUTED_VALUE"""),"https://drive.google.com/drive/folders/1NmK-RUV47OxWxZq1Nh2LV78KxIGT8vc_?usp=sharing")</f>
        <v>https://drive.google.com/drive/folders/1NmK-RUV47OxWxZq1Nh2LV78KxIGT8vc_?usp=sharing</v>
      </c>
      <c r="K140" s="68" t="str">
        <f aca="false">IFERROR(__xludf.dummyfunction("""COMPUTED_VALUE"""),"Huyenn2")</f>
        <v>Huyenn2</v>
      </c>
      <c r="L140" s="68" t="str">
        <f aca="false">IFERROR(__xludf.dummyfunction("""COMPUTED_VALUE"""),"HOCMAI")</f>
        <v>HOCMAI</v>
      </c>
      <c r="M140" s="71"/>
      <c r="N140" s="77" t="str">
        <f aca="false">IFERROR(__xludf.dummyfunction("""COMPUTED_VALUE"""),"3165")</f>
        <v>3165</v>
      </c>
      <c r="O140" s="63" t="n">
        <f aca="false">IFERROR(__xludf.dummyfunction("""COMPUTED_VALUE"""),175198)</f>
        <v>175198</v>
      </c>
      <c r="P140" s="60" t="str">
        <f aca="false">IFERROR(__xludf.dummyfunction("""COMPUTED_VALUE"""),"https://hocmai.vn/bai-giang-truc-tuyen/175198/.html")</f>
        <v>https://hocmai.vn/bai-giang-truc-tuyen/175198/.html</v>
      </c>
      <c r="Q140" s="63"/>
      <c r="R140" s="41"/>
      <c r="S140" s="41"/>
      <c r="T140" s="63"/>
      <c r="U140" s="63"/>
      <c r="V140" s="70" t="n">
        <f aca="false">IFERROR(__xludf.dummyfunction("""COMPUTED_VALUE"""),46223)</f>
        <v>46223</v>
      </c>
      <c r="W140" s="39" t="str">
        <f aca="false">IFERROR(__xludf.dummyfunction("""COMPUTED_VALUE"""),"Hoàn thành XB")</f>
        <v>Hoàn thành XB</v>
      </c>
      <c r="X140" s="41" t="str">
        <f aca="false">IFERROR(__xludf.dummyfunction("""COMPUTED_VALUE"""),"Vuta")</f>
        <v>Vuta</v>
      </c>
      <c r="Y140" s="44"/>
      <c r="Z140" s="57"/>
      <c r="AA140" s="57"/>
      <c r="AB140" s="41" t="n">
        <f aca="false">IFERROR(__xludf.dummyfunction("""COMPUTED_VALUE"""),7)</f>
        <v>7</v>
      </c>
      <c r="AC140" s="57" t="str">
        <f aca="false">IFERROR(__xludf.dummyfunction("""COMPUTED_VALUE"""),"shimlim04@gmail.com")</f>
        <v>shimlim04@gmail.com</v>
      </c>
      <c r="AD140" s="46"/>
      <c r="AE140" s="46"/>
      <c r="AF140" s="47"/>
      <c r="AG140" s="46"/>
      <c r="AH140" s="53" t="b">
        <f aca="false">IFERROR(__xludf.dummyfunction("""COMPUTED_VALUE"""),FALSE())</f>
        <v>0</v>
      </c>
      <c r="AI140" s="53" t="b">
        <f aca="false">IFERROR(__xludf.dummyfunction("""COMPUTED_VALUE"""),FALSE())</f>
        <v>0</v>
      </c>
      <c r="AJ140" s="53" t="b">
        <f aca="false">IFERROR(__xludf.dummyfunction("""COMPUTED_VALUE"""),FALSE())</f>
        <v>0</v>
      </c>
      <c r="AK140" s="53" t="b">
        <f aca="false">IFERROR(__xludf.dummyfunction("""COMPUTED_VALUE"""),FALSE())</f>
        <v>0</v>
      </c>
      <c r="AL140" s="53" t="b">
        <f aca="false">IFERROR(__xludf.dummyfunction("""COMPUTED_VALUE"""),FALSE())</f>
        <v>0</v>
      </c>
      <c r="AM140" s="53" t="b">
        <f aca="false">IFERROR(__xludf.dummyfunction("""COMPUTED_VALUE"""),TRUE())</f>
        <v>1</v>
      </c>
      <c r="AN140" s="53" t="b">
        <f aca="false">IFERROR(__xludf.dummyfunction("""COMPUTED_VALUE"""),TRUE())</f>
        <v>1</v>
      </c>
      <c r="AO140" s="46"/>
    </row>
    <row r="141" customFormat="false" ht="15.75" hidden="false" customHeight="true" outlineLevel="0" collapsed="false">
      <c r="A141" s="37" t="str">
        <f aca="false">IFERROR(__xludf.dummyfunction("""COMPUTED_VALUE"""),"Hóa học")</f>
        <v>Hóa học</v>
      </c>
      <c r="B141" s="37" t="str">
        <f aca="false">IFERROR(__xludf.dummyfunction("""COMPUTED_VALUE"""),"TOV_TSA_H03")</f>
        <v>TOV_TSA_H03</v>
      </c>
      <c r="C141" s="59" t="str">
        <f aca="false">IFERROR(__xludf.dummyfunction("""COMPUTED_VALUE"""),"Dòng chảy Electron: Oxi hóa – khử và Điện hóa")</f>
        <v>Dòng chảy Electron: Oxi hóa – khử và Điện hóa</v>
      </c>
      <c r="D141" s="39" t="str">
        <f aca="false">IFERROR(__xludf.dummyfunction("""COMPUTED_VALUE"""),"Vũ Khắc Ngọc")</f>
        <v>Vũ Khắc Ngọc</v>
      </c>
      <c r="E141" s="40" t="n">
        <f aca="false">IFERROR(__xludf.dummyfunction("""COMPUTED_VALUE"""),46221)</f>
        <v>46221</v>
      </c>
      <c r="F141" s="41" t="n">
        <f aca="false">IFERROR(__xludf.dummyfunction("""COMPUTED_VALUE"""),7)</f>
        <v>7</v>
      </c>
      <c r="G141" s="37" t="str">
        <f aca="false">IFERROR(__xludf.dummyfunction("""COMPUTED_VALUE"""),"21:30-23:30")</f>
        <v>21:30-23:30</v>
      </c>
      <c r="H141" s="42" t="str">
        <f aca="false">IFERROR(__xludf.dummyfunction("""COMPUTED_VALUE"""),"https://hocmai.vn/mod/scorm/view_file.php?id=182779")</f>
        <v>https://hocmai.vn/mod/scorm/view_file.php?id=182779</v>
      </c>
      <c r="I141" s="42" t="str">
        <f aca="false">IFERROR(__xludf.dummyfunction("""COMPUTED_VALUE"""),"https://hocmai.vn/mod/scorm/view_file.php?id=182780")</f>
        <v>https://hocmai.vn/mod/scorm/view_file.php?id=182780</v>
      </c>
      <c r="J141" s="42" t="str">
        <f aca="false">IFERROR(__xludf.dummyfunction("""COMPUTED_VALUE"""),"https://drive.google.com/drive/folders/12AJi0WyIXLSEOINnCbrtX72W6mCDwBxU?usp=drive_link")</f>
        <v>https://drive.google.com/drive/folders/12AJi0WyIXLSEOINnCbrtX72W6mCDwBxU?usp=drive_link</v>
      </c>
      <c r="K141" s="68" t="str">
        <f aca="false">IFERROR(__xludf.dummyfunction("""COMPUTED_VALUE"""),"Huebt")</f>
        <v>Huebt</v>
      </c>
      <c r="L141" s="68" t="str">
        <f aca="false">IFERROR(__xludf.dummyfunction("""COMPUTED_VALUE"""),"Bùi Vĩnh Thọ")</f>
        <v>Bùi Vĩnh Thọ</v>
      </c>
      <c r="M141" s="71"/>
      <c r="N141" s="77" t="str">
        <f aca="false">IFERROR(__xludf.dummyfunction("""COMPUTED_VALUE"""),"3110")</f>
        <v>3110</v>
      </c>
      <c r="O141" s="63" t="n">
        <f aca="false">IFERROR(__xludf.dummyfunction("""COMPUTED_VALUE"""),167255)</f>
        <v>167255</v>
      </c>
      <c r="P141" s="63"/>
      <c r="Q141" s="63"/>
      <c r="R141" s="41"/>
      <c r="S141" s="41"/>
      <c r="T141" s="63" t="n">
        <f aca="false">IFERROR(__xludf.dummyfunction("""COMPUTED_VALUE"""),24045)</f>
        <v>24045</v>
      </c>
      <c r="U141" s="63" t="n">
        <f aca="false">IFERROR(__xludf.dummyfunction("""COMPUTED_VALUE"""),10601)</f>
        <v>10601</v>
      </c>
      <c r="V141" s="70" t="n">
        <f aca="false">IFERROR(__xludf.dummyfunction("""COMPUTED_VALUE"""),46224)</f>
        <v>46224</v>
      </c>
      <c r="W141" s="39" t="str">
        <f aca="false">IFERROR(__xludf.dummyfunction("""COMPUTED_VALUE"""),"Hoàn thành XB")</f>
        <v>Hoàn thành XB</v>
      </c>
      <c r="X141" s="41" t="str">
        <f aca="false">IFERROR(__xludf.dummyfunction("""COMPUTED_VALUE"""),"Huebt")</f>
        <v>Huebt</v>
      </c>
      <c r="Y141" s="44" t="str">
        <f aca="false">IFERROR(__xludf.dummyfunction("""COMPUTED_VALUE"""),"done")</f>
        <v>done</v>
      </c>
      <c r="Z141" s="57" t="str">
        <f aca="false">IFERROR(__xludf.dummyfunction("""COMPUTED_VALUE"""),"#N/A")</f>
        <v>#N/A</v>
      </c>
      <c r="AA141" s="57"/>
      <c r="AB141" s="41" t="n">
        <f aca="false">IFERROR(__xludf.dummyfunction("""COMPUTED_VALUE"""),7)</f>
        <v>7</v>
      </c>
      <c r="AC141" s="57" t="str">
        <f aca="false">IFERROR(__xludf.dummyfunction("""COMPUTED_VALUE"""),"gv.ngocvk@hocmai.edu.vn")</f>
        <v>gv.ngocvk@hocmai.edu.vn</v>
      </c>
      <c r="AD141" s="46" t="str">
        <f aca="false">IFERROR(__xludf.dummyfunction("""COMPUTED_VALUE"""),"vinhtho0704@gmail.com")</f>
        <v>vinhtho0704@gmail.com</v>
      </c>
      <c r="AE141" s="46"/>
      <c r="AF141" s="74" t="b">
        <f aca="false">IFERROR(__xludf.dummyfunction("""COMPUTED_VALUE"""),FALSE())</f>
        <v>0</v>
      </c>
      <c r="AG141" s="46" t="str">
        <f aca="false">IFERROR(__xludf.dummyfunction("""COMPUTED_VALUE"""),"")</f>
        <v/>
      </c>
      <c r="AH141" s="35"/>
      <c r="AI141" s="53" t="b">
        <f aca="false">IFERROR(__xludf.dummyfunction("""COMPUTED_VALUE"""),TRUE())</f>
        <v>1</v>
      </c>
      <c r="AJ141" s="35"/>
      <c r="AK141" s="35"/>
      <c r="AL141" s="35"/>
      <c r="AM141" s="35"/>
      <c r="AN141" s="35"/>
      <c r="AO141" s="46"/>
    </row>
    <row r="142" customFormat="false" ht="15.75" hidden="false" customHeight="true" outlineLevel="0" collapsed="false">
      <c r="A142" s="37" t="str">
        <f aca="false">IFERROR(__xludf.dummyfunction("""COMPUTED_VALUE"""),"Khoa học")</f>
        <v>Khoa học</v>
      </c>
      <c r="B142" s="37" t="str">
        <f aca="false">IFERROR(__xludf.dummyfunction("""COMPUTED_VALUE"""),"TOS_V-ACT_KH05")</f>
        <v>TOS_V-ACT_KH05</v>
      </c>
      <c r="C142" s="59" t="str">
        <f aca="false">IFERROR(__xludf.dummyfunction("""COMPUTED_VALUE"""),"Tư duy phân tích công thức và biểu đồ trong văn bản khoa học.")</f>
        <v>Tư duy phân tích công thức và biểu đồ trong văn bản khoa học.</v>
      </c>
      <c r="D142" s="39" t="str">
        <f aca="false">IFERROR(__xludf.dummyfunction("""COMPUTED_VALUE"""),"Lê Văn Minh")</f>
        <v>Lê Văn Minh</v>
      </c>
      <c r="E142" s="40" t="n">
        <f aca="false">IFERROR(__xludf.dummyfunction("""COMPUTED_VALUE"""),46221)</f>
        <v>46221</v>
      </c>
      <c r="F142" s="41" t="n">
        <f aca="false">IFERROR(__xludf.dummyfunction("""COMPUTED_VALUE"""),7)</f>
        <v>7</v>
      </c>
      <c r="G142" s="37" t="str">
        <f aca="false">IFERROR(__xludf.dummyfunction("""COMPUTED_VALUE"""),"20:30-22:00")</f>
        <v>20:30-22:00</v>
      </c>
      <c r="H142" s="42" t="str">
        <f aca="false">IFERROR(__xludf.dummyfunction("""COMPUTED_VALUE"""),"https://hocmai.vn/file.php/3126/Tai_lieu_bai_giang/SLKH_2627/TLHS_TOS_V-ACT_KH05.pdf")</f>
        <v>https://hocmai.vn/file.php/3126/Tai_lieu_bai_giang/SLKH_2627/TLHS_TOS_V-ACT_KH05.pdf</v>
      </c>
      <c r="I142" s="42" t="str">
        <f aca="false">IFERROR(__xludf.dummyfunction("""COMPUTED_VALUE"""),"https://hocmai.vn/file.php/3126/Bai_tap_tu_luyen/26-27/NVHT_TOV_V-ACT_KH05.pdf")</f>
        <v>https://hocmai.vn/file.php/3126/Bai_tap_tu_luyen/26-27/NVHT_TOV_V-ACT_KH05.pdf</v>
      </c>
      <c r="J142" s="42" t="str">
        <f aca="false">IFERROR(__xludf.dummyfunction("""COMPUTED_VALUE"""),"https://drive.google.com/drive/folders/1KCUHTPKHtLcuOE6L2puXEk0hjNeVwAhE?usp=drive_link")</f>
        <v>https://drive.google.com/drive/folders/1KCUHTPKHtLcuOE6L2puXEk0hjNeVwAhE?usp=drive_link</v>
      </c>
      <c r="K142" s="68" t="str">
        <f aca="false">IFERROR(__xludf.dummyfunction("""COMPUTED_VALUE"""),"Kimnq")</f>
        <v>Kimnq</v>
      </c>
      <c r="L142" s="68" t="str">
        <f aca="false">IFERROR(__xludf.dummyfunction("""COMPUTED_VALUE"""),"Lê Quốc Việt")</f>
        <v>Lê Quốc Việt</v>
      </c>
      <c r="M142" s="71"/>
      <c r="N142" s="77" t="str">
        <f aca="false">IFERROR(__xludf.dummyfunction("""COMPUTED_VALUE"""),"3340,3126")</f>
        <v>3340,3126</v>
      </c>
      <c r="O142" s="73" t="n">
        <f aca="false">IFERROR(__xludf.dummyfunction("""COMPUTED_VALUE"""),167496.167382)</f>
        <v>167496.167382</v>
      </c>
      <c r="P142" s="63"/>
      <c r="Q142" s="63"/>
      <c r="R142" s="41"/>
      <c r="S142" s="41"/>
      <c r="T142" s="63"/>
      <c r="U142" s="63"/>
      <c r="V142" s="70" t="n">
        <f aca="false">IFERROR(__xludf.dummyfunction("""COMPUTED_VALUE"""),46224)</f>
        <v>46224</v>
      </c>
      <c r="W142" s="39" t="str">
        <f aca="false">IFERROR(__xludf.dummyfunction("""COMPUTED_VALUE"""),"Hoàn thành XB")</f>
        <v>Hoàn thành XB</v>
      </c>
      <c r="X142" s="41" t="str">
        <f aca="false">IFERROR(__xludf.dummyfunction("""COMPUTED_VALUE"""),"Kimnq")</f>
        <v>Kimnq</v>
      </c>
      <c r="Y142" s="44" t="str">
        <f aca="false">IFERROR(__xludf.dummyfunction("""COMPUTED_VALUE"""),"done")</f>
        <v>done</v>
      </c>
      <c r="Z142" s="57" t="str">
        <f aca="false">IFERROR(__xludf.dummyfunction("""COMPUTED_VALUE"""),"#N/A")</f>
        <v>#N/A</v>
      </c>
      <c r="AA142" s="57"/>
      <c r="AB142" s="41" t="n">
        <f aca="false">IFERROR(__xludf.dummyfunction("""COMPUTED_VALUE"""),7)</f>
        <v>7</v>
      </c>
      <c r="AC142" s="57" t="str">
        <f aca="false">IFERROR(__xludf.dummyfunction("""COMPUTED_VALUE"""),"gv.minhlv@hocmai.edu.vn		")</f>
        <v>gv.minhlv@hocmai.edu.vn		</v>
      </c>
      <c r="AD142" s="46" t="str">
        <f aca="false">IFERROR(__xludf.dummyfunction("""COMPUTED_VALUE"""),"Ralph02091@gmail.com")</f>
        <v>Ralph02091@gmail.com</v>
      </c>
      <c r="AE142" s="46"/>
      <c r="AF142" s="47" t="str">
        <f aca="false">IFERROR(__xludf.dummyfunction("""COMPUTED_VALUE"""),"lophoctoan-946221")</f>
        <v>lophoctoan-946221</v>
      </c>
      <c r="AG142" s="46" t="str">
        <f aca="false">IFERROR(__xludf.dummyfunction("""COMPUTED_VALUE"""),"")</f>
        <v/>
      </c>
      <c r="AH142" s="35"/>
      <c r="AI142" s="35"/>
      <c r="AJ142" s="35"/>
      <c r="AK142" s="35"/>
      <c r="AL142" s="35"/>
      <c r="AM142" s="53" t="b">
        <f aca="false">IFERROR(__xludf.dummyfunction("""COMPUTED_VALUE"""),TRUE())</f>
        <v>1</v>
      </c>
      <c r="AN142" s="53" t="b">
        <f aca="false">IFERROR(__xludf.dummyfunction("""COMPUTED_VALUE"""),TRUE())</f>
        <v>1</v>
      </c>
      <c r="AO142" s="46"/>
    </row>
    <row r="143" customFormat="false" ht="15.75" hidden="false" customHeight="true" outlineLevel="0" collapsed="false">
      <c r="A143" s="37" t="str">
        <f aca="false">IFERROR(__xludf.dummyfunction("""COMPUTED_VALUE"""),"Thực chiến Khoa học")</f>
        <v>Thực chiến Khoa học</v>
      </c>
      <c r="B143" s="37" t="str">
        <f aca="false">IFERROR(__xludf.dummyfunction("""COMPUTED_VALUE"""),"TC_TSA_KH_06")</f>
        <v>TC_TSA_KH_06</v>
      </c>
      <c r="C143" s="59" t="str">
        <f aca="false">IFERROR(__xludf.dummyfunction("""COMPUTED_VALUE"""),"[Bổ trợ]_Chữa bài tập TSA_Tư duy Khoa học số 06")</f>
        <v>[Bổ trợ]_Chữa bài tập TSA_Tư duy Khoa học số 06</v>
      </c>
      <c r="D143" s="39" t="str">
        <f aca="false">IFERROR(__xludf.dummyfunction("""COMPUTED_VALUE"""),"Nguyễn Trọng Trường Anh")</f>
        <v>Nguyễn Trọng Trường Anh</v>
      </c>
      <c r="E143" s="40" t="n">
        <f aca="false">IFERROR(__xludf.dummyfunction("""COMPUTED_VALUE"""),46221)</f>
        <v>46221</v>
      </c>
      <c r="F143" s="41" t="n">
        <f aca="false">IFERROR(__xludf.dummyfunction("""COMPUTED_VALUE"""),7)</f>
        <v>7</v>
      </c>
      <c r="G143" s="37" t="str">
        <f aca="false">IFERROR(__xludf.dummyfunction("""COMPUTED_VALUE"""),"19:00-20:00")</f>
        <v>19:00-20:00</v>
      </c>
      <c r="H143" s="37"/>
      <c r="I143" s="37"/>
      <c r="J143" s="42" t="str">
        <f aca="false">IFERROR(__xludf.dummyfunction("""COMPUTED_VALUE"""),"https://drive.google.com/drive/folders/13rtXuYLAS6Y1uQ997G3DA_vlFPorFS-A?usp=drive_link")</f>
        <v>https://drive.google.com/drive/folders/13rtXuYLAS6Y1uQ997G3DA_vlFPorFS-A?usp=drive_link</v>
      </c>
      <c r="K143" s="68" t="str">
        <f aca="false">IFERROR(__xludf.dummyfunction("""COMPUTED_VALUE"""),"Trangnth2")</f>
        <v>Trangnth2</v>
      </c>
      <c r="L143" s="68" t="str">
        <f aca="false">IFERROR(__xludf.dummyfunction("""COMPUTED_VALUE"""),"HOCMAI")</f>
        <v>HOCMAI</v>
      </c>
      <c r="M143" s="71"/>
      <c r="N143" s="77" t="str">
        <f aca="false">IFERROR(__xludf.dummyfunction("""COMPUTED_VALUE"""),"3110")</f>
        <v>3110</v>
      </c>
      <c r="O143" s="63" t="n">
        <f aca="false">IFERROR(__xludf.dummyfunction("""COMPUTED_VALUE"""),175129)</f>
        <v>175129</v>
      </c>
      <c r="P143" s="60" t="str">
        <f aca="false">IFERROR(__xludf.dummyfunction("""COMPUTED_VALUE"""),"https://hocmai.vn/bai-giang-truc-tuyen/175129/.html")</f>
        <v>https://hocmai.vn/bai-giang-truc-tuyen/175129/.html</v>
      </c>
      <c r="Q143" s="63"/>
      <c r="R143" s="41"/>
      <c r="S143" s="41"/>
      <c r="T143" s="63"/>
      <c r="U143" s="63"/>
      <c r="V143" s="70" t="n">
        <f aca="false">IFERROR(__xludf.dummyfunction("""COMPUTED_VALUE"""),46224)</f>
        <v>46224</v>
      </c>
      <c r="W143" s="39" t="str">
        <f aca="false">IFERROR(__xludf.dummyfunction("""COMPUTED_VALUE"""),"Hoàn thành XB")</f>
        <v>Hoàn thành XB</v>
      </c>
      <c r="X143" s="41" t="str">
        <f aca="false">IFERROR(__xludf.dummyfunction("""COMPUTED_VALUE"""),"Vuta")</f>
        <v>Vuta</v>
      </c>
      <c r="Y143" s="44"/>
      <c r="Z143" s="57"/>
      <c r="AA143" s="57"/>
      <c r="AB143" s="41" t="n">
        <f aca="false">IFERROR(__xludf.dummyfunction("""COMPUTED_VALUE"""),7)</f>
        <v>7</v>
      </c>
      <c r="AC143" s="57" t="str">
        <f aca="false">IFERROR(__xludf.dummyfunction("""COMPUTED_VALUE"""),"thochi1981@gmail.com")</f>
        <v>thochi1981@gmail.com</v>
      </c>
      <c r="AD143" s="46"/>
      <c r="AE143" s="46"/>
      <c r="AF143" s="47"/>
      <c r="AG143" s="46"/>
      <c r="AH143" s="53" t="b">
        <f aca="false">IFERROR(__xludf.dummyfunction("""COMPUTED_VALUE"""),FALSE())</f>
        <v>0</v>
      </c>
      <c r="AI143" s="53" t="b">
        <f aca="false">IFERROR(__xludf.dummyfunction("""COMPUTED_VALUE"""),TRUE())</f>
        <v>1</v>
      </c>
      <c r="AJ143" s="53" t="b">
        <f aca="false">IFERROR(__xludf.dummyfunction("""COMPUTED_VALUE"""),FALSE())</f>
        <v>0</v>
      </c>
      <c r="AK143" s="53" t="b">
        <f aca="false">IFERROR(__xludf.dummyfunction("""COMPUTED_VALUE"""),FALSE())</f>
        <v>0</v>
      </c>
      <c r="AL143" s="53" t="b">
        <f aca="false">IFERROR(__xludf.dummyfunction("""COMPUTED_VALUE"""),FALSE())</f>
        <v>0</v>
      </c>
      <c r="AM143" s="53" t="b">
        <f aca="false">IFERROR(__xludf.dummyfunction("""COMPUTED_VALUE"""),FALSE())</f>
        <v>0</v>
      </c>
      <c r="AN143" s="53" t="b">
        <f aca="false">IFERROR(__xludf.dummyfunction("""COMPUTED_VALUE"""),FALSE())</f>
        <v>0</v>
      </c>
      <c r="AO143" s="46"/>
    </row>
    <row r="144" customFormat="false" ht="15.75" hidden="false" customHeight="true" outlineLevel="0" collapsed="false">
      <c r="A144" s="37" t="str">
        <f aca="false">IFERROR(__xludf.dummyfunction("""COMPUTED_VALUE"""),"Thực chiến Định lượng")</f>
        <v>Thực chiến Định lượng</v>
      </c>
      <c r="B144" s="37" t="str">
        <f aca="false">IFERROR(__xludf.dummyfunction("""COMPUTED_VALUE"""),"TC_HSA_ĐL_01")</f>
        <v>TC_HSA_ĐL_01</v>
      </c>
      <c r="C144" s="59" t="str">
        <f aca="false">IFERROR(__xludf.dummyfunction("""COMPUTED_VALUE"""),"[Bổ trợ]_Chữa bài tập _Tư duy Định lượng số 01")</f>
        <v>[Bổ trợ]_Chữa bài tập _Tư duy Định lượng số 01</v>
      </c>
      <c r="D144" s="39" t="str">
        <f aca="false">IFERROR(__xludf.dummyfunction("""COMPUTED_VALUE"""),"Vi Vũ Trí Đức")</f>
        <v>Vi Vũ Trí Đức</v>
      </c>
      <c r="E144" s="40" t="n">
        <f aca="false">IFERROR(__xludf.dummyfunction("""COMPUTED_VALUE"""),46221)</f>
        <v>46221</v>
      </c>
      <c r="F144" s="41" t="n">
        <f aca="false">IFERROR(__xludf.dummyfunction("""COMPUTED_VALUE"""),7)</f>
        <v>7</v>
      </c>
      <c r="G144" s="37" t="str">
        <f aca="false">IFERROR(__xludf.dummyfunction("""COMPUTED_VALUE"""),"21:00-22:00")</f>
        <v>21:00-22:00</v>
      </c>
      <c r="H144" s="37"/>
      <c r="I144" s="37"/>
      <c r="J144" s="42" t="str">
        <f aca="false">IFERROR(__xludf.dummyfunction("""COMPUTED_VALUE"""),"https://drive.google.com/drive/folders/1mHjjAwJk_LrOO6MWKGs4GAR73mDbd_S2?usp=drive_link")</f>
        <v>https://drive.google.com/drive/folders/1mHjjAwJk_LrOO6MWKGs4GAR73mDbd_S2?usp=drive_link</v>
      </c>
      <c r="K144" s="68" t="str">
        <f aca="false">IFERROR(__xludf.dummyfunction("""COMPUTED_VALUE"""),"Locdd")</f>
        <v>Locdd</v>
      </c>
      <c r="L144" s="68" t="str">
        <f aca="false">IFERROR(__xludf.dummyfunction("""COMPUTED_VALUE"""),"HOCMAI")</f>
        <v>HOCMAI</v>
      </c>
      <c r="M144" s="71"/>
      <c r="N144" s="77" t="str">
        <f aca="false">IFERROR(__xludf.dummyfunction("""COMPUTED_VALUE"""),"3117")</f>
        <v>3117</v>
      </c>
      <c r="O144" s="63" t="n">
        <f aca="false">IFERROR(__xludf.dummyfunction("""COMPUTED_VALUE"""),175949)</f>
        <v>175949</v>
      </c>
      <c r="P144" s="60" t="str">
        <f aca="false">IFERROR(__xludf.dummyfunction("""COMPUTED_VALUE"""),"https://hocmai.vn/bai-giang-truc-tuyen/175949/.html")</f>
        <v>https://hocmai.vn/bai-giang-truc-tuyen/175949/.html</v>
      </c>
      <c r="Q144" s="63"/>
      <c r="R144" s="41"/>
      <c r="S144" s="41"/>
      <c r="T144" s="63"/>
      <c r="U144" s="63"/>
      <c r="V144" s="70" t="n">
        <f aca="false">IFERROR(__xludf.dummyfunction("""COMPUTED_VALUE"""),46224)</f>
        <v>46224</v>
      </c>
      <c r="W144" s="39" t="str">
        <f aca="false">IFERROR(__xludf.dummyfunction("""COMPUTED_VALUE"""),"Hoàn thành XB")</f>
        <v>Hoàn thành XB</v>
      </c>
      <c r="X144" s="41" t="str">
        <f aca="false">IFERROR(__xludf.dummyfunction("""COMPUTED_VALUE"""),"Vuta")</f>
        <v>Vuta</v>
      </c>
      <c r="Y144" s="44"/>
      <c r="Z144" s="57"/>
      <c r="AA144" s="57"/>
      <c r="AB144" s="41" t="n">
        <f aca="false">IFERROR(__xludf.dummyfunction("""COMPUTED_VALUE"""),7)</f>
        <v>7</v>
      </c>
      <c r="AC144" s="57" t="str">
        <f aca="false">IFERROR(__xludf.dummyfunction("""COMPUTED_VALUE"""),"tdstawesome@gmail.com")</f>
        <v>tdstawesome@gmail.com</v>
      </c>
      <c r="AD144" s="46"/>
      <c r="AE144" s="46"/>
      <c r="AF144" s="47"/>
      <c r="AG144" s="46"/>
      <c r="AH144" s="53" t="b">
        <f aca="false">IFERROR(__xludf.dummyfunction("""COMPUTED_VALUE"""),FALSE())</f>
        <v>0</v>
      </c>
      <c r="AI144" s="53" t="b">
        <f aca="false">IFERROR(__xludf.dummyfunction("""COMPUTED_VALUE"""),FALSE())</f>
        <v>0</v>
      </c>
      <c r="AJ144" s="53" t="b">
        <f aca="false">IFERROR(__xludf.dummyfunction("""COMPUTED_VALUE"""),TRUE())</f>
        <v>1</v>
      </c>
      <c r="AK144" s="53" t="b">
        <f aca="false">IFERROR(__xludf.dummyfunction("""COMPUTED_VALUE"""),TRUE())</f>
        <v>1</v>
      </c>
      <c r="AL144" s="53" t="b">
        <f aca="false">IFERROR(__xludf.dummyfunction("""COMPUTED_VALUE"""),FALSE())</f>
        <v>0</v>
      </c>
      <c r="AM144" s="53" t="b">
        <f aca="false">IFERROR(__xludf.dummyfunction("""COMPUTED_VALUE"""),FALSE())</f>
        <v>0</v>
      </c>
      <c r="AN144" s="53" t="b">
        <f aca="false">IFERROR(__xludf.dummyfunction("""COMPUTED_VALUE"""),FALSE())</f>
        <v>0</v>
      </c>
      <c r="AO144" s="46"/>
    </row>
    <row r="145" customFormat="false" ht="15.75" hidden="false" customHeight="true" outlineLevel="0" collapsed="false">
      <c r="A145" s="37" t="str">
        <f aca="false">IFERROR(__xludf.dummyfunction("""COMPUTED_VALUE"""),"Thực chiến Tiếng Việt")</f>
        <v>Thực chiến Tiếng Việt</v>
      </c>
      <c r="B145" s="37" t="str">
        <f aca="false">IFERROR(__xludf.dummyfunction("""COMPUTED_VALUE"""),"TC_V-ACT_TV_02")</f>
        <v>TC_V-ACT_TV_02</v>
      </c>
      <c r="C145" s="59" t="str">
        <f aca="false">IFERROR(__xludf.dummyfunction("""COMPUTED_VALUE"""),"[Bổ trợ]_Chữa bài tập_V-ACT_Tiếng Việt số 02")</f>
        <v>[Bổ trợ]_Chữa bài tập_V-ACT_Tiếng Việt số 02</v>
      </c>
      <c r="D145" s="39" t="str">
        <f aca="false">IFERROR(__xludf.dummyfunction("""COMPUTED_VALUE"""),"Nguyễn Thị Khánh Ly")</f>
        <v>Nguyễn Thị Khánh Ly</v>
      </c>
      <c r="E145" s="40" t="n">
        <f aca="false">IFERROR(__xludf.dummyfunction("""COMPUTED_VALUE"""),46221)</f>
        <v>46221</v>
      </c>
      <c r="F145" s="41" t="n">
        <f aca="false">IFERROR(__xludf.dummyfunction("""COMPUTED_VALUE"""),7)</f>
        <v>7</v>
      </c>
      <c r="G145" s="37" t="str">
        <f aca="false">IFERROR(__xludf.dummyfunction("""COMPUTED_VALUE"""),"19:00-20:00")</f>
        <v>19:00-20:00</v>
      </c>
      <c r="H145" s="37"/>
      <c r="I145" s="37"/>
      <c r="J145" s="42" t="str">
        <f aca="false">IFERROR(__xludf.dummyfunction("""COMPUTED_VALUE"""),"https://drive.google.com/drive/folders/15XaWmidxxe6l-mEbsaBsym-HkoG1WWsZ?usp=drive_link")</f>
        <v>https://drive.google.com/drive/folders/15XaWmidxxe6l-mEbsaBsym-HkoG1WWsZ?usp=drive_link</v>
      </c>
      <c r="K145" s="68" t="str">
        <f aca="false">IFERROR(__xludf.dummyfunction("""COMPUTED_VALUE"""),"Hoantt")</f>
        <v>Hoantt</v>
      </c>
      <c r="L145" s="68" t="str">
        <f aca="false">IFERROR(__xludf.dummyfunction("""COMPUTED_VALUE"""),"HOCMAI")</f>
        <v>HOCMAI</v>
      </c>
      <c r="M145" s="71"/>
      <c r="N145" s="77" t="str">
        <f aca="false">IFERROR(__xludf.dummyfunction("""COMPUTED_VALUE"""),"3125")</f>
        <v>3125</v>
      </c>
      <c r="O145" s="63" t="n">
        <f aca="false">IFERROR(__xludf.dummyfunction("""COMPUTED_VALUE"""),175186)</f>
        <v>175186</v>
      </c>
      <c r="P145" s="60" t="str">
        <f aca="false">IFERROR(__xludf.dummyfunction("""COMPUTED_VALUE"""),"https://hocmai.vn/bai-giang-truc-tuyen/175186/.html")</f>
        <v>https://hocmai.vn/bai-giang-truc-tuyen/175186/.html</v>
      </c>
      <c r="Q145" s="63"/>
      <c r="R145" s="41"/>
      <c r="S145" s="41"/>
      <c r="T145" s="63"/>
      <c r="U145" s="63"/>
      <c r="V145" s="70" t="n">
        <f aca="false">IFERROR(__xludf.dummyfunction("""COMPUTED_VALUE"""),46224)</f>
        <v>46224</v>
      </c>
      <c r="W145" s="39" t="str">
        <f aca="false">IFERROR(__xludf.dummyfunction("""COMPUTED_VALUE"""),"Hoàn thành XB")</f>
        <v>Hoàn thành XB</v>
      </c>
      <c r="X145" s="41" t="str">
        <f aca="false">IFERROR(__xludf.dummyfunction("""COMPUTED_VALUE"""),"Vuta")</f>
        <v>Vuta</v>
      </c>
      <c r="Y145" s="44"/>
      <c r="Z145" s="57"/>
      <c r="AA145" s="57"/>
      <c r="AB145" s="41" t="n">
        <f aca="false">IFERROR(__xludf.dummyfunction("""COMPUTED_VALUE"""),7)</f>
        <v>7</v>
      </c>
      <c r="AC145" s="57" t="str">
        <f aca="false">IFERROR(__xludf.dummyfunction("""COMPUTED_VALUE"""),"khanhly16092003@gmail.com")</f>
        <v>khanhly16092003@gmail.com</v>
      </c>
      <c r="AD145" s="46"/>
      <c r="AE145" s="46"/>
      <c r="AF145" s="47"/>
      <c r="AG145" s="46"/>
      <c r="AH145" s="53" t="b">
        <f aca="false">IFERROR(__xludf.dummyfunction("""COMPUTED_VALUE"""),FALSE())</f>
        <v>0</v>
      </c>
      <c r="AI145" s="53" t="b">
        <f aca="false">IFERROR(__xludf.dummyfunction("""COMPUTED_VALUE"""),FALSE())</f>
        <v>0</v>
      </c>
      <c r="AJ145" s="53" t="b">
        <f aca="false">IFERROR(__xludf.dummyfunction("""COMPUTED_VALUE"""),FALSE())</f>
        <v>0</v>
      </c>
      <c r="AK145" s="53" t="b">
        <f aca="false">IFERROR(__xludf.dummyfunction("""COMPUTED_VALUE"""),FALSE())</f>
        <v>0</v>
      </c>
      <c r="AL145" s="53" t="b">
        <f aca="false">IFERROR(__xludf.dummyfunction("""COMPUTED_VALUE"""),FALSE())</f>
        <v>0</v>
      </c>
      <c r="AM145" s="53" t="b">
        <f aca="false">IFERROR(__xludf.dummyfunction("""COMPUTED_VALUE"""),TRUE())</f>
        <v>1</v>
      </c>
      <c r="AN145" s="53" t="b">
        <f aca="false">IFERROR(__xludf.dummyfunction("""COMPUTED_VALUE"""),TRUE())</f>
        <v>1</v>
      </c>
      <c r="AO145" s="46"/>
    </row>
    <row r="146" customFormat="false" ht="15.75" hidden="false" customHeight="true" outlineLevel="0" collapsed="false">
      <c r="A146" s="37" t="str">
        <f aca="false">IFERROR(__xludf.dummyfunction("""COMPUTED_VALUE"""),"Toán")</f>
        <v>Toán</v>
      </c>
      <c r="B146" s="37" t="str">
        <f aca="false">IFERROR(__xludf.dummyfunction("""COMPUTED_VALUE"""),"NT_N_14")</f>
        <v>NT_N_14</v>
      </c>
      <c r="C146" s="59" t="str">
        <f aca="false">IFERROR(__xludf.dummyfunction("""COMPUTED_VALUE"""),"Ứng dụng hàm số trong các bài toán thực tế")</f>
        <v>Ứng dụng hàm số trong các bài toán thực tế</v>
      </c>
      <c r="D146" s="39" t="str">
        <f aca="false">IFERROR(__xludf.dummyfunction("""COMPUTED_VALUE"""),"Nguyễn Hoài Nam")</f>
        <v>Nguyễn Hoài Nam</v>
      </c>
      <c r="E146" s="40" t="n">
        <f aca="false">IFERROR(__xludf.dummyfunction("""COMPUTED_VALUE"""),46222)</f>
        <v>46222</v>
      </c>
      <c r="F146" s="41" t="str">
        <f aca="false">IFERROR(__xludf.dummyfunction("""COMPUTED_VALUE"""),"CN")</f>
        <v>CN</v>
      </c>
      <c r="G146" s="37" t="str">
        <f aca="false">IFERROR(__xludf.dummyfunction("""COMPUTED_VALUE"""),"21:00-22:30")</f>
        <v>21:00-22:30</v>
      </c>
      <c r="H146" s="42" t="str">
        <f aca="false">IFERROR(__xludf.dummyfunction("""COMPUTED_VALUE"""),"https://hocmai.vn/mod/scorm/view_file.php?inpopup=true&amp;id=182824")</f>
        <v>https://hocmai.vn/mod/scorm/view_file.php?inpopup=true&amp;id=182824</v>
      </c>
      <c r="I146" s="42" t="str">
        <f aca="false">IFERROR(__xludf.dummyfunction("""COMPUTED_VALUE"""),"https://hocmai.vn/mod/scorm/view_file.php?inpopup=true&amp;id=182883")</f>
        <v>https://hocmai.vn/mod/scorm/view_file.php?inpopup=true&amp;id=182883</v>
      </c>
      <c r="J146" s="42" t="str">
        <f aca="false">IFERROR(__xludf.dummyfunction("""COMPUTED_VALUE"""),"https://drive.google.com/drive/folders/105uSZGOswgWMenkzNaKU-zjyJeQQ3YXg?usp=sharing")</f>
        <v>https://drive.google.com/drive/folders/105uSZGOswgWMenkzNaKU-zjyJeQQ3YXg?usp=sharing</v>
      </c>
      <c r="K146" s="68" t="str">
        <f aca="false">IFERROR(__xludf.dummyfunction("""COMPUTED_VALUE"""),"lent")</f>
        <v>lent</v>
      </c>
      <c r="L146" s="68" t="str">
        <f aca="false">IFERROR(__xludf.dummyfunction("""COMPUTED_VALUE"""),"Tưởng Thị Huyền Trang")</f>
        <v>Tưởng Thị Huyền Trang</v>
      </c>
      <c r="M146" s="69" t="str">
        <f aca="false">IFERROR(__xludf.dummyfunction("""COMPUTED_VALUE"""),"https://hocmai.sharepoint.com/Education_Development/Lists/San_xuat_video/DispForm.aspx?ID=12201")</f>
        <v>https://hocmai.sharepoint.com/Education_Development/Lists/San_xuat_video/DispForm.aspx?ID=12201</v>
      </c>
      <c r="N146" s="78" t="n">
        <f aca="false">IFERROR(__xludf.dummyfunction("""COMPUTED_VALUE"""),3313)</f>
        <v>3313</v>
      </c>
      <c r="O146" s="63" t="n">
        <f aca="false">IFERROR(__xludf.dummyfunction("""COMPUTED_VALUE"""),166639)</f>
        <v>166639</v>
      </c>
      <c r="P146" s="63"/>
      <c r="Q146" s="63" t="n">
        <f aca="false">IFERROR(__xludf.dummyfunction("""COMPUTED_VALUE"""),8024)</f>
        <v>8024</v>
      </c>
      <c r="R146" s="41"/>
      <c r="S146" s="41"/>
      <c r="T146" s="63" t="n">
        <f aca="false">IFERROR(__xludf.dummyfunction("""COMPUTED_VALUE"""),8025)</f>
        <v>8025</v>
      </c>
      <c r="U146" s="63" t="n">
        <f aca="false">IFERROR(__xludf.dummyfunction("""COMPUTED_VALUE"""),24052)</f>
        <v>24052</v>
      </c>
      <c r="V146" s="70" t="n">
        <f aca="false">IFERROR(__xludf.dummyfunction("""COMPUTED_VALUE"""),46224)</f>
        <v>46224</v>
      </c>
      <c r="W146" s="39" t="str">
        <f aca="false">IFERROR(__xludf.dummyfunction("""COMPUTED_VALUE"""),"Hoàn thành XB")</f>
        <v>Hoàn thành XB</v>
      </c>
      <c r="X146" s="41" t="str">
        <f aca="false">IFERROR(__xludf.dummyfunction("""COMPUTED_VALUE"""),"Huent7")</f>
        <v>Huent7</v>
      </c>
      <c r="Y146" s="44"/>
      <c r="Z146" s="57"/>
      <c r="AA146" s="57"/>
      <c r="AB146" s="41" t="n">
        <f aca="false">IFERROR(__xludf.dummyfunction("""COMPUTED_VALUE"""),7)</f>
        <v>7</v>
      </c>
      <c r="AC146" s="57" t="str">
        <f aca="false">IFERROR(__xludf.dummyfunction("""COMPUTED_VALUE"""),"Clip 5 chưa chạy được =&gt; đã sửa")</f>
        <v>Clip 5 chưa chạy được =&gt; đã sửa</v>
      </c>
      <c r="AD146" s="46"/>
      <c r="AE146" s="46"/>
      <c r="AF146" s="47" t="str">
        <f aca="false">IFERROR(__xludf.dummyfunction("""COMPUTED_VALUE"""),"lophoctoan-946222")</f>
        <v>lophoctoan-946222</v>
      </c>
      <c r="AG146" s="46" t="str">
        <f aca="false">IFERROR(__xludf.dummyfunction("""COMPUTED_VALUE"""),"")</f>
        <v/>
      </c>
      <c r="AH146" s="53" t="b">
        <f aca="false">IFERROR(__xludf.dummyfunction("""COMPUTED_VALUE"""),TRUE())</f>
        <v>1</v>
      </c>
      <c r="AI146" s="35"/>
      <c r="AJ146" s="35"/>
      <c r="AK146" s="35"/>
      <c r="AL146" s="35"/>
      <c r="AM146" s="35"/>
      <c r="AN146" s="35"/>
      <c r="AO146" s="46"/>
    </row>
    <row r="147" customFormat="false" ht="15.75" hidden="false" customHeight="true" outlineLevel="0" collapsed="false">
      <c r="A147" s="37" t="str">
        <f aca="false">IFERROR(__xludf.dummyfunction("""COMPUTED_VALUE"""),"Toán")</f>
        <v>Toán</v>
      </c>
      <c r="B147" s="37" t="str">
        <f aca="false">IFERROR(__xludf.dummyfunction("""COMPUTED_VALUE"""),"NT_T_30")</f>
        <v>NT_T_30</v>
      </c>
      <c r="C147" s="59" t="str">
        <f aca="false">IFERROR(__xludf.dummyfunction("""COMPUTED_VALUE"""),"Ứng dụng tích phân tính thể tích khối tròn xoay")</f>
        <v>Ứng dụng tích phân tính thể tích khối tròn xoay</v>
      </c>
      <c r="D147" s="39" t="str">
        <f aca="false">IFERROR(__xludf.dummyfunction("""COMPUTED_VALUE"""),"Nguyễn Thanh Tùng")</f>
        <v>Nguyễn Thanh Tùng</v>
      </c>
      <c r="E147" s="40" t="n">
        <f aca="false">IFERROR(__xludf.dummyfunction("""COMPUTED_VALUE"""),46222)</f>
        <v>46222</v>
      </c>
      <c r="F147" s="41" t="str">
        <f aca="false">IFERROR(__xludf.dummyfunction("""COMPUTED_VALUE"""),"CN")</f>
        <v>CN</v>
      </c>
      <c r="G147" s="37" t="str">
        <f aca="false">IFERROR(__xludf.dummyfunction("""COMPUTED_VALUE"""),"18:00-20:00")</f>
        <v>18:00-20:00</v>
      </c>
      <c r="H147" s="37"/>
      <c r="I147" s="37"/>
      <c r="J147" s="42" t="str">
        <f aca="false">IFERROR(__xludf.dummyfunction("""COMPUTED_VALUE"""),"https://drive.google.com/drive/folders/1BKudSbYFm_1SirF9eJBTqmJ_SX6X2NnJ?usp=drive_link")</f>
        <v>https://drive.google.com/drive/folders/1BKudSbYFm_1SirF9eJBTqmJ_SX6X2NnJ?usp=drive_link</v>
      </c>
      <c r="K147" s="68" t="str">
        <f aca="false">IFERROR(__xludf.dummyfunction("""COMPUTED_VALUE"""),"Chientd2")</f>
        <v>Chientd2</v>
      </c>
      <c r="L147" s="68" t="str">
        <f aca="false">IFERROR(__xludf.dummyfunction("""COMPUTED_VALUE"""),"Tưởng Thị Huyền Trang")</f>
        <v>Tưởng Thị Huyền Trang</v>
      </c>
      <c r="M147" s="69" t="str">
        <f aca="false">IFERROR(__xludf.dummyfunction("""COMPUTED_VALUE"""),"https://hocmai.sharepoint.com/Education_Development/Lists/San_xuat_video/DispForm.aspx?ID=12169")</f>
        <v>https://hocmai.sharepoint.com/Education_Development/Lists/San_xuat_video/DispForm.aspx?ID=12169</v>
      </c>
      <c r="N147" s="63" t="n">
        <f aca="false">IFERROR(__xludf.dummyfunction("""COMPUTED_VALUE"""),3312)</f>
        <v>3312</v>
      </c>
      <c r="O147" s="63" t="n">
        <f aca="false">IFERROR(__xludf.dummyfunction("""COMPUTED_VALUE"""),166563)</f>
        <v>166563</v>
      </c>
      <c r="P147" s="63"/>
      <c r="Q147" s="63" t="n">
        <f aca="false">IFERROR(__xludf.dummyfunction("""COMPUTED_VALUE"""),7942)</f>
        <v>7942</v>
      </c>
      <c r="R147" s="41"/>
      <c r="S147" s="41"/>
      <c r="T147" s="63" t="n">
        <f aca="false">IFERROR(__xludf.dummyfunction("""COMPUTED_VALUE"""),7943)</f>
        <v>7943</v>
      </c>
      <c r="U147" s="63" t="n">
        <f aca="false">IFERROR(__xludf.dummyfunction("""COMPUTED_VALUE"""),24048)</f>
        <v>24048</v>
      </c>
      <c r="V147" s="70" t="n">
        <f aca="false">IFERROR(__xludf.dummyfunction("""COMPUTED_VALUE"""),46225)</f>
        <v>46225</v>
      </c>
      <c r="W147" s="39" t="str">
        <f aca="false">IFERROR(__xludf.dummyfunction("""COMPUTED_VALUE"""),"Hoàn thành XB")</f>
        <v>Hoàn thành XB</v>
      </c>
      <c r="X147" s="41" t="str">
        <f aca="false">IFERROR(__xludf.dummyfunction("""COMPUTED_VALUE"""),"Huent7")</f>
        <v>Huent7</v>
      </c>
      <c r="Y147" s="44"/>
      <c r="Z147" s="57"/>
      <c r="AA147" s="57"/>
      <c r="AB147" s="41" t="n">
        <f aca="false">IFERROR(__xludf.dummyfunction("""COMPUTED_VALUE"""),7)</f>
        <v>7</v>
      </c>
      <c r="AC147" s="57"/>
      <c r="AD147" s="46"/>
      <c r="AE147" s="46"/>
      <c r="AF147" s="47" t="str">
        <f aca="false">IFERROR(__xludf.dummyfunction("""COMPUTED_VALUE"""),"lophoctoan-946222")</f>
        <v>lophoctoan-946222</v>
      </c>
      <c r="AG147" s="46" t="str">
        <f aca="false">IFERROR(__xludf.dummyfunction("""COMPUTED_VALUE"""),"")</f>
        <v/>
      </c>
      <c r="AH147" s="53" t="b">
        <f aca="false">IFERROR(__xludf.dummyfunction("""COMPUTED_VALUE"""),TRUE())</f>
        <v>1</v>
      </c>
      <c r="AI147" s="35"/>
      <c r="AJ147" s="35"/>
      <c r="AK147" s="35"/>
      <c r="AL147" s="35"/>
      <c r="AM147" s="35"/>
      <c r="AN147" s="35"/>
      <c r="AO147" s="46"/>
    </row>
    <row r="148" customFormat="false" ht="15.75" hidden="false" customHeight="true" outlineLevel="0" collapsed="false">
      <c r="A148" s="37" t="str">
        <f aca="false">IFERROR(__xludf.dummyfunction("""COMPUTED_VALUE"""),"Thực chiến Toán")</f>
        <v>Thực chiến Toán</v>
      </c>
      <c r="B148" s="37" t="str">
        <f aca="false">IFERROR(__xludf.dummyfunction("""COMPUTED_VALUE"""),"TC_TSA_T_06")</f>
        <v>TC_TSA_T_06</v>
      </c>
      <c r="C148" s="59" t="str">
        <f aca="false">IFERROR(__xludf.dummyfunction("""COMPUTED_VALUE"""),"[Bổ trợ]_Chữa bài tập TSA_Tư duy Toán học số 06")</f>
        <v>[Bổ trợ]_Chữa bài tập TSA_Tư duy Toán học số 06</v>
      </c>
      <c r="D148" s="39" t="str">
        <f aca="false">IFERROR(__xludf.dummyfunction("""COMPUTED_VALUE"""),"Phạm Huy Hoàng")</f>
        <v>Phạm Huy Hoàng</v>
      </c>
      <c r="E148" s="40" t="n">
        <f aca="false">IFERROR(__xludf.dummyfunction("""COMPUTED_VALUE"""),46222)</f>
        <v>46222</v>
      </c>
      <c r="F148" s="41" t="str">
        <f aca="false">IFERROR(__xludf.dummyfunction("""COMPUTED_VALUE"""),"CN")</f>
        <v>CN</v>
      </c>
      <c r="G148" s="37" t="str">
        <f aca="false">IFERROR(__xludf.dummyfunction("""COMPUTED_VALUE"""),"15:00-16:00")</f>
        <v>15:00-16:00</v>
      </c>
      <c r="H148" s="37"/>
      <c r="I148" s="37"/>
      <c r="J148" s="42" t="str">
        <f aca="false">IFERROR(__xludf.dummyfunction("""COMPUTED_VALUE"""),"https://drive.google.com/drive/folders/1_lL8meEF8qHSo4Im_X_j_tLVUwkaFyiQ?usp=drive_link")</f>
        <v>https://drive.google.com/drive/folders/1_lL8meEF8qHSo4Im_X_j_tLVUwkaFyiQ?usp=drive_link</v>
      </c>
      <c r="K148" s="68" t="str">
        <f aca="false">IFERROR(__xludf.dummyfunction("""COMPUTED_VALUE"""),"Locdd")</f>
        <v>Locdd</v>
      </c>
      <c r="L148" s="68" t="str">
        <f aca="false">IFERROR(__xludf.dummyfunction("""COMPUTED_VALUE"""),"HOCMAI")</f>
        <v>HOCMAI</v>
      </c>
      <c r="M148" s="71"/>
      <c r="N148" s="77" t="str">
        <f aca="false">IFERROR(__xludf.dummyfunction("""COMPUTED_VALUE"""),"3108")</f>
        <v>3108</v>
      </c>
      <c r="O148" s="63" t="n">
        <f aca="false">IFERROR(__xludf.dummyfunction("""COMPUTED_VALUE"""),175118)</f>
        <v>175118</v>
      </c>
      <c r="P148" s="60" t="str">
        <f aca="false">IFERROR(__xludf.dummyfunction("""COMPUTED_VALUE"""),"https://hocmai.vn/bai-giang-truc-tuyen/175118/.html")</f>
        <v>https://hocmai.vn/bai-giang-truc-tuyen/175118/.html</v>
      </c>
      <c r="Q148" s="63"/>
      <c r="R148" s="41"/>
      <c r="S148" s="41"/>
      <c r="T148" s="63"/>
      <c r="U148" s="63"/>
      <c r="V148" s="70" t="n">
        <f aca="false">IFERROR(__xludf.dummyfunction("""COMPUTED_VALUE"""),46225)</f>
        <v>46225</v>
      </c>
      <c r="W148" s="39" t="str">
        <f aca="false">IFERROR(__xludf.dummyfunction("""COMPUTED_VALUE"""),"Hoàn thành XB")</f>
        <v>Hoàn thành XB</v>
      </c>
      <c r="X148" s="41" t="str">
        <f aca="false">IFERROR(__xludf.dummyfunction("""COMPUTED_VALUE"""),"Vuta")</f>
        <v>Vuta</v>
      </c>
      <c r="Y148" s="44"/>
      <c r="Z148" s="57"/>
      <c r="AA148" s="57"/>
      <c r="AB148" s="41" t="n">
        <f aca="false">IFERROR(__xludf.dummyfunction("""COMPUTED_VALUE"""),7)</f>
        <v>7</v>
      </c>
      <c r="AC148" s="57" t="str">
        <f aca="false">IFERROR(__xludf.dummyfunction("""COMPUTED_VALUE"""),"0376611308")</f>
        <v>0376611308</v>
      </c>
      <c r="AD148" s="46"/>
      <c r="AE148" s="46"/>
      <c r="AF148" s="47"/>
      <c r="AG148" s="46"/>
      <c r="AH148" s="53" t="b">
        <f aca="false">IFERROR(__xludf.dummyfunction("""COMPUTED_VALUE"""),FALSE())</f>
        <v>0</v>
      </c>
      <c r="AI148" s="53" t="b">
        <f aca="false">IFERROR(__xludf.dummyfunction("""COMPUTED_VALUE"""),TRUE())</f>
        <v>1</v>
      </c>
      <c r="AJ148" s="53" t="b">
        <f aca="false">IFERROR(__xludf.dummyfunction("""COMPUTED_VALUE"""),FALSE())</f>
        <v>0</v>
      </c>
      <c r="AK148" s="53" t="b">
        <f aca="false">IFERROR(__xludf.dummyfunction("""COMPUTED_VALUE"""),FALSE())</f>
        <v>0</v>
      </c>
      <c r="AL148" s="53" t="b">
        <f aca="false">IFERROR(__xludf.dummyfunction("""COMPUTED_VALUE"""),FALSE())</f>
        <v>0</v>
      </c>
      <c r="AM148" s="53" t="b">
        <f aca="false">IFERROR(__xludf.dummyfunction("""COMPUTED_VALUE"""),FALSE())</f>
        <v>0</v>
      </c>
      <c r="AN148" s="53" t="b">
        <f aca="false">IFERROR(__xludf.dummyfunction("""COMPUTED_VALUE"""),FALSE())</f>
        <v>0</v>
      </c>
      <c r="AO148" s="46"/>
    </row>
    <row r="149" customFormat="false" ht="15.75" hidden="false" customHeight="true" outlineLevel="0" collapsed="false">
      <c r="A149" s="37" t="str">
        <f aca="false">IFERROR(__xludf.dummyfunction("""COMPUTED_VALUE"""),"Thực chiến Đọc hiểu")</f>
        <v>Thực chiến Đọc hiểu</v>
      </c>
      <c r="B149" s="37" t="str">
        <f aca="false">IFERROR(__xludf.dummyfunction("""COMPUTED_VALUE"""),"TC_TSA_DH_02")</f>
        <v>TC_TSA_DH_02</v>
      </c>
      <c r="C149" s="59" t="str">
        <f aca="false">IFERROR(__xludf.dummyfunction("""COMPUTED_VALUE"""),"[Bổ trợ]_Chữa bài tập TSA_Tư duy Đọc hiểu số 02")</f>
        <v>[Bổ trợ]_Chữa bài tập TSA_Tư duy Đọc hiểu số 02</v>
      </c>
      <c r="D149" s="39" t="str">
        <f aca="false">IFERROR(__xludf.dummyfunction("""COMPUTED_VALUE"""),"Đào Hồng Phúc")</f>
        <v>Đào Hồng Phúc</v>
      </c>
      <c r="E149" s="40" t="n">
        <f aca="false">IFERROR(__xludf.dummyfunction("""COMPUTED_VALUE"""),46222)</f>
        <v>46222</v>
      </c>
      <c r="F149" s="41" t="str">
        <f aca="false">IFERROR(__xludf.dummyfunction("""COMPUTED_VALUE"""),"CN")</f>
        <v>CN</v>
      </c>
      <c r="G149" s="37" t="str">
        <f aca="false">IFERROR(__xludf.dummyfunction("""COMPUTED_VALUE"""),"10:00-11:00")</f>
        <v>10:00-11:00</v>
      </c>
      <c r="H149" s="37"/>
      <c r="I149" s="37"/>
      <c r="J149" s="42" t="str">
        <f aca="false">IFERROR(__xludf.dummyfunction("""COMPUTED_VALUE"""),"https://drive.google.com/drive/folders/1LoLsZzvjUw9DTpgGb5IWxcdxnvsyz-1h?usp=drive_link")</f>
        <v>https://drive.google.com/drive/folders/1LoLsZzvjUw9DTpgGb5IWxcdxnvsyz-1h?usp=drive_link</v>
      </c>
      <c r="K149" s="68" t="str">
        <f aca="false">IFERROR(__xludf.dummyfunction("""COMPUTED_VALUE"""),"Hangvt3")</f>
        <v>Hangvt3</v>
      </c>
      <c r="L149" s="68" t="str">
        <f aca="false">IFERROR(__xludf.dummyfunction("""COMPUTED_VALUE"""),"HOCMAI")</f>
        <v>HOCMAI</v>
      </c>
      <c r="M149" s="71"/>
      <c r="N149" s="77" t="str">
        <f aca="false">IFERROR(__xludf.dummyfunction("""COMPUTED_VALUE"""),"3109")</f>
        <v>3109</v>
      </c>
      <c r="O149" s="63" t="n">
        <f aca="false">IFERROR(__xludf.dummyfunction("""COMPUTED_VALUE"""),175124)</f>
        <v>175124</v>
      </c>
      <c r="P149" s="60" t="str">
        <f aca="false">IFERROR(__xludf.dummyfunction("""COMPUTED_VALUE"""),"https://hocmai.vn/bai-giang-truc-tuyen/175124/.html")</f>
        <v>https://hocmai.vn/bai-giang-truc-tuyen/175124/.html</v>
      </c>
      <c r="Q149" s="63"/>
      <c r="R149" s="41"/>
      <c r="S149" s="41"/>
      <c r="T149" s="63"/>
      <c r="U149" s="63"/>
      <c r="V149" s="70" t="n">
        <f aca="false">IFERROR(__xludf.dummyfunction("""COMPUTED_VALUE"""),46225)</f>
        <v>46225</v>
      </c>
      <c r="W149" s="39" t="str">
        <f aca="false">IFERROR(__xludf.dummyfunction("""COMPUTED_VALUE"""),"Hoàn thành XB")</f>
        <v>Hoàn thành XB</v>
      </c>
      <c r="X149" s="41" t="str">
        <f aca="false">IFERROR(__xludf.dummyfunction("""COMPUTED_VALUE"""),"Vuta")</f>
        <v>Vuta</v>
      </c>
      <c r="Y149" s="44"/>
      <c r="Z149" s="57"/>
      <c r="AA149" s="57"/>
      <c r="AB149" s="41" t="n">
        <f aca="false">IFERROR(__xludf.dummyfunction("""COMPUTED_VALUE"""),7)</f>
        <v>7</v>
      </c>
      <c r="AC149" s="57" t="str">
        <f aca="false">IFERROR(__xludf.dummyfunction("""COMPUTED_VALUE"""),"0987781413")</f>
        <v>0987781413</v>
      </c>
      <c r="AD149" s="46"/>
      <c r="AE149" s="46"/>
      <c r="AF149" s="47"/>
      <c r="AG149" s="46"/>
      <c r="AH149" s="53" t="b">
        <f aca="false">IFERROR(__xludf.dummyfunction("""COMPUTED_VALUE"""),FALSE())</f>
        <v>0</v>
      </c>
      <c r="AI149" s="53" t="b">
        <f aca="false">IFERROR(__xludf.dummyfunction("""COMPUTED_VALUE"""),TRUE())</f>
        <v>1</v>
      </c>
      <c r="AJ149" s="53" t="b">
        <f aca="false">IFERROR(__xludf.dummyfunction("""COMPUTED_VALUE"""),FALSE())</f>
        <v>0</v>
      </c>
      <c r="AK149" s="53" t="b">
        <f aca="false">IFERROR(__xludf.dummyfunction("""COMPUTED_VALUE"""),FALSE())</f>
        <v>0</v>
      </c>
      <c r="AL149" s="53" t="b">
        <f aca="false">IFERROR(__xludf.dummyfunction("""COMPUTED_VALUE"""),FALSE())</f>
        <v>0</v>
      </c>
      <c r="AM149" s="53" t="b">
        <f aca="false">IFERROR(__xludf.dummyfunction("""COMPUTED_VALUE"""),FALSE())</f>
        <v>0</v>
      </c>
      <c r="AN149" s="53" t="b">
        <f aca="false">IFERROR(__xludf.dummyfunction("""COMPUTED_VALUE"""),FALSE())</f>
        <v>0</v>
      </c>
      <c r="AO149" s="46"/>
    </row>
    <row r="150" customFormat="false" ht="15.75" hidden="false" customHeight="true" outlineLevel="0" collapsed="false">
      <c r="A150" s="37" t="str">
        <f aca="false">IFERROR(__xludf.dummyfunction("""COMPUTED_VALUE"""),"Thực chiến Định tính")</f>
        <v>Thực chiến Định tính</v>
      </c>
      <c r="B150" s="37" t="str">
        <f aca="false">IFERROR(__xludf.dummyfunction("""COMPUTED_VALUE"""),"TC_HSA_ĐT_01")</f>
        <v>TC_HSA_ĐT_01</v>
      </c>
      <c r="C150" s="59" t="str">
        <f aca="false">IFERROR(__xludf.dummyfunction("""COMPUTED_VALUE"""),"[Bổ trợ]_Chữa bài tập _Tư duy Định tính số 01")</f>
        <v>[Bổ trợ]_Chữa bài tập _Tư duy Định tính số 01</v>
      </c>
      <c r="D150" s="39" t="str">
        <f aca="false">IFERROR(__xludf.dummyfunction("""COMPUTED_VALUE"""),"Nguyễn Thị Thanh Hoa")</f>
        <v>Nguyễn Thị Thanh Hoa</v>
      </c>
      <c r="E150" s="40" t="n">
        <f aca="false">IFERROR(__xludf.dummyfunction("""COMPUTED_VALUE"""),46222)</f>
        <v>46222</v>
      </c>
      <c r="F150" s="41" t="str">
        <f aca="false">IFERROR(__xludf.dummyfunction("""COMPUTED_VALUE"""),"CN")</f>
        <v>CN</v>
      </c>
      <c r="G150" s="37" t="str">
        <f aca="false">IFERROR(__xludf.dummyfunction("""COMPUTED_VALUE"""),"17:00-18:00")</f>
        <v>17:00-18:00</v>
      </c>
      <c r="H150" s="37"/>
      <c r="I150" s="37"/>
      <c r="J150" s="42" t="str">
        <f aca="false">IFERROR(__xludf.dummyfunction("""COMPUTED_VALUE"""),"https://drive.google.com/drive/folders/1ibyIxi_r7rIkmOgYpvJ_J63og8DE7KUE")</f>
        <v>https://drive.google.com/drive/folders/1ibyIxi_r7rIkmOgYpvJ_J63og8DE7KUE</v>
      </c>
      <c r="K150" s="68" t="str">
        <f aca="false">IFERROR(__xludf.dummyfunction("""COMPUTED_VALUE"""),"Hoantt")</f>
        <v>Hoantt</v>
      </c>
      <c r="L150" s="68" t="str">
        <f aca="false">IFERROR(__xludf.dummyfunction("""COMPUTED_VALUE"""),"HOCMAI")</f>
        <v>HOCMAI</v>
      </c>
      <c r="M150" s="71"/>
      <c r="N150" s="77" t="str">
        <f aca="false">IFERROR(__xludf.dummyfunction("""COMPUTED_VALUE"""),"3118")</f>
        <v>3118</v>
      </c>
      <c r="O150" s="63" t="n">
        <f aca="false">IFERROR(__xludf.dummyfunction("""COMPUTED_VALUE"""),175160)</f>
        <v>175160</v>
      </c>
      <c r="P150" s="60" t="str">
        <f aca="false">IFERROR(__xludf.dummyfunction("""COMPUTED_VALUE"""),"https://hocmai.vn/bai-giang-truc-tuyen/175160/.html")</f>
        <v>https://hocmai.vn/bai-giang-truc-tuyen/175160/.html</v>
      </c>
      <c r="Q150" s="63"/>
      <c r="R150" s="41"/>
      <c r="S150" s="41"/>
      <c r="T150" s="63"/>
      <c r="U150" s="63"/>
      <c r="V150" s="70" t="n">
        <f aca="false">IFERROR(__xludf.dummyfunction("""COMPUTED_VALUE"""),46225)</f>
        <v>46225</v>
      </c>
      <c r="W150" s="39" t="str">
        <f aca="false">IFERROR(__xludf.dummyfunction("""COMPUTED_VALUE"""),"Hoàn thành XB")</f>
        <v>Hoàn thành XB</v>
      </c>
      <c r="X150" s="41" t="str">
        <f aca="false">IFERROR(__xludf.dummyfunction("""COMPUTED_VALUE"""),"Vuta")</f>
        <v>Vuta</v>
      </c>
      <c r="Y150" s="44"/>
      <c r="Z150" s="57"/>
      <c r="AA150" s="57"/>
      <c r="AB150" s="41" t="n">
        <f aca="false">IFERROR(__xludf.dummyfunction("""COMPUTED_VALUE"""),7)</f>
        <v>7</v>
      </c>
      <c r="AC150" s="57" t="str">
        <f aca="false">IFERROR(__xludf.dummyfunction("""COMPUTED_VALUE"""),"hoantt@hocmai.vn")</f>
        <v>hoantt@hocmai.vn</v>
      </c>
      <c r="AD150" s="46"/>
      <c r="AE150" s="46"/>
      <c r="AF150" s="47"/>
      <c r="AG150" s="46"/>
      <c r="AH150" s="53" t="b">
        <f aca="false">IFERROR(__xludf.dummyfunction("""COMPUTED_VALUE"""),FALSE())</f>
        <v>0</v>
      </c>
      <c r="AI150" s="53" t="b">
        <f aca="false">IFERROR(__xludf.dummyfunction("""COMPUTED_VALUE"""),FALSE())</f>
        <v>0</v>
      </c>
      <c r="AJ150" s="53" t="b">
        <f aca="false">IFERROR(__xludf.dummyfunction("""COMPUTED_VALUE"""),TRUE())</f>
        <v>1</v>
      </c>
      <c r="AK150" s="53" t="b">
        <f aca="false">IFERROR(__xludf.dummyfunction("""COMPUTED_VALUE"""),TRUE())</f>
        <v>1</v>
      </c>
      <c r="AL150" s="53" t="b">
        <f aca="false">IFERROR(__xludf.dummyfunction("""COMPUTED_VALUE"""),FALSE())</f>
        <v>0</v>
      </c>
      <c r="AM150" s="53" t="b">
        <f aca="false">IFERROR(__xludf.dummyfunction("""COMPUTED_VALUE"""),FALSE())</f>
        <v>0</v>
      </c>
      <c r="AN150" s="53" t="b">
        <f aca="false">IFERROR(__xludf.dummyfunction("""COMPUTED_VALUE"""),FALSE())</f>
        <v>0</v>
      </c>
      <c r="AO150" s="46"/>
    </row>
    <row r="151" customFormat="false" ht="15.75" hidden="false" customHeight="true" outlineLevel="0" collapsed="false">
      <c r="A151" s="37" t="str">
        <f aca="false">IFERROR(__xludf.dummyfunction("""COMPUTED_VALUE"""),"Thực chiến Định lượng")</f>
        <v>Thực chiến Định lượng</v>
      </c>
      <c r="B151" s="37" t="str">
        <f aca="false">IFERROR(__xludf.dummyfunction("""COMPUTED_VALUE"""),"TC_HSA_ĐL_02")</f>
        <v>TC_HSA_ĐL_02</v>
      </c>
      <c r="C151" s="59" t="str">
        <f aca="false">IFERROR(__xludf.dummyfunction("""COMPUTED_VALUE"""),"[Bổ trợ]_Chữa bài tập _Tư duy Định lượng số 02")</f>
        <v>[Bổ trợ]_Chữa bài tập _Tư duy Định lượng số 02</v>
      </c>
      <c r="D151" s="39" t="str">
        <f aca="false">IFERROR(__xludf.dummyfunction("""COMPUTED_VALUE"""),"Nguyễn Trọng Trường Anh")</f>
        <v>Nguyễn Trọng Trường Anh</v>
      </c>
      <c r="E151" s="40" t="n">
        <f aca="false">IFERROR(__xludf.dummyfunction("""COMPUTED_VALUE"""),46222)</f>
        <v>46222</v>
      </c>
      <c r="F151" s="41" t="str">
        <f aca="false">IFERROR(__xludf.dummyfunction("""COMPUTED_VALUE"""),"CN")</f>
        <v>CN</v>
      </c>
      <c r="G151" s="37" t="str">
        <f aca="false">IFERROR(__xludf.dummyfunction("""COMPUTED_VALUE"""),"10:00-11:00")</f>
        <v>10:00-11:00</v>
      </c>
      <c r="H151" s="37"/>
      <c r="I151" s="37"/>
      <c r="J151" s="42" t="str">
        <f aca="false">IFERROR(__xludf.dummyfunction("""COMPUTED_VALUE"""),"https://drive.google.com/drive/folders/1M-Xs0pWTHTgVm5L5o3vdoa8W_JXtgsZF?usp=drive_link")</f>
        <v>https://drive.google.com/drive/folders/1M-Xs0pWTHTgVm5L5o3vdoa8W_JXtgsZF?usp=drive_link</v>
      </c>
      <c r="K151" s="68" t="str">
        <f aca="false">IFERROR(__xludf.dummyfunction("""COMPUTED_VALUE"""),"Locdd")</f>
        <v>Locdd</v>
      </c>
      <c r="L151" s="68" t="str">
        <f aca="false">IFERROR(__xludf.dummyfunction("""COMPUTED_VALUE"""),"HOCMAI")</f>
        <v>HOCMAI</v>
      </c>
      <c r="M151" s="71"/>
      <c r="N151" s="77" t="str">
        <f aca="false">IFERROR(__xludf.dummyfunction("""COMPUTED_VALUE"""),"3117")</f>
        <v>3117</v>
      </c>
      <c r="O151" s="63" t="n">
        <f aca="false">IFERROR(__xludf.dummyfunction("""COMPUTED_VALUE"""),175950)</f>
        <v>175950</v>
      </c>
      <c r="P151" s="60" t="str">
        <f aca="false">IFERROR(__xludf.dummyfunction("""COMPUTED_VALUE"""),"https://hocmai.vn/bai-giang-truc-tuyen/175950/.html")</f>
        <v>https://hocmai.vn/bai-giang-truc-tuyen/175950/.html</v>
      </c>
      <c r="Q151" s="63"/>
      <c r="R151" s="41"/>
      <c r="S151" s="41"/>
      <c r="T151" s="63"/>
      <c r="U151" s="63"/>
      <c r="V151" s="70" t="n">
        <f aca="false">IFERROR(__xludf.dummyfunction("""COMPUTED_VALUE"""),46225)</f>
        <v>46225</v>
      </c>
      <c r="W151" s="39" t="str">
        <f aca="false">IFERROR(__xludf.dummyfunction("""COMPUTED_VALUE"""),"Hoàn thành XB")</f>
        <v>Hoàn thành XB</v>
      </c>
      <c r="X151" s="41" t="str">
        <f aca="false">IFERROR(__xludf.dummyfunction("""COMPUTED_VALUE"""),"Vuta")</f>
        <v>Vuta</v>
      </c>
      <c r="Y151" s="44"/>
      <c r="Z151" s="57"/>
      <c r="AA151" s="57"/>
      <c r="AB151" s="41" t="n">
        <f aca="false">IFERROR(__xludf.dummyfunction("""COMPUTED_VALUE"""),7)</f>
        <v>7</v>
      </c>
      <c r="AC151" s="57" t="str">
        <f aca="false">IFERROR(__xludf.dummyfunction("""COMPUTED_VALUE"""),"ntronganh08@gmail.com")</f>
        <v>ntronganh08@gmail.com</v>
      </c>
      <c r="AD151" s="46"/>
      <c r="AE151" s="46"/>
      <c r="AF151" s="47"/>
      <c r="AG151" s="46"/>
      <c r="AH151" s="53" t="b">
        <f aca="false">IFERROR(__xludf.dummyfunction("""COMPUTED_VALUE"""),FALSE())</f>
        <v>0</v>
      </c>
      <c r="AI151" s="53" t="b">
        <f aca="false">IFERROR(__xludf.dummyfunction("""COMPUTED_VALUE"""),FALSE())</f>
        <v>0</v>
      </c>
      <c r="AJ151" s="53" t="b">
        <f aca="false">IFERROR(__xludf.dummyfunction("""COMPUTED_VALUE"""),TRUE())</f>
        <v>1</v>
      </c>
      <c r="AK151" s="53" t="b">
        <f aca="false">IFERROR(__xludf.dummyfunction("""COMPUTED_VALUE"""),TRUE())</f>
        <v>1</v>
      </c>
      <c r="AL151" s="53" t="b">
        <f aca="false">IFERROR(__xludf.dummyfunction("""COMPUTED_VALUE"""),FALSE())</f>
        <v>0</v>
      </c>
      <c r="AM151" s="53" t="b">
        <f aca="false">IFERROR(__xludf.dummyfunction("""COMPUTED_VALUE"""),FALSE())</f>
        <v>0</v>
      </c>
      <c r="AN151" s="53" t="b">
        <f aca="false">IFERROR(__xludf.dummyfunction("""COMPUTED_VALUE"""),FALSE())</f>
        <v>0</v>
      </c>
      <c r="AO151" s="46"/>
    </row>
    <row r="152" customFormat="false" ht="15.75" hidden="false" customHeight="true" outlineLevel="0" collapsed="false">
      <c r="A152" s="37" t="str">
        <f aca="false">IFERROR(__xludf.dummyfunction("""COMPUTED_VALUE"""),"Thực chiến Toán")</f>
        <v>Thực chiến Toán</v>
      </c>
      <c r="B152" s="37" t="str">
        <f aca="false">IFERROR(__xludf.dummyfunction("""COMPUTED_VALUE"""),"TC_V-ACT_T_03")</f>
        <v>TC_V-ACT_T_03</v>
      </c>
      <c r="C152" s="59" t="str">
        <f aca="false">IFERROR(__xludf.dummyfunction("""COMPUTED_VALUE"""),"[Bổ trợ]_Chữa bài tập_V-ACT_Toán số 03")</f>
        <v>[Bổ trợ]_Chữa bài tập_V-ACT_Toán số 03</v>
      </c>
      <c r="D152" s="39" t="str">
        <f aca="false">IFERROR(__xludf.dummyfunction("""COMPUTED_VALUE"""),"Lê Thế Anh")</f>
        <v>Lê Thế Anh</v>
      </c>
      <c r="E152" s="40" t="n">
        <f aca="false">IFERROR(__xludf.dummyfunction("""COMPUTED_VALUE"""),46222)</f>
        <v>46222</v>
      </c>
      <c r="F152" s="41" t="str">
        <f aca="false">IFERROR(__xludf.dummyfunction("""COMPUTED_VALUE"""),"CN")</f>
        <v>CN</v>
      </c>
      <c r="G152" s="37" t="str">
        <f aca="false">IFERROR(__xludf.dummyfunction("""COMPUTED_VALUE"""),"10:00-11:00")</f>
        <v>10:00-11:00</v>
      </c>
      <c r="H152" s="37"/>
      <c r="I152" s="37"/>
      <c r="J152" s="42" t="str">
        <f aca="false">IFERROR(__xludf.dummyfunction("""COMPUTED_VALUE"""),"https://drive.google.com/drive/folders/16Xactm_BDcfth5A0JVcju0y-LTZQetax?usp=sharing")</f>
        <v>https://drive.google.com/drive/folders/16Xactm_BDcfth5A0JVcju0y-LTZQetax?usp=sharing</v>
      </c>
      <c r="K152" s="68" t="str">
        <f aca="false">IFERROR(__xludf.dummyfunction("""COMPUTED_VALUE"""),"lent")</f>
        <v>lent</v>
      </c>
      <c r="L152" s="68" t="str">
        <f aca="false">IFERROR(__xludf.dummyfunction("""COMPUTED_VALUE"""),"HOCMAI")</f>
        <v>HOCMAI</v>
      </c>
      <c r="M152" s="71"/>
      <c r="N152" s="77" t="str">
        <f aca="false">IFERROR(__xludf.dummyfunction("""COMPUTED_VALUE"""),"3124")</f>
        <v>3124</v>
      </c>
      <c r="O152" s="63" t="n">
        <f aca="false">IFERROR(__xludf.dummyfunction("""COMPUTED_VALUE"""),175178)</f>
        <v>175178</v>
      </c>
      <c r="P152" s="60" t="str">
        <f aca="false">IFERROR(__xludf.dummyfunction("""COMPUTED_VALUE"""),"https://hocmai.vn/bai-giang-truc-tuyen/175178/.html")</f>
        <v>https://hocmai.vn/bai-giang-truc-tuyen/175178/.html</v>
      </c>
      <c r="Q152" s="63"/>
      <c r="R152" s="41"/>
      <c r="S152" s="41"/>
      <c r="T152" s="63"/>
      <c r="U152" s="63"/>
      <c r="V152" s="70" t="n">
        <f aca="false">IFERROR(__xludf.dummyfunction("""COMPUTED_VALUE"""),46225)</f>
        <v>46225</v>
      </c>
      <c r="W152" s="39" t="str">
        <f aca="false">IFERROR(__xludf.dummyfunction("""COMPUTED_VALUE"""),"Hoàn thành XB")</f>
        <v>Hoàn thành XB</v>
      </c>
      <c r="X152" s="41" t="str">
        <f aca="false">IFERROR(__xludf.dummyfunction("""COMPUTED_VALUE"""),"Vuta")</f>
        <v>Vuta</v>
      </c>
      <c r="Y152" s="44"/>
      <c r="Z152" s="57"/>
      <c r="AA152" s="57"/>
      <c r="AB152" s="41" t="n">
        <f aca="false">IFERROR(__xludf.dummyfunction("""COMPUTED_VALUE"""),7)</f>
        <v>7</v>
      </c>
      <c r="AC152" s="57" t="str">
        <f aca="false">IFERROR(__xludf.dummyfunction("""COMPUTED_VALUE"""),"ss.vact01@ctv.hocmai.vn")</f>
        <v>ss.vact01@ctv.hocmai.vn</v>
      </c>
      <c r="AD152" s="46"/>
      <c r="AE152" s="46"/>
      <c r="AF152" s="47"/>
      <c r="AG152" s="46"/>
      <c r="AH152" s="53" t="b">
        <f aca="false">IFERROR(__xludf.dummyfunction("""COMPUTED_VALUE"""),FALSE())</f>
        <v>0</v>
      </c>
      <c r="AI152" s="53" t="b">
        <f aca="false">IFERROR(__xludf.dummyfunction("""COMPUTED_VALUE"""),FALSE())</f>
        <v>0</v>
      </c>
      <c r="AJ152" s="53" t="b">
        <f aca="false">IFERROR(__xludf.dummyfunction("""COMPUTED_VALUE"""),FALSE())</f>
        <v>0</v>
      </c>
      <c r="AK152" s="53" t="b">
        <f aca="false">IFERROR(__xludf.dummyfunction("""COMPUTED_VALUE"""),FALSE())</f>
        <v>0</v>
      </c>
      <c r="AL152" s="53" t="b">
        <f aca="false">IFERROR(__xludf.dummyfunction("""COMPUTED_VALUE"""),FALSE())</f>
        <v>0</v>
      </c>
      <c r="AM152" s="53" t="b">
        <f aca="false">IFERROR(__xludf.dummyfunction("""COMPUTED_VALUE"""),TRUE())</f>
        <v>1</v>
      </c>
      <c r="AN152" s="53" t="b">
        <f aca="false">IFERROR(__xludf.dummyfunction("""COMPUTED_VALUE"""),TRUE())</f>
        <v>1</v>
      </c>
      <c r="AO152" s="46"/>
    </row>
    <row r="153" customFormat="false" ht="15.75" hidden="false" customHeight="true" outlineLevel="0" collapsed="false">
      <c r="A153" s="37" t="str">
        <f aca="false">IFERROR(__xludf.dummyfunction("""COMPUTED_VALUE"""),"Đọc hiểu")</f>
        <v>Đọc hiểu</v>
      </c>
      <c r="B153" s="37" t="str">
        <f aca="false">IFERROR(__xludf.dummyfunction("""COMPUTED_VALUE"""),"TOV_TSA_DH06")</f>
        <v>TOV_TSA_DH06</v>
      </c>
      <c r="C153" s="59" t="str">
        <f aca="false">IFERROR(__xludf.dummyfunction("""COMPUTED_VALUE"""),"Luyện tập đọc hiểu ý chính và thông tin chi tiết")</f>
        <v>Luyện tập đọc hiểu ý chính và thông tin chi tiết</v>
      </c>
      <c r="D153" s="39" t="str">
        <f aca="false">IFERROR(__xludf.dummyfunction("""COMPUTED_VALUE"""),"Vũ Khắc Ngọc")</f>
        <v>Vũ Khắc Ngọc</v>
      </c>
      <c r="E153" s="40" t="n">
        <f aca="false">IFERROR(__xludf.dummyfunction("""COMPUTED_VALUE"""),46223)</f>
        <v>46223</v>
      </c>
      <c r="F153" s="41" t="n">
        <f aca="false">IFERROR(__xludf.dummyfunction("""COMPUTED_VALUE"""),2)</f>
        <v>2</v>
      </c>
      <c r="G153" s="37" t="str">
        <f aca="false">IFERROR(__xludf.dummyfunction("""COMPUTED_VALUE"""),"21:30-23:30")</f>
        <v>21:30-23:30</v>
      </c>
      <c r="H153" s="37"/>
      <c r="I153" s="37"/>
      <c r="J153" s="42" t="str">
        <f aca="false">IFERROR(__xludf.dummyfunction("""COMPUTED_VALUE"""),"https://drive.google.com/file/d/1EB1anhJAiKLDl4HZZgKwuY42w9GXFIVT/view?usp=drive_link")</f>
        <v>https://drive.google.com/file/d/1EB1anhJAiKLDl4HZZgKwuY42w9GXFIVT/view?usp=drive_link</v>
      </c>
      <c r="K153" s="68" t="str">
        <f aca="false">IFERROR(__xludf.dummyfunction("""COMPUTED_VALUE"""),"Hangvt3")</f>
        <v>Hangvt3</v>
      </c>
      <c r="L153" s="68" t="str">
        <f aca="false">IFERROR(__xludf.dummyfunction("""COMPUTED_VALUE"""),"Phan Đức Kiên")</f>
        <v>Phan Đức Kiên</v>
      </c>
      <c r="M153" s="71"/>
      <c r="N153" s="77" t="str">
        <f aca="false">IFERROR(__xludf.dummyfunction("""COMPUTED_VALUE"""),"3109")</f>
        <v>3109</v>
      </c>
      <c r="O153" s="63" t="n">
        <f aca="false">IFERROR(__xludf.dummyfunction("""COMPUTED_VALUE"""),167229)</f>
        <v>167229</v>
      </c>
      <c r="P153" s="63"/>
      <c r="Q153" s="63"/>
      <c r="R153" s="41"/>
      <c r="S153" s="41"/>
      <c r="T153" s="63"/>
      <c r="U153" s="63"/>
      <c r="V153" s="70" t="n">
        <f aca="false">IFERROR(__xludf.dummyfunction("""COMPUTED_VALUE"""),46226)</f>
        <v>46226</v>
      </c>
      <c r="W153" s="39" t="str">
        <f aca="false">IFERROR(__xludf.dummyfunction("""COMPUTED_VALUE"""),"Hoàn thành XB")</f>
        <v>Hoàn thành XB</v>
      </c>
      <c r="X153" s="41" t="str">
        <f aca="false">IFERROR(__xludf.dummyfunction("""COMPUTED_VALUE"""),"Hoantt")</f>
        <v>Hoantt</v>
      </c>
      <c r="Y153" s="44" t="str">
        <f aca="false">IFERROR(__xludf.dummyfunction("""COMPUTED_VALUE"""),"done")</f>
        <v>done</v>
      </c>
      <c r="Z153" s="57" t="str">
        <f aca="false">IFERROR(__xludf.dummyfunction("""COMPUTED_VALUE"""),"#N/A")</f>
        <v>#N/A</v>
      </c>
      <c r="AA153" s="57"/>
      <c r="AB153" s="41" t="n">
        <f aca="false">IFERROR(__xludf.dummyfunction("""COMPUTED_VALUE"""),7)</f>
        <v>7</v>
      </c>
      <c r="AC153" s="57" t="str">
        <f aca="false">IFERROR(__xludf.dummyfunction("""COMPUTED_VALUE"""),"gv.ngocvk@hocmai.edu.vn")</f>
        <v>gv.ngocvk@hocmai.edu.vn</v>
      </c>
      <c r="AD153" s="46" t="str">
        <f aca="false">IFERROR(__xludf.dummyfunction("""COMPUTED_VALUE"""),"duckien010607@gmail.com")</f>
        <v>duckien010607@gmail.com</v>
      </c>
      <c r="AE153" s="46"/>
      <c r="AF153" s="47" t="str">
        <f aca="false">IFERROR(__xludf.dummyfunction("""COMPUTED_VALUE"""),"lophoctoan-946223")</f>
        <v>lophoctoan-946223</v>
      </c>
      <c r="AG153" s="46" t="str">
        <f aca="false">IFERROR(__xludf.dummyfunction("""COMPUTED_VALUE"""),"")</f>
        <v/>
      </c>
      <c r="AH153" s="35"/>
      <c r="AI153" s="53" t="b">
        <f aca="false">IFERROR(__xludf.dummyfunction("""COMPUTED_VALUE"""),TRUE())</f>
        <v>1</v>
      </c>
      <c r="AJ153" s="35"/>
      <c r="AK153" s="35"/>
      <c r="AL153" s="35"/>
      <c r="AM153" s="35"/>
      <c r="AN153" s="35"/>
      <c r="AO153" s="46"/>
    </row>
    <row r="154" customFormat="false" ht="15.75" hidden="false" customHeight="true" outlineLevel="0" collapsed="false">
      <c r="A154" s="37" t="str">
        <f aca="false">IFERROR(__xludf.dummyfunction("""COMPUTED_VALUE"""),"Tiếng Anh")</f>
        <v>Tiếng Anh</v>
      </c>
      <c r="B154" s="37" t="str">
        <f aca="false">IFERROR(__xludf.dummyfunction("""COMPUTED_VALUE"""),"TOV_HV_TA06")</f>
        <v>TOV_HV_TA06</v>
      </c>
      <c r="C154" s="59" t="str">
        <f aca="false">IFERROR(__xludf.dummyfunction("""COMPUTED_VALUE"""),"Mệnh đề quan hệ - Rút gọn các loại mệnh đề")</f>
        <v>Mệnh đề quan hệ - Rút gọn các loại mệnh đề</v>
      </c>
      <c r="D154" s="39" t="str">
        <f aca="false">IFERROR(__xludf.dummyfunction("""COMPUTED_VALUE"""),"Nguyễn Thanh Hương")</f>
        <v>Nguyễn Thanh Hương</v>
      </c>
      <c r="E154" s="40" t="n">
        <f aca="false">IFERROR(__xludf.dummyfunction("""COMPUTED_VALUE"""),46223)</f>
        <v>46223</v>
      </c>
      <c r="F154" s="41" t="n">
        <f aca="false">IFERROR(__xludf.dummyfunction("""COMPUTED_VALUE"""),2)</f>
        <v>2</v>
      </c>
      <c r="G154" s="37" t="str">
        <f aca="false">IFERROR(__xludf.dummyfunction("""COMPUTED_VALUE"""),"20:00-22:00")</f>
        <v>20:00-22:00</v>
      </c>
      <c r="H154" s="37"/>
      <c r="I154" s="37"/>
      <c r="J154" s="42" t="str">
        <f aca="false">IFERROR(__xludf.dummyfunction("""COMPUTED_VALUE"""),"https://drive.google.com/file/d/1-Av2WegymQkKnOX5wGON-9RtelMqb65_/view?usp=drive_link")</f>
        <v>https://drive.google.com/file/d/1-Av2WegymQkKnOX5wGON-9RtelMqb65_/view?usp=drive_link</v>
      </c>
      <c r="K154" s="68" t="str">
        <f aca="false">IFERROR(__xludf.dummyfunction("""COMPUTED_VALUE"""),"huyennn2")</f>
        <v>huyennn2</v>
      </c>
      <c r="L154" s="68" t="str">
        <f aca="false">IFERROR(__xludf.dummyfunction("""COMPUTED_VALUE"""),"Nguyễn Lê Thụy Quyên ")</f>
        <v>Nguyễn Lê Thụy Quyên </v>
      </c>
      <c r="M154" s="71"/>
      <c r="N154" s="77" t="str">
        <f aca="false">IFERROR(__xludf.dummyfunction("""COMPUTED_VALUE"""),"3140,3165,3339")</f>
        <v>3140,3165,3339</v>
      </c>
      <c r="O154" s="73" t="str">
        <f aca="false">IFERROR(__xludf.dummyfunction("""COMPUTED_VALUE"""),"167542,16761,167634")</f>
        <v>167542,16761,167634</v>
      </c>
      <c r="P154" s="63" t="str">
        <f aca="false">IFERROR(__xludf.dummyfunction("""COMPUTED_VALUE"""),"9030,9038,9047,9119")</f>
        <v>9030,9038,9047,9119</v>
      </c>
      <c r="Q154" s="63"/>
      <c r="R154" s="41"/>
      <c r="S154" s="41"/>
      <c r="T154" s="63"/>
      <c r="U154" s="63"/>
      <c r="V154" s="70" t="n">
        <f aca="false">IFERROR(__xludf.dummyfunction("""COMPUTED_VALUE"""),46226)</f>
        <v>46226</v>
      </c>
      <c r="W154" s="39" t="str">
        <f aca="false">IFERROR(__xludf.dummyfunction("""COMPUTED_VALUE"""),"Hoàn thành XB")</f>
        <v>Hoàn thành XB</v>
      </c>
      <c r="X154" s="41" t="str">
        <f aca="false">IFERROR(__xludf.dummyfunction("""COMPUTED_VALUE"""),"huyennn2")</f>
        <v>huyennn2</v>
      </c>
      <c r="Y154" s="44" t="str">
        <f aca="false">IFERROR(__xludf.dummyfunction("""COMPUTED_VALUE"""),"done")</f>
        <v>done</v>
      </c>
      <c r="Z154" s="57" t="str">
        <f aca="false">IFERROR(__xludf.dummyfunction("""COMPUTED_VALUE"""),"#N/A")</f>
        <v>#N/A</v>
      </c>
      <c r="AA154" s="57"/>
      <c r="AB154" s="41" t="n">
        <f aca="false">IFERROR(__xludf.dummyfunction("""COMPUTED_VALUE"""),7)</f>
        <v>7</v>
      </c>
      <c r="AC154" s="57" t="str">
        <f aca="false">IFERROR(__xludf.dummyfunction("""COMPUTED_VALUE"""),"gv.huongnt@hocmai.edu.vn ")</f>
        <v>gv.huongnt@hocmai.edu.vn </v>
      </c>
      <c r="AD154" s="46" t="str">
        <f aca="false">IFERROR(__xludf.dummyfunction("""COMPUTED_VALUE"""),"nguyenlethuyquyencp@gmail.com")</f>
        <v>nguyenlethuyquyencp@gmail.com</v>
      </c>
      <c r="AE154" s="46"/>
      <c r="AF154" s="47" t="str">
        <f aca="false">IFERROR(__xludf.dummyfunction("""COMPUTED_VALUE"""),"lophoctienganh46223")</f>
        <v>lophoctienganh46223</v>
      </c>
      <c r="AG154" s="46" t="str">
        <f aca="false">IFERROR(__xludf.dummyfunction("""COMPUTED_VALUE"""),"")</f>
        <v/>
      </c>
      <c r="AH154" s="35"/>
      <c r="AI154" s="35"/>
      <c r="AJ154" s="53" t="b">
        <f aca="false">IFERROR(__xludf.dummyfunction("""COMPUTED_VALUE"""),TRUE())</f>
        <v>1</v>
      </c>
      <c r="AK154" s="53" t="b">
        <f aca="false">IFERROR(__xludf.dummyfunction("""COMPUTED_VALUE"""),TRUE())</f>
        <v>1</v>
      </c>
      <c r="AL154" s="35"/>
      <c r="AM154" s="53" t="b">
        <f aca="false">IFERROR(__xludf.dummyfunction("""COMPUTED_VALUE"""),TRUE())</f>
        <v>1</v>
      </c>
      <c r="AN154" s="53" t="b">
        <f aca="false">IFERROR(__xludf.dummyfunction("""COMPUTED_VALUE"""),TRUE())</f>
        <v>1</v>
      </c>
      <c r="AO154" s="46"/>
    </row>
    <row r="155" customFormat="false" ht="15.75" hidden="false" customHeight="true" outlineLevel="0" collapsed="false">
      <c r="A155" s="37" t="str">
        <f aca="false">IFERROR(__xludf.dummyfunction("""COMPUTED_VALUE"""),"Hóa học")</f>
        <v>Hóa học</v>
      </c>
      <c r="B155" s="37" t="str">
        <f aca="false">IFERROR(__xludf.dummyfunction("""COMPUTED_VALUE"""),"TOV_HSA_HH06")</f>
        <v>TOV_HSA_HH06</v>
      </c>
      <c r="C155" s="59" t="str">
        <f aca="false">IFERROR(__xludf.dummyfunction("""COMPUTED_VALUE"""),"Acid/base – pH – chuẩn độ")</f>
        <v>Acid/base – pH – chuẩn độ</v>
      </c>
      <c r="D155" s="39" t="str">
        <f aca="false">IFERROR(__xludf.dummyfunction("""COMPUTED_VALUE"""),"Chu Hải Long")</f>
        <v>Chu Hải Long</v>
      </c>
      <c r="E155" s="40" t="n">
        <f aca="false">IFERROR(__xludf.dummyfunction("""COMPUTED_VALUE"""),46223)</f>
        <v>46223</v>
      </c>
      <c r="F155" s="41" t="n">
        <f aca="false">IFERROR(__xludf.dummyfunction("""COMPUTED_VALUE"""),2)</f>
        <v>2</v>
      </c>
      <c r="G155" s="37" t="str">
        <f aca="false">IFERROR(__xludf.dummyfunction("""COMPUTED_VALUE"""),"19:45-21:45")</f>
        <v>19:45-21:45</v>
      </c>
      <c r="H155" s="42" t="str">
        <f aca="false">IFERROR(__xludf.dummyfunction("""COMPUTED_VALUE"""),"https://hocmai.vn/mod/scorm/view_file.php?id=182712")</f>
        <v>https://hocmai.vn/mod/scorm/view_file.php?id=182712</v>
      </c>
      <c r="I155" s="42" t="str">
        <f aca="false">IFERROR(__xludf.dummyfunction("""COMPUTED_VALUE"""),"https://hocmai.vn/mod/scorm/view_file.php?id=182713")</f>
        <v>https://hocmai.vn/mod/scorm/view_file.php?id=182713</v>
      </c>
      <c r="J155" s="42" t="str">
        <f aca="false">IFERROR(__xludf.dummyfunction("""COMPUTED_VALUE"""),"6. TOV_HSA_HH06 – ACID BASE – PH – CHUẨN ĐỘ")</f>
        <v>6. TOV_HSA_HH06 – ACID BASE – PH – CHUẨN ĐỘ</v>
      </c>
      <c r="K155" s="68" t="str">
        <f aca="false">IFERROR(__xludf.dummyfunction("""COMPUTED_VALUE"""),"Huebt")</f>
        <v>Huebt</v>
      </c>
      <c r="L155" s="68" t="str">
        <f aca="false">IFERROR(__xludf.dummyfunction("""COMPUTED_VALUE"""),"Võ Hương Giang")</f>
        <v>Võ Hương Giang</v>
      </c>
      <c r="M155" s="71"/>
      <c r="N155" s="77" t="str">
        <f aca="false">IFERROR(__xludf.dummyfunction("""COMPUTED_VALUE"""),"3120")</f>
        <v>3120</v>
      </c>
      <c r="O155" s="63" t="n">
        <f aca="false">IFERROR(__xludf.dummyfunction("""COMPUTED_VALUE"""),167430)</f>
        <v>167430</v>
      </c>
      <c r="P155" s="63"/>
      <c r="Q155" s="63"/>
      <c r="R155" s="41"/>
      <c r="S155" s="41"/>
      <c r="T155" s="63" t="n">
        <f aca="false">IFERROR(__xludf.dummyfunction("""COMPUTED_VALUE"""),24038)</f>
        <v>24038</v>
      </c>
      <c r="U155" s="63" t="n">
        <f aca="false">IFERROR(__xludf.dummyfunction("""COMPUTED_VALUE"""),10483)</f>
        <v>10483</v>
      </c>
      <c r="V155" s="70" t="n">
        <f aca="false">IFERROR(__xludf.dummyfunction("""COMPUTED_VALUE"""),46226)</f>
        <v>46226</v>
      </c>
      <c r="W155" s="39" t="str">
        <f aca="false">IFERROR(__xludf.dummyfunction("""COMPUTED_VALUE"""),"Hoàn thành XB")</f>
        <v>Hoàn thành XB</v>
      </c>
      <c r="X155" s="41" t="str">
        <f aca="false">IFERROR(__xludf.dummyfunction("""COMPUTED_VALUE"""),"Huebt")</f>
        <v>Huebt</v>
      </c>
      <c r="Y155" s="44" t="str">
        <f aca="false">IFERROR(__xludf.dummyfunction("""COMPUTED_VALUE"""),"done")</f>
        <v>done</v>
      </c>
      <c r="Z155" s="57" t="str">
        <f aca="false">IFERROR(__xludf.dummyfunction("""COMPUTED_VALUE"""),"#N/A")</f>
        <v>#N/A</v>
      </c>
      <c r="AA155" s="57"/>
      <c r="AB155" s="41" t="n">
        <f aca="false">IFERROR(__xludf.dummyfunction("""COMPUTED_VALUE"""),7)</f>
        <v>7</v>
      </c>
      <c r="AC155" s="57" t="str">
        <f aca="false">IFERROR(__xludf.dummyfunction("""COMPUTED_VALUE"""),"gv.longch@hocmai.edu.vn")</f>
        <v>gv.longch@hocmai.edu.vn</v>
      </c>
      <c r="AD155" s="46" t="str">
        <f aca="false">IFERROR(__xludf.dummyfunction("""COMPUTED_VALUE"""),"giangvh@ctv.hocmai.vn")</f>
        <v>giangvh@ctv.hocmai.vn</v>
      </c>
      <c r="AE155" s="46"/>
      <c r="AF155" s="74" t="b">
        <f aca="false">IFERROR(__xludf.dummyfunction("""COMPUTED_VALUE"""),FALSE())</f>
        <v>0</v>
      </c>
      <c r="AG155" s="46" t="str">
        <f aca="false">IFERROR(__xludf.dummyfunction("""COMPUTED_VALUE"""),"")</f>
        <v/>
      </c>
      <c r="AH155" s="35"/>
      <c r="AI155" s="35"/>
      <c r="AJ155" s="53" t="b">
        <f aca="false">IFERROR(__xludf.dummyfunction("""COMPUTED_VALUE"""),TRUE())</f>
        <v>1</v>
      </c>
      <c r="AK155" s="53" t="b">
        <f aca="false">IFERROR(__xludf.dummyfunction("""COMPUTED_VALUE"""),TRUE())</f>
        <v>1</v>
      </c>
      <c r="AL155" s="35"/>
      <c r="AM155" s="35"/>
      <c r="AN155" s="35"/>
      <c r="AO155" s="46"/>
    </row>
    <row r="156" customFormat="false" ht="15.75" hidden="false" customHeight="true" outlineLevel="0" collapsed="false">
      <c r="A156" s="37" t="str">
        <f aca="false">IFERROR(__xludf.dummyfunction("""COMPUTED_VALUE"""),"Thực chiến Toán")</f>
        <v>Thực chiến Toán</v>
      </c>
      <c r="B156" s="37" t="str">
        <f aca="false">IFERROR(__xludf.dummyfunction("""COMPUTED_VALUE"""),"TC_TSA_T_07")</f>
        <v>TC_TSA_T_07</v>
      </c>
      <c r="C156" s="59" t="str">
        <f aca="false">IFERROR(__xludf.dummyfunction("""COMPUTED_VALUE"""),"[Bổ trợ]_Chữa bài tập TSA_Tư duy Toán học số 07")</f>
        <v>[Bổ trợ]_Chữa bài tập TSA_Tư duy Toán học số 07</v>
      </c>
      <c r="D156" s="39" t="str">
        <f aca="false">IFERROR(__xludf.dummyfunction("""COMPUTED_VALUE"""),"Phạm Huy Hoàng")</f>
        <v>Phạm Huy Hoàng</v>
      </c>
      <c r="E156" s="40" t="n">
        <f aca="false">IFERROR(__xludf.dummyfunction("""COMPUTED_VALUE"""),46223)</f>
        <v>46223</v>
      </c>
      <c r="F156" s="41" t="n">
        <f aca="false">IFERROR(__xludf.dummyfunction("""COMPUTED_VALUE"""),2)</f>
        <v>2</v>
      </c>
      <c r="G156" s="37" t="str">
        <f aca="false">IFERROR(__xludf.dummyfunction("""COMPUTED_VALUE"""),"19:00-20:00")</f>
        <v>19:00-20:00</v>
      </c>
      <c r="H156" s="37"/>
      <c r="I156" s="37"/>
      <c r="J156" s="42" t="str">
        <f aca="false">IFERROR(__xludf.dummyfunction("""COMPUTED_VALUE"""),"https://drive.google.com/drive/folders/1jlhLZtHLCb6UUqpY6L-uSDjN87MWHH3t?usp=drive_link")</f>
        <v>https://drive.google.com/drive/folders/1jlhLZtHLCb6UUqpY6L-uSDjN87MWHH3t?usp=drive_link</v>
      </c>
      <c r="K156" s="68" t="str">
        <f aca="false">IFERROR(__xludf.dummyfunction("""COMPUTED_VALUE"""),"Locdd")</f>
        <v>Locdd</v>
      </c>
      <c r="L156" s="68" t="str">
        <f aca="false">IFERROR(__xludf.dummyfunction("""COMPUTED_VALUE"""),"HOCMAI")</f>
        <v>HOCMAI</v>
      </c>
      <c r="M156" s="71"/>
      <c r="N156" s="77" t="str">
        <f aca="false">IFERROR(__xludf.dummyfunction("""COMPUTED_VALUE"""),"3108")</f>
        <v>3108</v>
      </c>
      <c r="O156" s="63" t="n">
        <f aca="false">IFERROR(__xludf.dummyfunction("""COMPUTED_VALUE"""),175119)</f>
        <v>175119</v>
      </c>
      <c r="P156" s="60" t="str">
        <f aca="false">IFERROR(__xludf.dummyfunction("""COMPUTED_VALUE"""),"https://hocmai.vn/bai-giang-truc-tuyen/175119/.html")</f>
        <v>https://hocmai.vn/bai-giang-truc-tuyen/175119/.html</v>
      </c>
      <c r="Q156" s="63"/>
      <c r="R156" s="41"/>
      <c r="S156" s="41"/>
      <c r="T156" s="63"/>
      <c r="U156" s="63"/>
      <c r="V156" s="70" t="n">
        <f aca="false">IFERROR(__xludf.dummyfunction("""COMPUTED_VALUE"""),46226)</f>
        <v>46226</v>
      </c>
      <c r="W156" s="39" t="str">
        <f aca="false">IFERROR(__xludf.dummyfunction("""COMPUTED_VALUE"""),"Hoàn thành XB")</f>
        <v>Hoàn thành XB</v>
      </c>
      <c r="X156" s="41" t="str">
        <f aca="false">IFERROR(__xludf.dummyfunction("""COMPUTED_VALUE"""),"Vuta")</f>
        <v>Vuta</v>
      </c>
      <c r="Y156" s="44"/>
      <c r="Z156" s="57"/>
      <c r="AA156" s="57"/>
      <c r="AB156" s="41" t="n">
        <f aca="false">IFERROR(__xludf.dummyfunction("""COMPUTED_VALUE"""),7)</f>
        <v>7</v>
      </c>
      <c r="AC156" s="57" t="str">
        <f aca="false">IFERROR(__xludf.dummyfunction("""COMPUTED_VALUE"""),"0376611308")</f>
        <v>0376611308</v>
      </c>
      <c r="AD156" s="46"/>
      <c r="AE156" s="46"/>
      <c r="AF156" s="47"/>
      <c r="AG156" s="46"/>
      <c r="AH156" s="53" t="b">
        <f aca="false">IFERROR(__xludf.dummyfunction("""COMPUTED_VALUE"""),FALSE())</f>
        <v>0</v>
      </c>
      <c r="AI156" s="53" t="b">
        <f aca="false">IFERROR(__xludf.dummyfunction("""COMPUTED_VALUE"""),TRUE())</f>
        <v>1</v>
      </c>
      <c r="AJ156" s="53" t="b">
        <f aca="false">IFERROR(__xludf.dummyfunction("""COMPUTED_VALUE"""),FALSE())</f>
        <v>0</v>
      </c>
      <c r="AK156" s="53" t="b">
        <f aca="false">IFERROR(__xludf.dummyfunction("""COMPUTED_VALUE"""),FALSE())</f>
        <v>0</v>
      </c>
      <c r="AL156" s="53" t="b">
        <f aca="false">IFERROR(__xludf.dummyfunction("""COMPUTED_VALUE"""),FALSE())</f>
        <v>0</v>
      </c>
      <c r="AM156" s="53" t="b">
        <f aca="false">IFERROR(__xludf.dummyfunction("""COMPUTED_VALUE"""),FALSE())</f>
        <v>0</v>
      </c>
      <c r="AN156" s="53" t="b">
        <f aca="false">IFERROR(__xludf.dummyfunction("""COMPUTED_VALUE"""),FALSE())</f>
        <v>0</v>
      </c>
      <c r="AO156" s="46"/>
    </row>
    <row r="157" customFormat="false" ht="15.75" hidden="false" customHeight="true" outlineLevel="0" collapsed="false">
      <c r="A157" s="37" t="str">
        <f aca="false">IFERROR(__xludf.dummyfunction("""COMPUTED_VALUE"""),"Thực chiến Tiếng Anh")</f>
        <v>Thực chiến Tiếng Anh</v>
      </c>
      <c r="B157" s="37" t="str">
        <f aca="false">IFERROR(__xludf.dummyfunction("""COMPUTED_VALUE"""),"TC_HSA_TA_02")</f>
        <v>TC_HSA_TA_02</v>
      </c>
      <c r="C157" s="59" t="str">
        <f aca="false">IFERROR(__xludf.dummyfunction("""COMPUTED_VALUE"""),"[Bổ trợ]_Chữa bài tập _Tiếng Anh số 02")</f>
        <v>[Bổ trợ]_Chữa bài tập _Tiếng Anh số 02</v>
      </c>
      <c r="D157" s="39" t="str">
        <f aca="false">IFERROR(__xludf.dummyfunction("""COMPUTED_VALUE"""),"Trần Đức Lương")</f>
        <v>Trần Đức Lương</v>
      </c>
      <c r="E157" s="40" t="n">
        <f aca="false">IFERROR(__xludf.dummyfunction("""COMPUTED_VALUE"""),46223)</f>
        <v>46223</v>
      </c>
      <c r="F157" s="41" t="n">
        <f aca="false">IFERROR(__xludf.dummyfunction("""COMPUTED_VALUE"""),2)</f>
        <v>2</v>
      </c>
      <c r="G157" s="37" t="str">
        <f aca="false">IFERROR(__xludf.dummyfunction("""COMPUTED_VALUE"""),"18:00-19:00")</f>
        <v>18:00-19:00</v>
      </c>
      <c r="H157" s="37"/>
      <c r="I157" s="37"/>
      <c r="J157" s="42" t="str">
        <f aca="false">IFERROR(__xludf.dummyfunction("""COMPUTED_VALUE"""),"https://drive.google.com/drive/folders/1NMLUpM4hs1gt6P5CU9Zi9p32gr9CzMil?usp=sharing")</f>
        <v>https://drive.google.com/drive/folders/1NMLUpM4hs1gt6P5CU9Zi9p32gr9CzMil?usp=sharing</v>
      </c>
      <c r="K157" s="68" t="str">
        <f aca="false">IFERROR(__xludf.dummyfunction("""COMPUTED_VALUE"""),"Huyenn2")</f>
        <v>Huyenn2</v>
      </c>
      <c r="L157" s="68" t="str">
        <f aca="false">IFERROR(__xludf.dummyfunction("""COMPUTED_VALUE"""),"HOCMAI")</f>
        <v>HOCMAI</v>
      </c>
      <c r="M157" s="71"/>
      <c r="N157" s="77" t="str">
        <f aca="false">IFERROR(__xludf.dummyfunction("""COMPUTED_VALUE"""),"3140")</f>
        <v>3140</v>
      </c>
      <c r="O157" s="63" t="n">
        <f aca="false">IFERROR(__xludf.dummyfunction("""COMPUTED_VALUE"""),175195)</f>
        <v>175195</v>
      </c>
      <c r="P157" s="60" t="str">
        <f aca="false">IFERROR(__xludf.dummyfunction("""COMPUTED_VALUE"""),"https://hocmai.vn/bai-giang-truc-tuyen/175195/.html")</f>
        <v>https://hocmai.vn/bai-giang-truc-tuyen/175195/.html</v>
      </c>
      <c r="Q157" s="63"/>
      <c r="R157" s="41"/>
      <c r="S157" s="41"/>
      <c r="T157" s="63"/>
      <c r="U157" s="63"/>
      <c r="V157" s="70" t="n">
        <f aca="false">IFERROR(__xludf.dummyfunction("""COMPUTED_VALUE"""),46226)</f>
        <v>46226</v>
      </c>
      <c r="W157" s="39" t="str">
        <f aca="false">IFERROR(__xludf.dummyfunction("""COMPUTED_VALUE"""),"Hoàn thành XB")</f>
        <v>Hoàn thành XB</v>
      </c>
      <c r="X157" s="41" t="str">
        <f aca="false">IFERROR(__xludf.dummyfunction("""COMPUTED_VALUE"""),"Vuta")</f>
        <v>Vuta</v>
      </c>
      <c r="Y157" s="44"/>
      <c r="Z157" s="57"/>
      <c r="AA157" s="57"/>
      <c r="AB157" s="41" t="n">
        <f aca="false">IFERROR(__xludf.dummyfunction("""COMPUTED_VALUE"""),7)</f>
        <v>7</v>
      </c>
      <c r="AC157" s="57" t="str">
        <f aca="false">IFERROR(__xludf.dummyfunction("""COMPUTED_VALUE"""),"ss.hsa01@ctv.hocmai.vn")</f>
        <v>ss.hsa01@ctv.hocmai.vn</v>
      </c>
      <c r="AD157" s="46"/>
      <c r="AE157" s="46"/>
      <c r="AF157" s="47"/>
      <c r="AG157" s="46"/>
      <c r="AH157" s="53" t="b">
        <f aca="false">IFERROR(__xludf.dummyfunction("""COMPUTED_VALUE"""),FALSE())</f>
        <v>0</v>
      </c>
      <c r="AI157" s="53" t="b">
        <f aca="false">IFERROR(__xludf.dummyfunction("""COMPUTED_VALUE"""),FALSE())</f>
        <v>0</v>
      </c>
      <c r="AJ157" s="53" t="b">
        <f aca="false">IFERROR(__xludf.dummyfunction("""COMPUTED_VALUE"""),TRUE())</f>
        <v>1</v>
      </c>
      <c r="AK157" s="53" t="b">
        <f aca="false">IFERROR(__xludf.dummyfunction("""COMPUTED_VALUE"""),TRUE())</f>
        <v>1</v>
      </c>
      <c r="AL157" s="53" t="b">
        <f aca="false">IFERROR(__xludf.dummyfunction("""COMPUTED_VALUE"""),FALSE())</f>
        <v>0</v>
      </c>
      <c r="AM157" s="53" t="b">
        <f aca="false">IFERROR(__xludf.dummyfunction("""COMPUTED_VALUE"""),FALSE())</f>
        <v>0</v>
      </c>
      <c r="AN157" s="53" t="b">
        <f aca="false">IFERROR(__xludf.dummyfunction("""COMPUTED_VALUE"""),FALSE())</f>
        <v>0</v>
      </c>
      <c r="AO157" s="46"/>
    </row>
    <row r="158" customFormat="false" ht="15.75" hidden="false" customHeight="true" outlineLevel="0" collapsed="false">
      <c r="A158" s="37" t="str">
        <f aca="false">IFERROR(__xludf.dummyfunction("""COMPUTED_VALUE"""),"Thực chiến Vật lí")</f>
        <v>Thực chiến Vật lí</v>
      </c>
      <c r="B158" s="37" t="str">
        <f aca="false">IFERROR(__xludf.dummyfunction("""COMPUTED_VALUE"""),"TC_HSA_KH_02")</f>
        <v>TC_HSA_KH_02</v>
      </c>
      <c r="C158" s="59" t="str">
        <f aca="false">IFERROR(__xludf.dummyfunction("""COMPUTED_VALUE"""),"[Bổ trợ]_Chữa bài tập _Vật lí số 02")</f>
        <v>[Bổ trợ]_Chữa bài tập _Vật lí số 02</v>
      </c>
      <c r="D158" s="39" t="str">
        <f aca="false">IFERROR(__xludf.dummyfunction("""COMPUTED_VALUE"""),"Phạm Nguyễn Thủy Hoa")</f>
        <v>Phạm Nguyễn Thủy Hoa</v>
      </c>
      <c r="E158" s="40" t="n">
        <f aca="false">IFERROR(__xludf.dummyfunction("""COMPUTED_VALUE"""),46223)</f>
        <v>46223</v>
      </c>
      <c r="F158" s="41" t="n">
        <f aca="false">IFERROR(__xludf.dummyfunction("""COMPUTED_VALUE"""),2)</f>
        <v>2</v>
      </c>
      <c r="G158" s="37" t="str">
        <f aca="false">IFERROR(__xludf.dummyfunction("""COMPUTED_VALUE"""),"22:00-23:00")</f>
        <v>22:00-23:00</v>
      </c>
      <c r="H158" s="37"/>
      <c r="I158" s="37"/>
      <c r="J158" s="42" t="str">
        <f aca="false">IFERROR(__xludf.dummyfunction("""COMPUTED_VALUE"""),"https://drive.google.com/drive/folders/1oxG68QJibKayHvB6D-hp2oUX3GzA51xv?usp=drive_link")</f>
        <v>https://drive.google.com/drive/folders/1oxG68QJibKayHvB6D-hp2oUX3GzA51xv?usp=drive_link</v>
      </c>
      <c r="K158" s="68" t="str">
        <f aca="false">IFERROR(__xludf.dummyfunction("""COMPUTED_VALUE"""),"Trangnth2")</f>
        <v>Trangnth2</v>
      </c>
      <c r="L158" s="68" t="str">
        <f aca="false">IFERROR(__xludf.dummyfunction("""COMPUTED_VALUE"""),"HOCMAI")</f>
        <v>HOCMAI</v>
      </c>
      <c r="M158" s="71"/>
      <c r="N158" s="77" t="str">
        <f aca="false">IFERROR(__xludf.dummyfunction("""COMPUTED_VALUE"""),"3119")</f>
        <v>3119</v>
      </c>
      <c r="O158" s="63" t="n">
        <f aca="false">IFERROR(__xludf.dummyfunction("""COMPUTED_VALUE"""),175171)</f>
        <v>175171</v>
      </c>
      <c r="P158" s="60" t="str">
        <f aca="false">IFERROR(__xludf.dummyfunction("""COMPUTED_VALUE"""),"https://hocmai.vn/bai-giang-truc-tuyen/175171/.html")</f>
        <v>https://hocmai.vn/bai-giang-truc-tuyen/175171/.html</v>
      </c>
      <c r="Q158" s="63"/>
      <c r="R158" s="41"/>
      <c r="S158" s="41"/>
      <c r="T158" s="63"/>
      <c r="U158" s="63"/>
      <c r="V158" s="70" t="n">
        <f aca="false">IFERROR(__xludf.dummyfunction("""COMPUTED_VALUE"""),46226)</f>
        <v>46226</v>
      </c>
      <c r="W158" s="39" t="str">
        <f aca="false">IFERROR(__xludf.dummyfunction("""COMPUTED_VALUE"""),"Hoàn thành XB")</f>
        <v>Hoàn thành XB</v>
      </c>
      <c r="X158" s="41" t="str">
        <f aca="false">IFERROR(__xludf.dummyfunction("""COMPUTED_VALUE"""),"Vuta")</f>
        <v>Vuta</v>
      </c>
      <c r="Y158" s="44"/>
      <c r="Z158" s="57"/>
      <c r="AA158" s="57"/>
      <c r="AB158" s="41" t="n">
        <f aca="false">IFERROR(__xludf.dummyfunction("""COMPUTED_VALUE"""),7)</f>
        <v>7</v>
      </c>
      <c r="AC158" s="57" t="str">
        <f aca="false">IFERROR(__xludf.dummyfunction("""COMPUTED_VALUE"""),"phamthuyhoa2008@gmail.com")</f>
        <v>phamthuyhoa2008@gmail.com</v>
      </c>
      <c r="AD158" s="46"/>
      <c r="AE158" s="46"/>
      <c r="AF158" s="47"/>
      <c r="AG158" s="46"/>
      <c r="AH158" s="53" t="b">
        <f aca="false">IFERROR(__xludf.dummyfunction("""COMPUTED_VALUE"""),FALSE())</f>
        <v>0</v>
      </c>
      <c r="AI158" s="53" t="b">
        <f aca="false">IFERROR(__xludf.dummyfunction("""COMPUTED_VALUE"""),FALSE())</f>
        <v>0</v>
      </c>
      <c r="AJ158" s="53" t="b">
        <f aca="false">IFERROR(__xludf.dummyfunction("""COMPUTED_VALUE"""),TRUE())</f>
        <v>1</v>
      </c>
      <c r="AK158" s="53" t="b">
        <f aca="false">IFERROR(__xludf.dummyfunction("""COMPUTED_VALUE"""),TRUE())</f>
        <v>1</v>
      </c>
      <c r="AL158" s="53" t="b">
        <f aca="false">IFERROR(__xludf.dummyfunction("""COMPUTED_VALUE"""),FALSE())</f>
        <v>0</v>
      </c>
      <c r="AM158" s="53" t="b">
        <f aca="false">IFERROR(__xludf.dummyfunction("""COMPUTED_VALUE"""),FALSE())</f>
        <v>0</v>
      </c>
      <c r="AN158" s="53" t="b">
        <f aca="false">IFERROR(__xludf.dummyfunction("""COMPUTED_VALUE"""),FALSE())</f>
        <v>0</v>
      </c>
      <c r="AO158" s="46"/>
    </row>
    <row r="159" customFormat="false" ht="15.75" hidden="false" customHeight="true" outlineLevel="0" collapsed="false">
      <c r="A159" s="37" t="str">
        <f aca="false">IFERROR(__xludf.dummyfunction("""COMPUTED_VALUE"""),"Thực chiến Toán")</f>
        <v>Thực chiến Toán</v>
      </c>
      <c r="B159" s="37" t="str">
        <f aca="false">IFERROR(__xludf.dummyfunction("""COMPUTED_VALUE"""),"TC_V-ACT_T_04")</f>
        <v>TC_V-ACT_T_04</v>
      </c>
      <c r="C159" s="59" t="str">
        <f aca="false">IFERROR(__xludf.dummyfunction("""COMPUTED_VALUE"""),"[Bổ trợ]_Chữa bài tập_V-ACT_Toán số 04")</f>
        <v>[Bổ trợ]_Chữa bài tập_V-ACT_Toán số 04</v>
      </c>
      <c r="D159" s="39" t="str">
        <f aca="false">IFERROR(__xludf.dummyfunction("""COMPUTED_VALUE"""),"Lê Thế Anh")</f>
        <v>Lê Thế Anh</v>
      </c>
      <c r="E159" s="40" t="n">
        <f aca="false">IFERROR(__xludf.dummyfunction("""COMPUTED_VALUE"""),46223)</f>
        <v>46223</v>
      </c>
      <c r="F159" s="41" t="n">
        <f aca="false">IFERROR(__xludf.dummyfunction("""COMPUTED_VALUE"""),2)</f>
        <v>2</v>
      </c>
      <c r="G159" s="37" t="str">
        <f aca="false">IFERROR(__xludf.dummyfunction("""COMPUTED_VALUE"""),"18:45-19:45")</f>
        <v>18:45-19:45</v>
      </c>
      <c r="H159" s="37"/>
      <c r="I159" s="37"/>
      <c r="J159" s="42" t="str">
        <f aca="false">IFERROR(__xludf.dummyfunction("""COMPUTED_VALUE"""),"https://drive.google.com/drive/folders/1sp8dw_Yacs4NOkOgYmqigSHf84EzneNs?usp=sharing")</f>
        <v>https://drive.google.com/drive/folders/1sp8dw_Yacs4NOkOgYmqigSHf84EzneNs?usp=sharing</v>
      </c>
      <c r="K159" s="68" t="str">
        <f aca="false">IFERROR(__xludf.dummyfunction("""COMPUTED_VALUE"""),"lent")</f>
        <v>lent</v>
      </c>
      <c r="L159" s="68" t="str">
        <f aca="false">IFERROR(__xludf.dummyfunction("""COMPUTED_VALUE"""),"HOCMAI")</f>
        <v>HOCMAI</v>
      </c>
      <c r="M159" s="71"/>
      <c r="N159" s="77" t="str">
        <f aca="false">IFERROR(__xludf.dummyfunction("""COMPUTED_VALUE"""),"3124")</f>
        <v>3124</v>
      </c>
      <c r="O159" s="63" t="n">
        <f aca="false">IFERROR(__xludf.dummyfunction("""COMPUTED_VALUE"""),175179)</f>
        <v>175179</v>
      </c>
      <c r="P159" s="60" t="str">
        <f aca="false">IFERROR(__xludf.dummyfunction("""COMPUTED_VALUE"""),"https://hocmai.vn/bai-giang-truc-tuyen/175179/.html")</f>
        <v>https://hocmai.vn/bai-giang-truc-tuyen/175179/.html</v>
      </c>
      <c r="Q159" s="63"/>
      <c r="R159" s="41"/>
      <c r="S159" s="41"/>
      <c r="T159" s="63"/>
      <c r="U159" s="63"/>
      <c r="V159" s="70" t="n">
        <f aca="false">IFERROR(__xludf.dummyfunction("""COMPUTED_VALUE"""),46226)</f>
        <v>46226</v>
      </c>
      <c r="W159" s="39" t="str">
        <f aca="false">IFERROR(__xludf.dummyfunction("""COMPUTED_VALUE"""),"Hoàn thành XB")</f>
        <v>Hoàn thành XB</v>
      </c>
      <c r="X159" s="41" t="str">
        <f aca="false">IFERROR(__xludf.dummyfunction("""COMPUTED_VALUE"""),"Vuta")</f>
        <v>Vuta</v>
      </c>
      <c r="Y159" s="44"/>
      <c r="Z159" s="57"/>
      <c r="AA159" s="57"/>
      <c r="AB159" s="41" t="n">
        <f aca="false">IFERROR(__xludf.dummyfunction("""COMPUTED_VALUE"""),7)</f>
        <v>7</v>
      </c>
      <c r="AC159" s="57" t="str">
        <f aca="false">IFERROR(__xludf.dummyfunction("""COMPUTED_VALUE"""),"ss.vact01@ctv.hocmai.vn")</f>
        <v>ss.vact01@ctv.hocmai.vn</v>
      </c>
      <c r="AD159" s="46"/>
      <c r="AE159" s="46"/>
      <c r="AF159" s="47"/>
      <c r="AG159" s="46"/>
      <c r="AH159" s="53" t="b">
        <f aca="false">IFERROR(__xludf.dummyfunction("""COMPUTED_VALUE"""),FALSE())</f>
        <v>0</v>
      </c>
      <c r="AI159" s="53" t="b">
        <f aca="false">IFERROR(__xludf.dummyfunction("""COMPUTED_VALUE"""),FALSE())</f>
        <v>0</v>
      </c>
      <c r="AJ159" s="53" t="b">
        <f aca="false">IFERROR(__xludf.dummyfunction("""COMPUTED_VALUE"""),FALSE())</f>
        <v>0</v>
      </c>
      <c r="AK159" s="53" t="b">
        <f aca="false">IFERROR(__xludf.dummyfunction("""COMPUTED_VALUE"""),FALSE())</f>
        <v>0</v>
      </c>
      <c r="AL159" s="53" t="b">
        <f aca="false">IFERROR(__xludf.dummyfunction("""COMPUTED_VALUE"""),FALSE())</f>
        <v>0</v>
      </c>
      <c r="AM159" s="53" t="b">
        <f aca="false">IFERROR(__xludf.dummyfunction("""COMPUTED_VALUE"""),TRUE())</f>
        <v>1</v>
      </c>
      <c r="AN159" s="53" t="b">
        <f aca="false">IFERROR(__xludf.dummyfunction("""COMPUTED_VALUE"""),TRUE())</f>
        <v>1</v>
      </c>
      <c r="AO159" s="46"/>
    </row>
    <row r="160" customFormat="false" ht="15.75" hidden="false" customHeight="true" outlineLevel="0" collapsed="false">
      <c r="A160" s="37" t="str">
        <f aca="false">IFERROR(__xludf.dummyfunction("""COMPUTED_VALUE"""),"Toán")</f>
        <v>Toán</v>
      </c>
      <c r="B160" s="37" t="str">
        <f aca="false">IFERROR(__xludf.dummyfunction("""COMPUTED_VALUE"""),"TOV_TC_T06")</f>
        <v>TOV_TC_T06</v>
      </c>
      <c r="C160" s="59" t="str">
        <f aca="false">IFERROR(__xludf.dummyfunction("""COMPUTED_VALUE"""),"Hai quy tắc đếm và các bài toán áp dụng")</f>
        <v>Hai quy tắc đếm và các bài toán áp dụng</v>
      </c>
      <c r="D160" s="39" t="str">
        <f aca="false">IFERROR(__xludf.dummyfunction("""COMPUTED_VALUE"""),"Nguyễn Thanh Tùng")</f>
        <v>Nguyễn Thanh Tùng</v>
      </c>
      <c r="E160" s="40" t="n">
        <f aca="false">IFERROR(__xludf.dummyfunction("""COMPUTED_VALUE"""),46224)</f>
        <v>46224</v>
      </c>
      <c r="F160" s="41" t="n">
        <f aca="false">IFERROR(__xludf.dummyfunction("""COMPUTED_VALUE"""),3)</f>
        <v>3</v>
      </c>
      <c r="G160" s="37" t="str">
        <f aca="false">IFERROR(__xludf.dummyfunction("""COMPUTED_VALUE"""),"21:00-23:00")</f>
        <v>21:00-23:00</v>
      </c>
      <c r="H160" s="37"/>
      <c r="I160" s="37"/>
      <c r="J160" s="42" t="str">
        <f aca="false">IFERROR(__xludf.dummyfunction("""COMPUTED_VALUE"""),"https://drive.google.com/drive/folders/13WLp_yqlKAYkgB62-wySQniSDQesIvmD?usp=drive_link")</f>
        <v>https://drive.google.com/drive/folders/13WLp_yqlKAYkgB62-wySQniSDQesIvmD?usp=drive_link</v>
      </c>
      <c r="K160" s="68" t="str">
        <f aca="false">IFERROR(__xludf.dummyfunction("""COMPUTED_VALUE"""),"Chientd2")</f>
        <v>Chientd2</v>
      </c>
      <c r="L160" s="68" t="str">
        <f aca="false">IFERROR(__xludf.dummyfunction("""COMPUTED_VALUE"""),"Tưởng Thị Huyền Trang")</f>
        <v>Tưởng Thị Huyền Trang</v>
      </c>
      <c r="M160" s="71"/>
      <c r="N160" s="77" t="str">
        <f aca="false">IFERROR(__xludf.dummyfunction("""COMPUTED_VALUE"""),"3108,3117,3315,3127,3314")</f>
        <v>3108,3117,3315,3127,3314</v>
      </c>
      <c r="O160" s="63" t="str">
        <f aca="false">IFERROR(__xludf.dummyfunction("""COMPUTED_VALUE"""),"168365, 168580, 168321, 167464, 167064")</f>
        <v>168365, 168580, 168321, 167464, 167064</v>
      </c>
      <c r="P160" s="63" t="str">
        <f aca="false">IFERROR(__xludf.dummyfunction("""COMPUTED_VALUE"""),"9025,9028,9036,9104,9106,9017,9102")</f>
        <v>9025,9028,9036,9104,9106,9017,9102</v>
      </c>
      <c r="Q160" s="63" t="n">
        <f aca="false">IFERROR(__xludf.dummyfunction("""COMPUTED_VALUE"""),167064)</f>
        <v>167064</v>
      </c>
      <c r="R160" s="41"/>
      <c r="S160" s="41"/>
      <c r="T160" s="63" t="str">
        <f aca="false">IFERROR(__xludf.dummyfunction("""COMPUTED_VALUE"""),"24054, 24074, 24073")</f>
        <v>24054, 24074, 24073</v>
      </c>
      <c r="U160" s="63"/>
      <c r="V160" s="70" t="n">
        <f aca="false">IFERROR(__xludf.dummyfunction("""COMPUTED_VALUE"""),46227)</f>
        <v>46227</v>
      </c>
      <c r="W160" s="39" t="str">
        <f aca="false">IFERROR(__xludf.dummyfunction("""COMPUTED_VALUE"""),"Hoàn thành XB")</f>
        <v>Hoàn thành XB</v>
      </c>
      <c r="X160" s="41" t="str">
        <f aca="false">IFERROR(__xludf.dummyfunction("""COMPUTED_VALUE"""),"Chientd2")</f>
        <v>Chientd2</v>
      </c>
      <c r="Y160" s="44" t="str">
        <f aca="false">IFERROR(__xludf.dummyfunction("""COMPUTED_VALUE"""),"done")</f>
        <v>done</v>
      </c>
      <c r="Z160" s="57" t="str">
        <f aca="false">IFERROR(__xludf.dummyfunction("""COMPUTED_VALUE"""),"#N/A")</f>
        <v>#N/A</v>
      </c>
      <c r="AA160" s="57"/>
      <c r="AB160" s="41" t="n">
        <f aca="false">IFERROR(__xludf.dummyfunction("""COMPUTED_VALUE"""),7)</f>
        <v>7</v>
      </c>
      <c r="AC160" s="57" t="str">
        <f aca="false">IFERROR(__xludf.dummyfunction("""COMPUTED_VALUE"""),"gv.tungnt@hocmai.edu.vn ")</f>
        <v>gv.tungnt@hocmai.edu.vn </v>
      </c>
      <c r="AD160" s="46" t="str">
        <f aca="false">IFERROR(__xludf.dummyfunction("""COMPUTED_VALUE"""),"trangcrazy699@gmail.com")</f>
        <v>trangcrazy699@gmail.com</v>
      </c>
      <c r="AE160" s="46"/>
      <c r="AF160" s="47" t="str">
        <f aca="false">IFERROR(__xludf.dummyfunction("""COMPUTED_VALUE"""),"lophoctoan-946224")</f>
        <v>lophoctoan-946224</v>
      </c>
      <c r="AG160" s="46" t="str">
        <f aca="false">IFERROR(__xludf.dummyfunction("""COMPUTED_VALUE"""),"")</f>
        <v/>
      </c>
      <c r="AH160" s="35"/>
      <c r="AI160" s="53" t="b">
        <f aca="false">IFERROR(__xludf.dummyfunction("""COMPUTED_VALUE"""),TRUE())</f>
        <v>1</v>
      </c>
      <c r="AJ160" s="53" t="b">
        <f aca="false">IFERROR(__xludf.dummyfunction("""COMPUTED_VALUE"""),TRUE())</f>
        <v>1</v>
      </c>
      <c r="AK160" s="53" t="b">
        <f aca="false">IFERROR(__xludf.dummyfunction("""COMPUTED_VALUE"""),TRUE())</f>
        <v>1</v>
      </c>
      <c r="AL160" s="53" t="b">
        <f aca="false">IFERROR(__xludf.dummyfunction("""COMPUTED_VALUE"""),TRUE())</f>
        <v>1</v>
      </c>
      <c r="AM160" s="35"/>
      <c r="AN160" s="35"/>
      <c r="AO160" s="46"/>
    </row>
    <row r="161" customFormat="false" ht="15.75" hidden="false" customHeight="true" outlineLevel="0" collapsed="false">
      <c r="A161" s="37" t="str">
        <f aca="false">IFERROR(__xludf.dummyfunction("""COMPUTED_VALUE"""),"LG&amp;PTSL")</f>
        <v>LG&amp;PTSL</v>
      </c>
      <c r="B161" s="37" t="str">
        <f aca="false">IFERROR(__xludf.dummyfunction("""COMPUTED_VALUE"""),"TOV_V-ACT_LG02")</f>
        <v>TOV_V-ACT_LG02</v>
      </c>
      <c r="C161" s="59" t="str">
        <f aca="false">IFERROR(__xludf.dummyfunction("""COMPUTED_VALUE"""),"Bài toán logic sử dụng phương pháp lập bảng")</f>
        <v>Bài toán logic sử dụng phương pháp lập bảng</v>
      </c>
      <c r="D161" s="39" t="str">
        <f aca="false">IFERROR(__xludf.dummyfunction("""COMPUTED_VALUE"""),"Nguyễn Hoài Nam")</f>
        <v>Nguyễn Hoài Nam</v>
      </c>
      <c r="E161" s="40" t="n">
        <f aca="false">IFERROR(__xludf.dummyfunction("""COMPUTED_VALUE"""),46224)</f>
        <v>46224</v>
      </c>
      <c r="F161" s="41" t="n">
        <f aca="false">IFERROR(__xludf.dummyfunction("""COMPUTED_VALUE"""),3)</f>
        <v>3</v>
      </c>
      <c r="G161" s="37" t="str">
        <f aca="false">IFERROR(__xludf.dummyfunction("""COMPUTED_VALUE"""),"20:00-21:30")</f>
        <v>20:00-21:30</v>
      </c>
      <c r="H161" s="37"/>
      <c r="I161" s="37"/>
      <c r="J161" s="42" t="str">
        <f aca="false">IFERROR(__xludf.dummyfunction("""COMPUTED_VALUE"""),"https://drive.google.com/drive/folders/1yTOZtKH5nVKLzPAn7Zp3Gm2-yzuSUlrr?usp=sharing")</f>
        <v>https://drive.google.com/drive/folders/1yTOZtKH5nVKLzPAn7Zp3Gm2-yzuSUlrr?usp=sharing</v>
      </c>
      <c r="K161" s="68" t="str">
        <f aca="false">IFERROR(__xludf.dummyfunction("""COMPUTED_VALUE"""),"Lent")</f>
        <v>Lent</v>
      </c>
      <c r="L161" s="68" t="str">
        <f aca="false">IFERROR(__xludf.dummyfunction("""COMPUTED_VALUE"""),"Hoàng Tiến Quang")</f>
        <v>Hoàng Tiến Quang</v>
      </c>
      <c r="M161" s="71"/>
      <c r="N161" s="77" t="str">
        <f aca="false">IFERROR(__xludf.dummyfunction("""COMPUTED_VALUE"""),"3126,3340,3316")</f>
        <v>3126,3340,3316</v>
      </c>
      <c r="O161" s="73" t="str">
        <f aca="false">IFERROR(__xludf.dummyfunction("""COMPUTED_VALUE"""),"167384,174793,166880")</f>
        <v>167384,174793,166880</v>
      </c>
      <c r="P161" s="63" t="n">
        <f aca="false">IFERROR(__xludf.dummyfunction("""COMPUTED_VALUE"""),9045.9108)</f>
        <v>9045.9108</v>
      </c>
      <c r="Q161" s="63"/>
      <c r="R161" s="41"/>
      <c r="S161" s="41"/>
      <c r="T161" s="63"/>
      <c r="U161" s="63"/>
      <c r="V161" s="70" t="n">
        <f aca="false">IFERROR(__xludf.dummyfunction("""COMPUTED_VALUE"""),46227)</f>
        <v>46227</v>
      </c>
      <c r="W161" s="39" t="str">
        <f aca="false">IFERROR(__xludf.dummyfunction("""COMPUTED_VALUE"""),"Hoàn thành XB")</f>
        <v>Hoàn thành XB</v>
      </c>
      <c r="X161" s="41" t="str">
        <f aca="false">IFERROR(__xludf.dummyfunction("""COMPUTED_VALUE"""),"Lent")</f>
        <v>Lent</v>
      </c>
      <c r="Y161" s="44"/>
      <c r="Z161" s="57" t="str">
        <f aca="false">IFERROR(__xludf.dummyfunction("""COMPUTED_VALUE"""),"#N/A")</f>
        <v>#N/A</v>
      </c>
      <c r="AA161" s="57"/>
      <c r="AB161" s="41" t="n">
        <f aca="false">IFERROR(__xludf.dummyfunction("""COMPUTED_VALUE"""),7)</f>
        <v>7</v>
      </c>
      <c r="AC161" s="57" t="str">
        <f aca="false">IFERROR(__xludf.dummyfunction("""COMPUTED_VALUE"""),"gv.namnh@hocmai.edu.vn ")</f>
        <v>gv.namnh@hocmai.edu.vn </v>
      </c>
      <c r="AD161" s="46" t="str">
        <f aca="false">IFERROR(__xludf.dummyfunction("""COMPUTED_VALUE"""),"thanhquang09bnc@gmail.com")</f>
        <v>thanhquang09bnc@gmail.com</v>
      </c>
      <c r="AE161" s="46"/>
      <c r="AF161" s="74" t="b">
        <f aca="false">IFERROR(__xludf.dummyfunction("""COMPUTED_VALUE"""),FALSE())</f>
        <v>0</v>
      </c>
      <c r="AG161" s="46" t="str">
        <f aca="false">IFERROR(__xludf.dummyfunction("""COMPUTED_VALUE"""),"")</f>
        <v/>
      </c>
      <c r="AH161" s="35"/>
      <c r="AI161" s="35"/>
      <c r="AJ161" s="35"/>
      <c r="AK161" s="35"/>
      <c r="AL161" s="35"/>
      <c r="AM161" s="53" t="b">
        <f aca="false">IFERROR(__xludf.dummyfunction("""COMPUTED_VALUE"""),TRUE())</f>
        <v>1</v>
      </c>
      <c r="AN161" s="35"/>
      <c r="AO161" s="46"/>
    </row>
    <row r="162" customFormat="false" ht="15.75" hidden="false" customHeight="true" outlineLevel="0" collapsed="false">
      <c r="A162" s="37" t="str">
        <f aca="false">IFERROR(__xludf.dummyfunction("""COMPUTED_VALUE"""),"Địa lí")</f>
        <v>Địa lí</v>
      </c>
      <c r="B162" s="37" t="str">
        <f aca="false">IFERROR(__xludf.dummyfunction("""COMPUTED_VALUE"""),"TOV_HSA_ĐL03")</f>
        <v>TOV_HSA_ĐL03</v>
      </c>
      <c r="C162" s="59" t="str">
        <f aca="false">IFERROR(__xludf.dummyfunction("""COMPUTED_VALUE"""),"Địa lí tự nhiên đại cương (phần 3)")</f>
        <v>Địa lí tự nhiên đại cương (phần 3)</v>
      </c>
      <c r="D162" s="39" t="str">
        <f aca="false">IFERROR(__xludf.dummyfunction("""COMPUTED_VALUE"""),"Nguyễn Văn Vinh")</f>
        <v>Nguyễn Văn Vinh</v>
      </c>
      <c r="E162" s="40" t="n">
        <f aca="false">IFERROR(__xludf.dummyfunction("""COMPUTED_VALUE"""),46224)</f>
        <v>46224</v>
      </c>
      <c r="F162" s="41" t="n">
        <f aca="false">IFERROR(__xludf.dummyfunction("""COMPUTED_VALUE"""),3)</f>
        <v>3</v>
      </c>
      <c r="G162" s="37" t="str">
        <f aca="false">IFERROR(__xludf.dummyfunction("""COMPUTED_VALUE"""),"18:30-20:30")</f>
        <v>18:30-20:30</v>
      </c>
      <c r="H162" s="37"/>
      <c r="I162" s="37"/>
      <c r="J162" s="42" t="str">
        <f aca="false">IFERROR(__xludf.dummyfunction("""COMPUTED_VALUE"""),"https://drive.google.com/drive/folders/1NId82c-2yshQLvlXk-HVGVH_Cpd3uOTO?usp=drive_link")</f>
        <v>https://drive.google.com/drive/folders/1NId82c-2yshQLvlXk-HVGVH_Cpd3uOTO?usp=drive_link</v>
      </c>
      <c r="K162" s="68" t="str">
        <f aca="false">IFERROR(__xludf.dummyfunction("""COMPUTED_VALUE"""),"Trinhntt")</f>
        <v>Trinhntt</v>
      </c>
      <c r="L162" s="68" t="str">
        <f aca="false">IFERROR(__xludf.dummyfunction("""COMPUTED_VALUE"""),"Phan Đức Kiên")</f>
        <v>Phan Đức Kiên</v>
      </c>
      <c r="M162" s="71"/>
      <c r="N162" s="77" t="str">
        <f aca="false">IFERROR(__xludf.dummyfunction("""COMPUTED_VALUE"""),"3123")</f>
        <v>3123</v>
      </c>
      <c r="O162" s="63" t="n">
        <f aca="false">IFERROR(__xludf.dummyfunction("""COMPUTED_VALUE"""),174765)</f>
        <v>174765</v>
      </c>
      <c r="P162" s="63"/>
      <c r="Q162" s="63" t="n">
        <f aca="false">IFERROR(__xludf.dummyfunction("""COMPUTED_VALUE"""),174765)</f>
        <v>174765</v>
      </c>
      <c r="R162" s="41"/>
      <c r="S162" s="41"/>
      <c r="T162" s="63"/>
      <c r="U162" s="63"/>
      <c r="V162" s="70" t="n">
        <f aca="false">IFERROR(__xludf.dummyfunction("""COMPUTED_VALUE"""),46227)</f>
        <v>46227</v>
      </c>
      <c r="W162" s="39" t="str">
        <f aca="false">IFERROR(__xludf.dummyfunction("""COMPUTED_VALUE"""),"Hoàn thành XB")</f>
        <v>Hoàn thành XB</v>
      </c>
      <c r="X162" s="41" t="str">
        <f aca="false">IFERROR(__xludf.dummyfunction("""COMPUTED_VALUE"""),"Huent7")</f>
        <v>Huent7</v>
      </c>
      <c r="Y162" s="44"/>
      <c r="Z162" s="57" t="str">
        <f aca="false">IFERROR(__xludf.dummyfunction("""COMPUTED_VALUE"""),"#N/A")</f>
        <v>#N/A</v>
      </c>
      <c r="AA162" s="57"/>
      <c r="AB162" s="41"/>
      <c r="AC162" s="57" t="str">
        <f aca="false">IFERROR(__xludf.dummyfunction("""COMPUTED_VALUE"""),"gv.vinhnv@hocmai.edu.vn")</f>
        <v>gv.vinhnv@hocmai.edu.vn</v>
      </c>
      <c r="AD162" s="46" t="str">
        <f aca="false">IFERROR(__xludf.dummyfunction("""COMPUTED_VALUE"""),"duckien010607@gmail.com")</f>
        <v>duckien010607@gmail.com</v>
      </c>
      <c r="AE162" s="46"/>
      <c r="AF162" s="74" t="b">
        <f aca="false">IFERROR(__xludf.dummyfunction("""COMPUTED_VALUE"""),FALSE())</f>
        <v>0</v>
      </c>
      <c r="AG162" s="46" t="str">
        <f aca="false">IFERROR(__xludf.dummyfunction("""COMPUTED_VALUE"""),"")</f>
        <v/>
      </c>
      <c r="AH162" s="35"/>
      <c r="AI162" s="35"/>
      <c r="AJ162" s="53" t="b">
        <f aca="false">IFERROR(__xludf.dummyfunction("""COMPUTED_VALUE"""),TRUE())</f>
        <v>1</v>
      </c>
      <c r="AK162" s="53" t="b">
        <f aca="false">IFERROR(__xludf.dummyfunction("""COMPUTED_VALUE"""),TRUE())</f>
        <v>1</v>
      </c>
      <c r="AL162" s="35"/>
      <c r="AM162" s="35"/>
      <c r="AN162" s="35"/>
      <c r="AO162" s="46"/>
    </row>
    <row r="163" customFormat="false" ht="15.75" hidden="false" customHeight="true" outlineLevel="0" collapsed="false">
      <c r="A163" s="37" t="str">
        <f aca="false">IFERROR(__xludf.dummyfunction("""COMPUTED_VALUE"""),"Thực chiến Khoa học")</f>
        <v>Thực chiến Khoa học</v>
      </c>
      <c r="B163" s="37" t="str">
        <f aca="false">IFERROR(__xludf.dummyfunction("""COMPUTED_VALUE"""),"TC_TSA_KH_07")</f>
        <v>TC_TSA_KH_07</v>
      </c>
      <c r="C163" s="59" t="str">
        <f aca="false">IFERROR(__xludf.dummyfunction("""COMPUTED_VALUE"""),"[Bổ trợ]_Chữa bài tập TSA_Tư duy Khoa học số 07")</f>
        <v>[Bổ trợ]_Chữa bài tập TSA_Tư duy Khoa học số 07</v>
      </c>
      <c r="D163" s="39" t="str">
        <f aca="false">IFERROR(__xludf.dummyfunction("""COMPUTED_VALUE"""),"Nguyễn Trọng Trường Anh")</f>
        <v>Nguyễn Trọng Trường Anh</v>
      </c>
      <c r="E163" s="40" t="n">
        <f aca="false">IFERROR(__xludf.dummyfunction("""COMPUTED_VALUE"""),46224)</f>
        <v>46224</v>
      </c>
      <c r="F163" s="41" t="n">
        <f aca="false">IFERROR(__xludf.dummyfunction("""COMPUTED_VALUE"""),3)</f>
        <v>3</v>
      </c>
      <c r="G163" s="37" t="str">
        <f aca="false">IFERROR(__xludf.dummyfunction("""COMPUTED_VALUE"""),"19:00-20:00")</f>
        <v>19:00-20:00</v>
      </c>
      <c r="H163" s="37"/>
      <c r="I163" s="37"/>
      <c r="J163" s="42" t="str">
        <f aca="false">IFERROR(__xludf.dummyfunction("""COMPUTED_VALUE"""),"https://drive.google.com/drive/folders/1smpSrHhTEt7qNKjr52gljgy8jUIdOM-W?usp=drive_link")</f>
        <v>https://drive.google.com/drive/folders/1smpSrHhTEt7qNKjr52gljgy8jUIdOM-W?usp=drive_link</v>
      </c>
      <c r="K163" s="68" t="str">
        <f aca="false">IFERROR(__xludf.dummyfunction("""COMPUTED_VALUE"""),"Trangnth2")</f>
        <v>Trangnth2</v>
      </c>
      <c r="L163" s="68" t="str">
        <f aca="false">IFERROR(__xludf.dummyfunction("""COMPUTED_VALUE"""),"HOCMAI")</f>
        <v>HOCMAI</v>
      </c>
      <c r="M163" s="71"/>
      <c r="N163" s="77" t="str">
        <f aca="false">IFERROR(__xludf.dummyfunction("""COMPUTED_VALUE"""),"3110")</f>
        <v>3110</v>
      </c>
      <c r="O163" s="63" t="n">
        <f aca="false">IFERROR(__xludf.dummyfunction("""COMPUTED_VALUE"""),175130)</f>
        <v>175130</v>
      </c>
      <c r="P163" s="60" t="str">
        <f aca="false">IFERROR(__xludf.dummyfunction("""COMPUTED_VALUE"""),"https://hocmai.vn/bai-giang-truc-tuyen/175130/.html")</f>
        <v>https://hocmai.vn/bai-giang-truc-tuyen/175130/.html</v>
      </c>
      <c r="Q163" s="63"/>
      <c r="R163" s="41"/>
      <c r="S163" s="41"/>
      <c r="T163" s="63"/>
      <c r="U163" s="63"/>
      <c r="V163" s="70" t="n">
        <f aca="false">IFERROR(__xludf.dummyfunction("""COMPUTED_VALUE"""),46227)</f>
        <v>46227</v>
      </c>
      <c r="W163" s="39" t="str">
        <f aca="false">IFERROR(__xludf.dummyfunction("""COMPUTED_VALUE"""),"Hoàn thành XB")</f>
        <v>Hoàn thành XB</v>
      </c>
      <c r="X163" s="41" t="str">
        <f aca="false">IFERROR(__xludf.dummyfunction("""COMPUTED_VALUE"""),"Vuta")</f>
        <v>Vuta</v>
      </c>
      <c r="Y163" s="44"/>
      <c r="Z163" s="57"/>
      <c r="AA163" s="57"/>
      <c r="AB163" s="41" t="n">
        <f aca="false">IFERROR(__xludf.dummyfunction("""COMPUTED_VALUE"""),7)</f>
        <v>7</v>
      </c>
      <c r="AC163" s="57" t="str">
        <f aca="false">IFERROR(__xludf.dummyfunction("""COMPUTED_VALUE"""),"thochi1981@gmail.com")</f>
        <v>thochi1981@gmail.com</v>
      </c>
      <c r="AD163" s="46"/>
      <c r="AE163" s="46"/>
      <c r="AF163" s="47"/>
      <c r="AG163" s="46"/>
      <c r="AH163" s="53" t="b">
        <f aca="false">IFERROR(__xludf.dummyfunction("""COMPUTED_VALUE"""),FALSE())</f>
        <v>0</v>
      </c>
      <c r="AI163" s="53" t="b">
        <f aca="false">IFERROR(__xludf.dummyfunction("""COMPUTED_VALUE"""),TRUE())</f>
        <v>1</v>
      </c>
      <c r="AJ163" s="53" t="b">
        <f aca="false">IFERROR(__xludf.dummyfunction("""COMPUTED_VALUE"""),FALSE())</f>
        <v>0</v>
      </c>
      <c r="AK163" s="53" t="b">
        <f aca="false">IFERROR(__xludf.dummyfunction("""COMPUTED_VALUE"""),FALSE())</f>
        <v>0</v>
      </c>
      <c r="AL163" s="53" t="b">
        <f aca="false">IFERROR(__xludf.dummyfunction("""COMPUTED_VALUE"""),FALSE())</f>
        <v>0</v>
      </c>
      <c r="AM163" s="53" t="b">
        <f aca="false">IFERROR(__xludf.dummyfunction("""COMPUTED_VALUE"""),FALSE())</f>
        <v>0</v>
      </c>
      <c r="AN163" s="53" t="b">
        <f aca="false">IFERROR(__xludf.dummyfunction("""COMPUTED_VALUE"""),FALSE())</f>
        <v>0</v>
      </c>
      <c r="AO163" s="46"/>
    </row>
    <row r="164" customFormat="false" ht="15.75" hidden="false" customHeight="true" outlineLevel="0" collapsed="false">
      <c r="A164" s="37" t="str">
        <f aca="false">IFERROR(__xludf.dummyfunction("""COMPUTED_VALUE"""),"Thực chiến Tiếng Anh")</f>
        <v>Thực chiến Tiếng Anh</v>
      </c>
      <c r="B164" s="37" t="str">
        <f aca="false">IFERROR(__xludf.dummyfunction("""COMPUTED_VALUE"""),"TC_V-ACT_TA_03")</f>
        <v>TC_V-ACT_TA_03</v>
      </c>
      <c r="C164" s="59" t="str">
        <f aca="false">IFERROR(__xludf.dummyfunction("""COMPUTED_VALUE"""),"[Bổ trợ]_Chữa bài tập_V-ACT_Tiếng Anh số 03")</f>
        <v>[Bổ trợ]_Chữa bài tập_V-ACT_Tiếng Anh số 03</v>
      </c>
      <c r="D164" s="39" t="str">
        <f aca="false">IFERROR(__xludf.dummyfunction("""COMPUTED_VALUE"""),"Dung Thành Vinh")</f>
        <v>Dung Thành Vinh</v>
      </c>
      <c r="E164" s="40" t="n">
        <f aca="false">IFERROR(__xludf.dummyfunction("""COMPUTED_VALUE"""),46224)</f>
        <v>46224</v>
      </c>
      <c r="F164" s="41" t="n">
        <f aca="false">IFERROR(__xludf.dummyfunction("""COMPUTED_VALUE"""),3)</f>
        <v>3</v>
      </c>
      <c r="G164" s="37" t="str">
        <f aca="false">IFERROR(__xludf.dummyfunction("""COMPUTED_VALUE"""),"18:00-19:00")</f>
        <v>18:00-19:00</v>
      </c>
      <c r="H164" s="37"/>
      <c r="I164" s="37"/>
      <c r="J164" s="42" t="str">
        <f aca="false">IFERROR(__xludf.dummyfunction("""COMPUTED_VALUE"""),"https://drive.google.com/drive/folders/1TUSUlPlEb8y_1fi9tsy_tX9SQU0EB0U9?usp=sharing")</f>
        <v>https://drive.google.com/drive/folders/1TUSUlPlEb8y_1fi9tsy_tX9SQU0EB0U9?usp=sharing</v>
      </c>
      <c r="K164" s="68" t="str">
        <f aca="false">IFERROR(__xludf.dummyfunction("""COMPUTED_VALUE"""),"Huyenn2")</f>
        <v>Huyenn2</v>
      </c>
      <c r="L164" s="68" t="str">
        <f aca="false">IFERROR(__xludf.dummyfunction("""COMPUTED_VALUE"""),"HOCMAI")</f>
        <v>HOCMAI</v>
      </c>
      <c r="M164" s="71"/>
      <c r="N164" s="77" t="str">
        <f aca="false">IFERROR(__xludf.dummyfunction("""COMPUTED_VALUE"""),"3165")</f>
        <v>3165</v>
      </c>
      <c r="O164" s="63" t="n">
        <f aca="false">IFERROR(__xludf.dummyfunction("""COMPUTED_VALUE"""),175199)</f>
        <v>175199</v>
      </c>
      <c r="P164" s="60" t="str">
        <f aca="false">IFERROR(__xludf.dummyfunction("""COMPUTED_VALUE"""),"https://hocmai.vn/bai-giang-truc-tuyen/175199/.html")</f>
        <v>https://hocmai.vn/bai-giang-truc-tuyen/175199/.html</v>
      </c>
      <c r="Q164" s="63"/>
      <c r="R164" s="41"/>
      <c r="S164" s="41"/>
      <c r="T164" s="63"/>
      <c r="U164" s="63"/>
      <c r="V164" s="70" t="n">
        <f aca="false">IFERROR(__xludf.dummyfunction("""COMPUTED_VALUE"""),46227)</f>
        <v>46227</v>
      </c>
      <c r="W164" s="39" t="str">
        <f aca="false">IFERROR(__xludf.dummyfunction("""COMPUTED_VALUE"""),"Hoàn thành XB")</f>
        <v>Hoàn thành XB</v>
      </c>
      <c r="X164" s="41" t="str">
        <f aca="false">IFERROR(__xludf.dummyfunction("""COMPUTED_VALUE"""),"Vuta")</f>
        <v>Vuta</v>
      </c>
      <c r="Y164" s="44"/>
      <c r="Z164" s="57"/>
      <c r="AA164" s="57"/>
      <c r="AB164" s="41" t="n">
        <f aca="false">IFERROR(__xludf.dummyfunction("""COMPUTED_VALUE"""),7)</f>
        <v>7</v>
      </c>
      <c r="AC164" s="57" t="str">
        <f aca="false">IFERROR(__xludf.dummyfunction("""COMPUTED_VALUE"""),"shimlim04@gmail.com")</f>
        <v>shimlim04@gmail.com</v>
      </c>
      <c r="AD164" s="46"/>
      <c r="AE164" s="46"/>
      <c r="AF164" s="47"/>
      <c r="AG164" s="46"/>
      <c r="AH164" s="53" t="b">
        <f aca="false">IFERROR(__xludf.dummyfunction("""COMPUTED_VALUE"""),FALSE())</f>
        <v>0</v>
      </c>
      <c r="AI164" s="53" t="b">
        <f aca="false">IFERROR(__xludf.dummyfunction("""COMPUTED_VALUE"""),FALSE())</f>
        <v>0</v>
      </c>
      <c r="AJ164" s="53" t="b">
        <f aca="false">IFERROR(__xludf.dummyfunction("""COMPUTED_VALUE"""),FALSE())</f>
        <v>0</v>
      </c>
      <c r="AK164" s="53" t="b">
        <f aca="false">IFERROR(__xludf.dummyfunction("""COMPUTED_VALUE"""),FALSE())</f>
        <v>0</v>
      </c>
      <c r="AL164" s="53" t="b">
        <f aca="false">IFERROR(__xludf.dummyfunction("""COMPUTED_VALUE"""),FALSE())</f>
        <v>0</v>
      </c>
      <c r="AM164" s="53" t="b">
        <f aca="false">IFERROR(__xludf.dummyfunction("""COMPUTED_VALUE"""),TRUE())</f>
        <v>1</v>
      </c>
      <c r="AN164" s="53" t="b">
        <f aca="false">IFERROR(__xludf.dummyfunction("""COMPUTED_VALUE"""),TRUE())</f>
        <v>1</v>
      </c>
      <c r="AO164" s="46"/>
    </row>
    <row r="165" customFormat="false" ht="15.75" hidden="false" customHeight="true" outlineLevel="0" collapsed="false">
      <c r="A165" s="37" t="str">
        <f aca="false">IFERROR(__xludf.dummyfunction("""COMPUTED_VALUE"""),"Định tính")</f>
        <v>Định tính</v>
      </c>
      <c r="B165" s="37" t="str">
        <f aca="false">IFERROR(__xludf.dummyfunction("""COMPUTED_VALUE"""),"TOV_HSA_DT05")</f>
        <v>TOV_HSA_DT05</v>
      </c>
      <c r="C165" s="59" t="str">
        <f aca="false">IFERROR(__xludf.dummyfunction("""COMPUTED_VALUE"""),"Biện pháp tu từ và hiệu quả nghệ thuật")</f>
        <v>Biện pháp tu từ và hiệu quả nghệ thuật</v>
      </c>
      <c r="D165" s="39" t="str">
        <f aca="false">IFERROR(__xludf.dummyfunction("""COMPUTED_VALUE"""),"Vương Thúy Hằng")</f>
        <v>Vương Thúy Hằng</v>
      </c>
      <c r="E165" s="40" t="n">
        <f aca="false">IFERROR(__xludf.dummyfunction("""COMPUTED_VALUE"""),46225)</f>
        <v>46225</v>
      </c>
      <c r="F165" s="41" t="n">
        <f aca="false">IFERROR(__xludf.dummyfunction("""COMPUTED_VALUE"""),4)</f>
        <v>4</v>
      </c>
      <c r="G165" s="37" t="str">
        <f aca="false">IFERROR(__xludf.dummyfunction("""COMPUTED_VALUE"""),"21:00-23:00")</f>
        <v>21:00-23:00</v>
      </c>
      <c r="H165" s="37"/>
      <c r="I165" s="37"/>
      <c r="J165" s="42" t="str">
        <f aca="false">IFERROR(__xludf.dummyfunction("""COMPUTED_VALUE"""),"https://drive.google.com/file/d/1mI-zIvqCPp5Y0C8wWMwjvzm8iH-OU3a-/view?usp=drive_link")</f>
        <v>https://drive.google.com/file/d/1mI-zIvqCPp5Y0C8wWMwjvzm8iH-OU3a-/view?usp=drive_link</v>
      </c>
      <c r="K165" s="68" t="str">
        <f aca="false">IFERROR(__xludf.dummyfunction("""COMPUTED_VALUE"""),"Hangvt3")</f>
        <v>Hangvt3</v>
      </c>
      <c r="L165" s="68" t="str">
        <f aca="false">IFERROR(__xludf.dummyfunction("""COMPUTED_VALUE"""),"Kiều Bảo Minh")</f>
        <v>Kiều Bảo Minh</v>
      </c>
      <c r="M165" s="71"/>
      <c r="N165" s="77" t="str">
        <f aca="false">IFERROR(__xludf.dummyfunction("""COMPUTED_VALUE"""),"3118")</f>
        <v>3118</v>
      </c>
      <c r="O165" s="63" t="n">
        <f aca="false">IFERROR(__xludf.dummyfunction("""COMPUTED_VALUE"""),167294)</f>
        <v>167294</v>
      </c>
      <c r="P165" s="63"/>
      <c r="Q165" s="63"/>
      <c r="R165" s="41"/>
      <c r="S165" s="41"/>
      <c r="T165" s="63"/>
      <c r="U165" s="63"/>
      <c r="V165" s="70" t="n">
        <f aca="false">IFERROR(__xludf.dummyfunction("""COMPUTED_VALUE"""),46228)</f>
        <v>46228</v>
      </c>
      <c r="W165" s="39" t="str">
        <f aca="false">IFERROR(__xludf.dummyfunction("""COMPUTED_VALUE"""),"Hoàn thành XB")</f>
        <v>Hoàn thành XB</v>
      </c>
      <c r="X165" s="41" t="str">
        <f aca="false">IFERROR(__xludf.dummyfunction("""COMPUTED_VALUE"""),"Hoantt")</f>
        <v>Hoantt</v>
      </c>
      <c r="Y165" s="44" t="str">
        <f aca="false">IFERROR(__xludf.dummyfunction("""COMPUTED_VALUE"""),"done")</f>
        <v>done</v>
      </c>
      <c r="Z165" s="57" t="str">
        <f aca="false">IFERROR(__xludf.dummyfunction("""COMPUTED_VALUE"""),"#N/A")</f>
        <v>#N/A</v>
      </c>
      <c r="AA165" s="57"/>
      <c r="AB165" s="41" t="n">
        <f aca="false">IFERROR(__xludf.dummyfunction("""COMPUTED_VALUE"""),7)</f>
        <v>7</v>
      </c>
      <c r="AC165" s="57" t="str">
        <f aca="false">IFERROR(__xludf.dummyfunction("""COMPUTED_VALUE"""),"gv.hangvt@hocmai.edu.vn ")</f>
        <v>gv.hangvt@hocmai.edu.vn </v>
      </c>
      <c r="AD165" s="46" t="str">
        <f aca="false">IFERROR(__xludf.dummyfunction("""COMPUTED_VALUE"""),"mkieu2662@gmail.com")</f>
        <v>mkieu2662@gmail.com</v>
      </c>
      <c r="AE165" s="46"/>
      <c r="AF165" s="74" t="b">
        <f aca="false">IFERROR(__xludf.dummyfunction("""COMPUTED_VALUE"""),FALSE())</f>
        <v>0</v>
      </c>
      <c r="AG165" s="46" t="str">
        <f aca="false">IFERROR(__xludf.dummyfunction("""COMPUTED_VALUE"""),"")</f>
        <v/>
      </c>
      <c r="AH165" s="35"/>
      <c r="AI165" s="35"/>
      <c r="AJ165" s="53" t="b">
        <f aca="false">IFERROR(__xludf.dummyfunction("""COMPUTED_VALUE"""),TRUE())</f>
        <v>1</v>
      </c>
      <c r="AK165" s="53" t="b">
        <f aca="false">IFERROR(__xludf.dummyfunction("""COMPUTED_VALUE"""),TRUE())</f>
        <v>1</v>
      </c>
      <c r="AL165" s="35"/>
      <c r="AM165" s="35"/>
      <c r="AN165" s="35"/>
      <c r="AO165" s="46"/>
    </row>
    <row r="166" customFormat="false" ht="15.75" hidden="false" customHeight="true" outlineLevel="0" collapsed="false">
      <c r="A166" s="37" t="str">
        <f aca="false">IFERROR(__xludf.dummyfunction("""COMPUTED_VALUE"""),"Thực chiến Toán")</f>
        <v>Thực chiến Toán</v>
      </c>
      <c r="B166" s="37" t="str">
        <f aca="false">IFERROR(__xludf.dummyfunction("""COMPUTED_VALUE"""),"TC_TSA_T_08")</f>
        <v>TC_TSA_T_08</v>
      </c>
      <c r="C166" s="59" t="str">
        <f aca="false">IFERROR(__xludf.dummyfunction("""COMPUTED_VALUE"""),"[Bổ trợ]_Chữa bài tập TSA_Tư duy Toán học số 08")</f>
        <v>[Bổ trợ]_Chữa bài tập TSA_Tư duy Toán học số 08</v>
      </c>
      <c r="D166" s="39" t="str">
        <f aca="false">IFERROR(__xludf.dummyfunction("""COMPUTED_VALUE"""),"Phạm Huy Hoàng")</f>
        <v>Phạm Huy Hoàng</v>
      </c>
      <c r="E166" s="40" t="n">
        <f aca="false">IFERROR(__xludf.dummyfunction("""COMPUTED_VALUE"""),46225)</f>
        <v>46225</v>
      </c>
      <c r="F166" s="41" t="n">
        <f aca="false">IFERROR(__xludf.dummyfunction("""COMPUTED_VALUE"""),4)</f>
        <v>4</v>
      </c>
      <c r="G166" s="37" t="str">
        <f aca="false">IFERROR(__xludf.dummyfunction("""COMPUTED_VALUE"""),"19:00-20:00")</f>
        <v>19:00-20:00</v>
      </c>
      <c r="H166" s="37"/>
      <c r="I166" s="37"/>
      <c r="J166" s="42" t="str">
        <f aca="false">IFERROR(__xludf.dummyfunction("""COMPUTED_VALUE"""),"https://drive.google.com/drive/folders/1So-0z2O5jKc9__KepNxMabVuja9DkBHS?usp=drive_link")</f>
        <v>https://drive.google.com/drive/folders/1So-0z2O5jKc9__KepNxMabVuja9DkBHS?usp=drive_link</v>
      </c>
      <c r="K166" s="68" t="str">
        <f aca="false">IFERROR(__xludf.dummyfunction("""COMPUTED_VALUE"""),"Locdd")</f>
        <v>Locdd</v>
      </c>
      <c r="L166" s="68" t="str">
        <f aca="false">IFERROR(__xludf.dummyfunction("""COMPUTED_VALUE"""),"HOCMAI")</f>
        <v>HOCMAI</v>
      </c>
      <c r="M166" s="71"/>
      <c r="N166" s="77" t="str">
        <f aca="false">IFERROR(__xludf.dummyfunction("""COMPUTED_VALUE"""),"3108")</f>
        <v>3108</v>
      </c>
      <c r="O166" s="63" t="n">
        <f aca="false">IFERROR(__xludf.dummyfunction("""COMPUTED_VALUE"""),175120)</f>
        <v>175120</v>
      </c>
      <c r="P166" s="60" t="str">
        <f aca="false">IFERROR(__xludf.dummyfunction("""COMPUTED_VALUE"""),"https://hocmai.vn/bai-giang-truc-tuyen/175120/.html")</f>
        <v>https://hocmai.vn/bai-giang-truc-tuyen/175120/.html</v>
      </c>
      <c r="Q166" s="63"/>
      <c r="R166" s="41"/>
      <c r="S166" s="41"/>
      <c r="T166" s="63"/>
      <c r="U166" s="63"/>
      <c r="V166" s="70" t="n">
        <f aca="false">IFERROR(__xludf.dummyfunction("""COMPUTED_VALUE"""),46228)</f>
        <v>46228</v>
      </c>
      <c r="W166" s="39" t="str">
        <f aca="false">IFERROR(__xludf.dummyfunction("""COMPUTED_VALUE"""),"Hoàn thành XB")</f>
        <v>Hoàn thành XB</v>
      </c>
      <c r="X166" s="41" t="str">
        <f aca="false">IFERROR(__xludf.dummyfunction("""COMPUTED_VALUE"""),"Vuta")</f>
        <v>Vuta</v>
      </c>
      <c r="Y166" s="44"/>
      <c r="Z166" s="57"/>
      <c r="AA166" s="57"/>
      <c r="AB166" s="41" t="n">
        <f aca="false">IFERROR(__xludf.dummyfunction("""COMPUTED_VALUE"""),7)</f>
        <v>7</v>
      </c>
      <c r="AC166" s="57" t="str">
        <f aca="false">IFERROR(__xludf.dummyfunction("""COMPUTED_VALUE"""),"0376611308")</f>
        <v>0376611308</v>
      </c>
      <c r="AD166" s="46"/>
      <c r="AE166" s="46"/>
      <c r="AF166" s="47"/>
      <c r="AG166" s="46"/>
      <c r="AH166" s="53" t="b">
        <f aca="false">IFERROR(__xludf.dummyfunction("""COMPUTED_VALUE"""),FALSE())</f>
        <v>0</v>
      </c>
      <c r="AI166" s="53" t="b">
        <f aca="false">IFERROR(__xludf.dummyfunction("""COMPUTED_VALUE"""),TRUE())</f>
        <v>1</v>
      </c>
      <c r="AJ166" s="53" t="b">
        <f aca="false">IFERROR(__xludf.dummyfunction("""COMPUTED_VALUE"""),FALSE())</f>
        <v>0</v>
      </c>
      <c r="AK166" s="53" t="b">
        <f aca="false">IFERROR(__xludf.dummyfunction("""COMPUTED_VALUE"""),FALSE())</f>
        <v>0</v>
      </c>
      <c r="AL166" s="53" t="b">
        <f aca="false">IFERROR(__xludf.dummyfunction("""COMPUTED_VALUE"""),FALSE())</f>
        <v>0</v>
      </c>
      <c r="AM166" s="53" t="b">
        <f aca="false">IFERROR(__xludf.dummyfunction("""COMPUTED_VALUE"""),FALSE())</f>
        <v>0</v>
      </c>
      <c r="AN166" s="53" t="b">
        <f aca="false">IFERROR(__xludf.dummyfunction("""COMPUTED_VALUE"""),FALSE())</f>
        <v>0</v>
      </c>
      <c r="AO166" s="46"/>
    </row>
    <row r="167" customFormat="false" ht="15.75" hidden="false" customHeight="true" outlineLevel="0" collapsed="false">
      <c r="A167" s="37" t="str">
        <f aca="false">IFERROR(__xludf.dummyfunction("""COMPUTED_VALUE"""),"Thực chiến Định lượng")</f>
        <v>Thực chiến Định lượng</v>
      </c>
      <c r="B167" s="37" t="str">
        <f aca="false">IFERROR(__xludf.dummyfunction("""COMPUTED_VALUE"""),"TC_HSA_ĐL_03")</f>
        <v>TC_HSA_ĐL_03</v>
      </c>
      <c r="C167" s="59" t="str">
        <f aca="false">IFERROR(__xludf.dummyfunction("""COMPUTED_VALUE"""),"[Bổ trợ]_Chữa bài tập _Tư duy Định lượng số 03")</f>
        <v>[Bổ trợ]_Chữa bài tập _Tư duy Định lượng số 03</v>
      </c>
      <c r="D167" s="39" t="str">
        <f aca="false">IFERROR(__xludf.dummyfunction("""COMPUTED_VALUE"""),"Vi Vũ Trí Đức")</f>
        <v>Vi Vũ Trí Đức</v>
      </c>
      <c r="E167" s="40" t="n">
        <f aca="false">IFERROR(__xludf.dummyfunction("""COMPUTED_VALUE"""),46225)</f>
        <v>46225</v>
      </c>
      <c r="F167" s="41" t="n">
        <f aca="false">IFERROR(__xludf.dummyfunction("""COMPUTED_VALUE"""),4)</f>
        <v>4</v>
      </c>
      <c r="G167" s="37" t="str">
        <f aca="false">IFERROR(__xludf.dummyfunction("""COMPUTED_VALUE"""),"19:00-20:00")</f>
        <v>19:00-20:00</v>
      </c>
      <c r="H167" s="37"/>
      <c r="I167" s="37"/>
      <c r="J167" s="42" t="str">
        <f aca="false">IFERROR(__xludf.dummyfunction("""COMPUTED_VALUE"""),"https://drive.google.com/drive/folders/1N_-1CDF7GSU_m3Gsal_CIZcElxjQYgvg?usp=drive_link")</f>
        <v>https://drive.google.com/drive/folders/1N_-1CDF7GSU_m3Gsal_CIZcElxjQYgvg?usp=drive_link</v>
      </c>
      <c r="K167" s="68" t="str">
        <f aca="false">IFERROR(__xludf.dummyfunction("""COMPUTED_VALUE"""),"Locdd")</f>
        <v>Locdd</v>
      </c>
      <c r="L167" s="68" t="str">
        <f aca="false">IFERROR(__xludf.dummyfunction("""COMPUTED_VALUE"""),"HOCMAI")</f>
        <v>HOCMAI</v>
      </c>
      <c r="M167" s="71"/>
      <c r="N167" s="77" t="str">
        <f aca="false">IFERROR(__xludf.dummyfunction("""COMPUTED_VALUE"""),"3117")</f>
        <v>3117</v>
      </c>
      <c r="O167" s="63" t="n">
        <f aca="false">IFERROR(__xludf.dummyfunction("""COMPUTED_VALUE"""),175951)</f>
        <v>175951</v>
      </c>
      <c r="P167" s="60" t="str">
        <f aca="false">IFERROR(__xludf.dummyfunction("""COMPUTED_VALUE"""),"https://hocmai.vn/bai-giang-truc-tuyen/175951/.html")</f>
        <v>https://hocmai.vn/bai-giang-truc-tuyen/175951/.html</v>
      </c>
      <c r="Q167" s="63"/>
      <c r="R167" s="41"/>
      <c r="S167" s="41"/>
      <c r="T167" s="63"/>
      <c r="U167" s="63"/>
      <c r="V167" s="70" t="n">
        <f aca="false">IFERROR(__xludf.dummyfunction("""COMPUTED_VALUE"""),46228)</f>
        <v>46228</v>
      </c>
      <c r="W167" s="39" t="str">
        <f aca="false">IFERROR(__xludf.dummyfunction("""COMPUTED_VALUE"""),"Hoàn thành XB")</f>
        <v>Hoàn thành XB</v>
      </c>
      <c r="X167" s="41" t="str">
        <f aca="false">IFERROR(__xludf.dummyfunction("""COMPUTED_VALUE"""),"Vuta")</f>
        <v>Vuta</v>
      </c>
      <c r="Y167" s="44"/>
      <c r="Z167" s="57"/>
      <c r="AA167" s="57"/>
      <c r="AB167" s="41" t="n">
        <f aca="false">IFERROR(__xludf.dummyfunction("""COMPUTED_VALUE"""),7)</f>
        <v>7</v>
      </c>
      <c r="AC167" s="57" t="str">
        <f aca="false">IFERROR(__xludf.dummyfunction("""COMPUTED_VALUE"""),"tdstawesome@gmail.com")</f>
        <v>tdstawesome@gmail.com</v>
      </c>
      <c r="AD167" s="46"/>
      <c r="AE167" s="46"/>
      <c r="AF167" s="47"/>
      <c r="AG167" s="46"/>
      <c r="AH167" s="53" t="b">
        <f aca="false">IFERROR(__xludf.dummyfunction("""COMPUTED_VALUE"""),FALSE())</f>
        <v>0</v>
      </c>
      <c r="AI167" s="53" t="b">
        <f aca="false">IFERROR(__xludf.dummyfunction("""COMPUTED_VALUE"""),FALSE())</f>
        <v>0</v>
      </c>
      <c r="AJ167" s="53" t="b">
        <f aca="false">IFERROR(__xludf.dummyfunction("""COMPUTED_VALUE"""),TRUE())</f>
        <v>1</v>
      </c>
      <c r="AK167" s="53" t="b">
        <f aca="false">IFERROR(__xludf.dummyfunction("""COMPUTED_VALUE"""),TRUE())</f>
        <v>1</v>
      </c>
      <c r="AL167" s="53" t="b">
        <f aca="false">IFERROR(__xludf.dummyfunction("""COMPUTED_VALUE"""),FALSE())</f>
        <v>0</v>
      </c>
      <c r="AM167" s="53" t="b">
        <f aca="false">IFERROR(__xludf.dummyfunction("""COMPUTED_VALUE"""),FALSE())</f>
        <v>0</v>
      </c>
      <c r="AN167" s="53" t="b">
        <f aca="false">IFERROR(__xludf.dummyfunction("""COMPUTED_VALUE"""),FALSE())</f>
        <v>0</v>
      </c>
      <c r="AO167" s="46"/>
    </row>
    <row r="168" customFormat="false" ht="15.75" hidden="false" customHeight="true" outlineLevel="0" collapsed="false">
      <c r="A168" s="37" t="str">
        <f aca="false">IFERROR(__xludf.dummyfunction("""COMPUTED_VALUE"""),"Thực chiến Tiếng Việt")</f>
        <v>Thực chiến Tiếng Việt</v>
      </c>
      <c r="B168" s="37" t="str">
        <f aca="false">IFERROR(__xludf.dummyfunction("""COMPUTED_VALUE"""),"TC_V-ACT_TV_03")</f>
        <v>TC_V-ACT_TV_03</v>
      </c>
      <c r="C168" s="59" t="str">
        <f aca="false">IFERROR(__xludf.dummyfunction("""COMPUTED_VALUE"""),"[Bổ trợ]_Chữa bài tập_V-ACT_Tiếng Việt số 03")</f>
        <v>[Bổ trợ]_Chữa bài tập_V-ACT_Tiếng Việt số 03</v>
      </c>
      <c r="D168" s="39" t="str">
        <f aca="false">IFERROR(__xludf.dummyfunction("""COMPUTED_VALUE"""),"Nguyễn Thị Khánh Ly")</f>
        <v>Nguyễn Thị Khánh Ly</v>
      </c>
      <c r="E168" s="40" t="n">
        <f aca="false">IFERROR(__xludf.dummyfunction("""COMPUTED_VALUE"""),46225)</f>
        <v>46225</v>
      </c>
      <c r="F168" s="41" t="n">
        <f aca="false">IFERROR(__xludf.dummyfunction("""COMPUTED_VALUE"""),4)</f>
        <v>4</v>
      </c>
      <c r="G168" s="37" t="str">
        <f aca="false">IFERROR(__xludf.dummyfunction("""COMPUTED_VALUE"""),"21:15-22:15")</f>
        <v>21:15-22:15</v>
      </c>
      <c r="H168" s="37"/>
      <c r="I168" s="37"/>
      <c r="J168" s="42" t="str">
        <f aca="false">IFERROR(__xludf.dummyfunction("""COMPUTED_VALUE"""),"https://drive.google.com/open?id=16XkmzvlJaSNx4gFAlXKB-jUWtmKztYi3&amp;usp=drive_fs")</f>
        <v>https://drive.google.com/open?id=16XkmzvlJaSNx4gFAlXKB-jUWtmKztYi3&amp;usp=drive_fs</v>
      </c>
      <c r="K168" s="68" t="str">
        <f aca="false">IFERROR(__xludf.dummyfunction("""COMPUTED_VALUE"""),"Hoantt")</f>
        <v>Hoantt</v>
      </c>
      <c r="L168" s="68" t="str">
        <f aca="false">IFERROR(__xludf.dummyfunction("""COMPUTED_VALUE"""),"HOCMAI")</f>
        <v>HOCMAI</v>
      </c>
      <c r="M168" s="71"/>
      <c r="N168" s="77" t="str">
        <f aca="false">IFERROR(__xludf.dummyfunction("""COMPUTED_VALUE"""),"3125")</f>
        <v>3125</v>
      </c>
      <c r="O168" s="63" t="n">
        <f aca="false">IFERROR(__xludf.dummyfunction("""COMPUTED_VALUE"""),175187)</f>
        <v>175187</v>
      </c>
      <c r="P168" s="60" t="str">
        <f aca="false">IFERROR(__xludf.dummyfunction("""COMPUTED_VALUE"""),"https://hocmai.vn/bai-giang-truc-tuyen/175187/.html")</f>
        <v>https://hocmai.vn/bai-giang-truc-tuyen/175187/.html</v>
      </c>
      <c r="Q168" s="63"/>
      <c r="R168" s="41"/>
      <c r="S168" s="41"/>
      <c r="T168" s="63"/>
      <c r="U168" s="63"/>
      <c r="V168" s="70" t="n">
        <f aca="false">IFERROR(__xludf.dummyfunction("""COMPUTED_VALUE"""),46228)</f>
        <v>46228</v>
      </c>
      <c r="W168" s="39" t="str">
        <f aca="false">IFERROR(__xludf.dummyfunction("""COMPUTED_VALUE"""),"Hoàn thành XB")</f>
        <v>Hoàn thành XB</v>
      </c>
      <c r="X168" s="41" t="str">
        <f aca="false">IFERROR(__xludf.dummyfunction("""COMPUTED_VALUE"""),"Vuta")</f>
        <v>Vuta</v>
      </c>
      <c r="Y168" s="44"/>
      <c r="Z168" s="57"/>
      <c r="AA168" s="57"/>
      <c r="AB168" s="41" t="n">
        <f aca="false">IFERROR(__xludf.dummyfunction("""COMPUTED_VALUE"""),7)</f>
        <v>7</v>
      </c>
      <c r="AC168" s="57" t="str">
        <f aca="false">IFERROR(__xludf.dummyfunction("""COMPUTED_VALUE"""),"khanhly16092003@gmail.com")</f>
        <v>khanhly16092003@gmail.com</v>
      </c>
      <c r="AD168" s="46"/>
      <c r="AE168" s="46"/>
      <c r="AF168" s="47"/>
      <c r="AG168" s="46"/>
      <c r="AH168" s="53" t="b">
        <f aca="false">IFERROR(__xludf.dummyfunction("""COMPUTED_VALUE"""),FALSE())</f>
        <v>0</v>
      </c>
      <c r="AI168" s="53" t="b">
        <f aca="false">IFERROR(__xludf.dummyfunction("""COMPUTED_VALUE"""),FALSE())</f>
        <v>0</v>
      </c>
      <c r="AJ168" s="53" t="b">
        <f aca="false">IFERROR(__xludf.dummyfunction("""COMPUTED_VALUE"""),FALSE())</f>
        <v>0</v>
      </c>
      <c r="AK168" s="53" t="b">
        <f aca="false">IFERROR(__xludf.dummyfunction("""COMPUTED_VALUE"""),FALSE())</f>
        <v>0</v>
      </c>
      <c r="AL168" s="53" t="b">
        <f aca="false">IFERROR(__xludf.dummyfunction("""COMPUTED_VALUE"""),FALSE())</f>
        <v>0</v>
      </c>
      <c r="AM168" s="53" t="b">
        <f aca="false">IFERROR(__xludf.dummyfunction("""COMPUTED_VALUE"""),TRUE())</f>
        <v>1</v>
      </c>
      <c r="AN168" s="53" t="b">
        <f aca="false">IFERROR(__xludf.dummyfunction("""COMPUTED_VALUE"""),TRUE())</f>
        <v>1</v>
      </c>
      <c r="AO168" s="46"/>
    </row>
    <row r="169" customFormat="false" ht="15.75" hidden="false" customHeight="true" outlineLevel="0" collapsed="false">
      <c r="A169" s="37" t="str">
        <f aca="false">IFERROR(__xludf.dummyfunction("""COMPUTED_VALUE"""),"Thực chiến Khoa học")</f>
        <v>Thực chiến Khoa học</v>
      </c>
      <c r="B169" s="37" t="str">
        <f aca="false">IFERROR(__xludf.dummyfunction("""COMPUTED_VALUE"""),"TC_V-ACT_KH_02")</f>
        <v>TC_V-ACT_KH_02</v>
      </c>
      <c r="C169" s="59" t="str">
        <f aca="false">IFERROR(__xludf.dummyfunction("""COMPUTED_VALUE"""),"[Bổ trợ]_Chữa bài tập_V-ACT_Tư duy khoa học số 02")</f>
        <v>[Bổ trợ]_Chữa bài tập_V-ACT_Tư duy khoa học số 02</v>
      </c>
      <c r="D169" s="39" t="str">
        <f aca="false">IFERROR(__xludf.dummyfunction("""COMPUTED_VALUE"""),"Lê Thế Anh")</f>
        <v>Lê Thế Anh</v>
      </c>
      <c r="E169" s="40" t="n">
        <f aca="false">IFERROR(__xludf.dummyfunction("""COMPUTED_VALUE"""),46225)</f>
        <v>46225</v>
      </c>
      <c r="F169" s="41" t="n">
        <f aca="false">IFERROR(__xludf.dummyfunction("""COMPUTED_VALUE"""),4)</f>
        <v>4</v>
      </c>
      <c r="G169" s="37" t="str">
        <f aca="false">IFERROR(__xludf.dummyfunction("""COMPUTED_VALUE"""),"19:00-20:00")</f>
        <v>19:00-20:00</v>
      </c>
      <c r="H169" s="37"/>
      <c r="I169" s="37"/>
      <c r="J169" s="42" t="str">
        <f aca="false">IFERROR(__xludf.dummyfunction("""COMPUTED_VALUE"""),"https://drive.google.com/drive/folders/1TnxBdBN3Ndo-fjV3p8zTyGpFLbX93IHr?usp=drive_link")</f>
        <v>https://drive.google.com/drive/folders/1TnxBdBN3Ndo-fjV3p8zTyGpFLbX93IHr?usp=drive_link</v>
      </c>
      <c r="K169" s="68" t="str">
        <f aca="false">IFERROR(__xludf.dummyfunction("""COMPUTED_VALUE"""),"Trangnth2")</f>
        <v>Trangnth2</v>
      </c>
      <c r="L169" s="68" t="str">
        <f aca="false">IFERROR(__xludf.dummyfunction("""COMPUTED_VALUE"""),"HOCMAI")</f>
        <v>HOCMAI</v>
      </c>
      <c r="M169" s="71"/>
      <c r="N169" s="77" t="str">
        <f aca="false">IFERROR(__xludf.dummyfunction("""COMPUTED_VALUE"""),"3126")</f>
        <v>3126</v>
      </c>
      <c r="O169" s="63" t="n">
        <f aca="false">IFERROR(__xludf.dummyfunction("""COMPUTED_VALUE"""),175192)</f>
        <v>175192</v>
      </c>
      <c r="P169" s="60" t="str">
        <f aca="false">IFERROR(__xludf.dummyfunction("""COMPUTED_VALUE"""),"https://hocmai.vn/bai-giang-truc-tuyen/175192/.html")</f>
        <v>https://hocmai.vn/bai-giang-truc-tuyen/175192/.html</v>
      </c>
      <c r="Q169" s="63"/>
      <c r="R169" s="41"/>
      <c r="S169" s="41"/>
      <c r="T169" s="63"/>
      <c r="U169" s="63"/>
      <c r="V169" s="70" t="n">
        <f aca="false">IFERROR(__xludf.dummyfunction("""COMPUTED_VALUE"""),46228)</f>
        <v>46228</v>
      </c>
      <c r="W169" s="39" t="str">
        <f aca="false">IFERROR(__xludf.dummyfunction("""COMPUTED_VALUE"""),"Hoàn thành XB")</f>
        <v>Hoàn thành XB</v>
      </c>
      <c r="X169" s="41" t="str">
        <f aca="false">IFERROR(__xludf.dummyfunction("""COMPUTED_VALUE"""),"Vuta")</f>
        <v>Vuta</v>
      </c>
      <c r="Y169" s="44"/>
      <c r="Z169" s="57"/>
      <c r="AA169" s="57"/>
      <c r="AB169" s="41" t="n">
        <f aca="false">IFERROR(__xludf.dummyfunction("""COMPUTED_VALUE"""),7)</f>
        <v>7</v>
      </c>
      <c r="AC169" s="57" t="str">
        <f aca="false">IFERROR(__xludf.dummyfunction("""COMPUTED_VALUE"""),"ss.vact01@ctv.hocmai.vn")</f>
        <v>ss.vact01@ctv.hocmai.vn</v>
      </c>
      <c r="AD169" s="46"/>
      <c r="AE169" s="46"/>
      <c r="AF169" s="47"/>
      <c r="AG169" s="46"/>
      <c r="AH169" s="53" t="b">
        <f aca="false">IFERROR(__xludf.dummyfunction("""COMPUTED_VALUE"""),FALSE())</f>
        <v>0</v>
      </c>
      <c r="AI169" s="53" t="b">
        <f aca="false">IFERROR(__xludf.dummyfunction("""COMPUTED_VALUE"""),FALSE())</f>
        <v>0</v>
      </c>
      <c r="AJ169" s="53" t="b">
        <f aca="false">IFERROR(__xludf.dummyfunction("""COMPUTED_VALUE"""),FALSE())</f>
        <v>0</v>
      </c>
      <c r="AK169" s="53" t="b">
        <f aca="false">IFERROR(__xludf.dummyfunction("""COMPUTED_VALUE"""),FALSE())</f>
        <v>0</v>
      </c>
      <c r="AL169" s="53" t="b">
        <f aca="false">IFERROR(__xludf.dummyfunction("""COMPUTED_VALUE"""),FALSE())</f>
        <v>0</v>
      </c>
      <c r="AM169" s="53" t="b">
        <f aca="false">IFERROR(__xludf.dummyfunction("""COMPUTED_VALUE"""),TRUE())</f>
        <v>1</v>
      </c>
      <c r="AN169" s="53" t="b">
        <f aca="false">IFERROR(__xludf.dummyfunction("""COMPUTED_VALUE"""),TRUE())</f>
        <v>1</v>
      </c>
      <c r="AO169" s="46"/>
    </row>
    <row r="170" customFormat="false" ht="15.75" hidden="false" customHeight="true" outlineLevel="0" collapsed="false">
      <c r="A170" s="37" t="str">
        <f aca="false">IFERROR(__xludf.dummyfunction("""COMPUTED_VALUE"""),"Vật lí")</f>
        <v>Vật lí</v>
      </c>
      <c r="B170" s="37" t="str">
        <f aca="false">IFERROR(__xludf.dummyfunction("""COMPUTED_VALUE"""),"TOV_TSA_L06")</f>
        <v>TOV_TSA_L06</v>
      </c>
      <c r="C170" s="59" t="str">
        <f aca="false">IFERROR(__xludf.dummyfunction("""COMPUTED_VALUE"""),"Bảo toàn trong cơ học: năng lượng và động lượng")</f>
        <v>Bảo toàn trong cơ học: năng lượng và động lượng</v>
      </c>
      <c r="D170" s="39" t="str">
        <f aca="false">IFERROR(__xludf.dummyfunction("""COMPUTED_VALUE"""),"Thiều Thị Dung")</f>
        <v>Thiều Thị Dung</v>
      </c>
      <c r="E170" s="40" t="n">
        <f aca="false">IFERROR(__xludf.dummyfunction("""COMPUTED_VALUE"""),46226)</f>
        <v>46226</v>
      </c>
      <c r="F170" s="41" t="n">
        <f aca="false">IFERROR(__xludf.dummyfunction("""COMPUTED_VALUE"""),5)</f>
        <v>5</v>
      </c>
      <c r="G170" s="37" t="str">
        <f aca="false">IFERROR(__xludf.dummyfunction("""COMPUTED_VALUE"""),"21:00-23:00")</f>
        <v>21:00-23:00</v>
      </c>
      <c r="H170" s="42" t="str">
        <f aca="false">IFERROR(__xludf.dummyfunction("""COMPUTED_VALUE"""),"https://hocmai.vn/file.php/3110/Nam_hoc_2026_-_2027/VAT_LI/TAI_LIEU_HOC_SINH/TLHS_TOV_TSA_06_Bao_toan_trong_co_hoc_nang_luong_va_dong_luong.pdf")</f>
        <v>https://hocmai.vn/file.php/3110/Nam_hoc_2026_-_2027/VAT_LI/TAI_LIEU_HOC_SINH/TLHS_TOV_TSA_06_Bao_toan_trong_co_hoc_nang_luong_va_dong_luong.pdf</v>
      </c>
      <c r="I170" s="42" t="str">
        <f aca="false">IFERROR(__xludf.dummyfunction("""COMPUTED_VALUE"""),"https://hocmai.vn/file.php/3110/Nam_hoc_2026_-_2027/VAT_LI/BTTL/BTTL_TOV_TSA_L06._Bao_toan_trong_co_hoc_nang_luong_va_dong_luong.pdf")</f>
        <v>https://hocmai.vn/file.php/3110/Nam_hoc_2026_-_2027/VAT_LI/BTTL/BTTL_TOV_TSA_L06._Bao_toan_trong_co_hoc_nang_luong_va_dong_luong.pdf</v>
      </c>
      <c r="J170" s="42" t="str">
        <f aca="false">IFERROR(__xludf.dummyfunction("""COMPUTED_VALUE"""),"https://drive.google.com/drive/folders/1ZI2GJEq_B4yaN2LlDLVEOysV1e_VfEPl")</f>
        <v>https://drive.google.com/drive/folders/1ZI2GJEq_B4yaN2LlDLVEOysV1e_VfEPl</v>
      </c>
      <c r="K170" s="68" t="str">
        <f aca="false">IFERROR(__xludf.dummyfunction("""COMPUTED_VALUE"""),"Trangnth2")</f>
        <v>Trangnth2</v>
      </c>
      <c r="L170" s="68" t="str">
        <f aca="false">IFERROR(__xludf.dummyfunction("""COMPUTED_VALUE"""),"Trần Đức Lương")</f>
        <v>Trần Đức Lương</v>
      </c>
      <c r="M170" s="71"/>
      <c r="N170" s="77" t="str">
        <f aca="false">IFERROR(__xludf.dummyfunction("""COMPUTED_VALUE"""),"3110")</f>
        <v>3110</v>
      </c>
      <c r="O170" s="63" t="n">
        <f aca="false">IFERROR(__xludf.dummyfunction("""COMPUTED_VALUE"""),167256)</f>
        <v>167256</v>
      </c>
      <c r="P170" s="63"/>
      <c r="Q170" s="63"/>
      <c r="R170" s="41"/>
      <c r="S170" s="41"/>
      <c r="T170" s="63"/>
      <c r="U170" s="63"/>
      <c r="V170" s="70" t="n">
        <f aca="false">IFERROR(__xludf.dummyfunction("""COMPUTED_VALUE"""),46229)</f>
        <v>46229</v>
      </c>
      <c r="W170" s="39" t="str">
        <f aca="false">IFERROR(__xludf.dummyfunction("""COMPUTED_VALUE"""),"Hoàn thành XB")</f>
        <v>Hoàn thành XB</v>
      </c>
      <c r="X170" s="41" t="str">
        <f aca="false">IFERROR(__xludf.dummyfunction("""COMPUTED_VALUE"""),"Trangnth2")</f>
        <v>Trangnth2</v>
      </c>
      <c r="Y170" s="44" t="str">
        <f aca="false">IFERROR(__xludf.dummyfunction("""COMPUTED_VALUE"""),"done")</f>
        <v>done</v>
      </c>
      <c r="Z170" s="57" t="str">
        <f aca="false">IFERROR(__xludf.dummyfunction("""COMPUTED_VALUE"""),"#N/A")</f>
        <v>#N/A</v>
      </c>
      <c r="AA170" s="57"/>
      <c r="AB170" s="41" t="n">
        <f aca="false">IFERROR(__xludf.dummyfunction("""COMPUTED_VALUE"""),7)</f>
        <v>7</v>
      </c>
      <c r="AC170" s="57" t="str">
        <f aca="false">IFERROR(__xludf.dummyfunction("""COMPUTED_VALUE"""),"dungtt2@hocmai.vn                ")</f>
        <v>dungtt2@hocmai.vn                </v>
      </c>
      <c r="AD170" s="46" t="str">
        <f aca="false">IFERROR(__xludf.dummyfunction("""COMPUTED_VALUE"""),"ss.hsa01@ctv.hocmai.vn")</f>
        <v>ss.hsa01@ctv.hocmai.vn</v>
      </c>
      <c r="AE170" s="46"/>
      <c r="AF170" s="74" t="b">
        <f aca="false">IFERROR(__xludf.dummyfunction("""COMPUTED_VALUE"""),FALSE())</f>
        <v>0</v>
      </c>
      <c r="AG170" s="46" t="str">
        <f aca="false">IFERROR(__xludf.dummyfunction("""COMPUTED_VALUE"""),"")</f>
        <v/>
      </c>
      <c r="AH170" s="35"/>
      <c r="AI170" s="53" t="b">
        <f aca="false">IFERROR(__xludf.dummyfunction("""COMPUTED_VALUE"""),TRUE())</f>
        <v>1</v>
      </c>
      <c r="AJ170" s="35"/>
      <c r="AK170" s="35"/>
      <c r="AL170" s="35"/>
      <c r="AM170" s="35"/>
      <c r="AN170" s="35"/>
      <c r="AO170" s="46"/>
    </row>
    <row r="171" customFormat="false" ht="15.75" hidden="false" customHeight="true" outlineLevel="0" collapsed="false">
      <c r="A171" s="37" t="str">
        <f aca="false">IFERROR(__xludf.dummyfunction("""COMPUTED_VALUE"""),"Toán")</f>
        <v>Toán</v>
      </c>
      <c r="B171" s="37" t="str">
        <f aca="false">IFERROR(__xludf.dummyfunction("""COMPUTED_VALUE"""),"TOV_HSA_DL06")</f>
        <v>TOV_HSA_DL06</v>
      </c>
      <c r="C171" s="59" t="str">
        <f aca="false">IFERROR(__xludf.dummyfunction("""COMPUTED_VALUE"""),"Các bài toán tổ hợp, xác suất liên quan tới tam giác, tứ giác")</f>
        <v>Các bài toán tổ hợp, xác suất liên quan tới tam giác, tứ giác</v>
      </c>
      <c r="D171" s="39" t="str">
        <f aca="false">IFERROR(__xludf.dummyfunction("""COMPUTED_VALUE"""),"Nguyễn Thanh Tùng")</f>
        <v>Nguyễn Thanh Tùng</v>
      </c>
      <c r="E171" s="40" t="n">
        <f aca="false">IFERROR(__xludf.dummyfunction("""COMPUTED_VALUE"""),46226)</f>
        <v>46226</v>
      </c>
      <c r="F171" s="41" t="n">
        <f aca="false">IFERROR(__xludf.dummyfunction("""COMPUTED_VALUE"""),5)</f>
        <v>5</v>
      </c>
      <c r="G171" s="37" t="str">
        <f aca="false">IFERROR(__xludf.dummyfunction("""COMPUTED_VALUE"""),"18:00-20:00")</f>
        <v>18:00-20:00</v>
      </c>
      <c r="H171" s="37"/>
      <c r="I171" s="37"/>
      <c r="J171" s="42" t="str">
        <f aca="false">IFERROR(__xludf.dummyfunction("""COMPUTED_VALUE"""),"https://drive.google.com/drive/folders/10-M7DLGcXtXQRWAuQWhTZ5uMnGKRri5_?usp=drive_link")</f>
        <v>https://drive.google.com/drive/folders/10-M7DLGcXtXQRWAuQWhTZ5uMnGKRri5_?usp=drive_link</v>
      </c>
      <c r="K171" s="68" t="str">
        <f aca="false">IFERROR(__xludf.dummyfunction("""COMPUTED_VALUE"""),"Locdd")</f>
        <v>Locdd</v>
      </c>
      <c r="L171" s="68" t="str">
        <f aca="false">IFERROR(__xludf.dummyfunction("""COMPUTED_VALUE"""),"Tưởng Thị Huyền Trang")</f>
        <v>Tưởng Thị Huyền Trang</v>
      </c>
      <c r="M171" s="71"/>
      <c r="N171" s="77" t="str">
        <f aca="false">IFERROR(__xludf.dummyfunction("""COMPUTED_VALUE"""),"3117,3315")</f>
        <v>3117,3315</v>
      </c>
      <c r="O171" s="73" t="n">
        <f aca="false">IFERROR(__xludf.dummyfunction("""COMPUTED_VALUE"""),168581.168322)</f>
        <v>168581.168322</v>
      </c>
      <c r="P171" s="63" t="str">
        <f aca="false">IFERROR(__xludf.dummyfunction("""COMPUTED_VALUE"""),"9028,9036,9104,9106")</f>
        <v>9028,9036,9104,9106</v>
      </c>
      <c r="Q171" s="63" t="n">
        <f aca="false">IFERROR(__xludf.dummyfunction("""COMPUTED_VALUE"""),168322)</f>
        <v>168322</v>
      </c>
      <c r="R171" s="41"/>
      <c r="S171" s="41"/>
      <c r="T171" s="63"/>
      <c r="U171" s="63"/>
      <c r="V171" s="70" t="n">
        <f aca="false">IFERROR(__xludf.dummyfunction("""COMPUTED_VALUE"""),46229)</f>
        <v>46229</v>
      </c>
      <c r="W171" s="39" t="str">
        <f aca="false">IFERROR(__xludf.dummyfunction("""COMPUTED_VALUE"""),"Hoàn thành XB")</f>
        <v>Hoàn thành XB</v>
      </c>
      <c r="X171" s="41" t="str">
        <f aca="false">IFERROR(__xludf.dummyfunction("""COMPUTED_VALUE"""),"Locdd")</f>
        <v>Locdd</v>
      </c>
      <c r="Y171" s="44" t="str">
        <f aca="false">IFERROR(__xludf.dummyfunction("""COMPUTED_VALUE"""),"done")</f>
        <v>done</v>
      </c>
      <c r="Z171" s="57" t="str">
        <f aca="false">IFERROR(__xludf.dummyfunction("""COMPUTED_VALUE"""),"#N/A")</f>
        <v>#N/A</v>
      </c>
      <c r="AA171" s="57"/>
      <c r="AB171" s="41" t="n">
        <f aca="false">IFERROR(__xludf.dummyfunction("""COMPUTED_VALUE"""),7)</f>
        <v>7</v>
      </c>
      <c r="AC171" s="57" t="str">
        <f aca="false">IFERROR(__xludf.dummyfunction("""COMPUTED_VALUE"""),"gv.tungnt@hocmai.edu.vn ")</f>
        <v>gv.tungnt@hocmai.edu.vn </v>
      </c>
      <c r="AD171" s="46" t="str">
        <f aca="false">IFERROR(__xludf.dummyfunction("""COMPUTED_VALUE"""),"trangcrazy699@gmail.com")</f>
        <v>trangcrazy699@gmail.com</v>
      </c>
      <c r="AE171" s="46"/>
      <c r="AF171" s="47" t="str">
        <f aca="false">IFERROR(__xludf.dummyfunction("""COMPUTED_VALUE"""),"lophoctoan-946226")</f>
        <v>lophoctoan-946226</v>
      </c>
      <c r="AG171" s="46" t="str">
        <f aca="false">IFERROR(__xludf.dummyfunction("""COMPUTED_VALUE"""),"")</f>
        <v/>
      </c>
      <c r="AH171" s="35"/>
      <c r="AI171" s="35"/>
      <c r="AJ171" s="53" t="b">
        <f aca="false">IFERROR(__xludf.dummyfunction("""COMPUTED_VALUE"""),TRUE())</f>
        <v>1</v>
      </c>
      <c r="AK171" s="53" t="b">
        <f aca="false">IFERROR(__xludf.dummyfunction("""COMPUTED_VALUE"""),TRUE())</f>
        <v>1</v>
      </c>
      <c r="AL171" s="35"/>
      <c r="AM171" s="35"/>
      <c r="AN171" s="35"/>
      <c r="AO171" s="46"/>
    </row>
    <row r="172" customFormat="false" ht="15.75" hidden="false" customHeight="true" outlineLevel="0" collapsed="false">
      <c r="A172" s="37" t="str">
        <f aca="false">IFERROR(__xludf.dummyfunction("""COMPUTED_VALUE"""),"Vật lí")</f>
        <v>Vật lí</v>
      </c>
      <c r="B172" s="37" t="str">
        <f aca="false">IFERROR(__xludf.dummyfunction("""COMPUTED_VALUE"""),"TOV_HSA_VL06")</f>
        <v>TOV_HSA_VL06</v>
      </c>
      <c r="C172" s="59" t="str">
        <f aca="false">IFERROR(__xludf.dummyfunction("""COMPUTED_VALUE"""),"Dao động")</f>
        <v>Dao động</v>
      </c>
      <c r="D172" s="39" t="str">
        <f aca="false">IFERROR(__xludf.dummyfunction("""COMPUTED_VALUE"""),"Nguyễn Hữu Tình")</f>
        <v>Nguyễn Hữu Tình</v>
      </c>
      <c r="E172" s="40" t="n">
        <f aca="false">IFERROR(__xludf.dummyfunction("""COMPUTED_VALUE"""),46226)</f>
        <v>46226</v>
      </c>
      <c r="F172" s="41" t="n">
        <f aca="false">IFERROR(__xludf.dummyfunction("""COMPUTED_VALUE"""),5)</f>
        <v>5</v>
      </c>
      <c r="G172" s="37" t="str">
        <f aca="false">IFERROR(__xludf.dummyfunction("""COMPUTED_VALUE"""),"21:00-23:00")</f>
        <v>21:00-23:00</v>
      </c>
      <c r="H172" s="42" t="str">
        <f aca="false">IFERROR(__xludf.dummyfunction("""COMPUTED_VALUE"""),"https://hocmai.vn/file.php/3119/NAM_HOC_2026_-_2027/Tai_lieu_live/TLHS_TOV_HSA_VL06._Dao_dong.pdf")</f>
        <v>https://hocmai.vn/file.php/3119/NAM_HOC_2026_-_2027/Tai_lieu_live/TLHS_TOV_HSA_VL06._Dao_dong.pdf</v>
      </c>
      <c r="I172" s="42" t="str">
        <f aca="false">IFERROR(__xludf.dummyfunction("""COMPUTED_VALUE"""),"https://hocmai.vn/file.php/3119/NAM_HOC_2026_-_2027/BTTL/BTTL_TOV_HSA_VL06._Dao_dong.pdf")</f>
        <v>https://hocmai.vn/file.php/3119/NAM_HOC_2026_-_2027/BTTL/BTTL_TOV_HSA_VL06._Dao_dong.pdf</v>
      </c>
      <c r="J172" s="42" t="str">
        <f aca="false">IFERROR(__xludf.dummyfunction("""COMPUTED_VALUE"""),"https://drive.google.com/drive/folders/1hS24Jw7KCWDjcw5ronX1VHrdhuuQyepy?usp=drive_link")</f>
        <v>https://drive.google.com/drive/folders/1hS24Jw7KCWDjcw5ronX1VHrdhuuQyepy?usp=drive_link</v>
      </c>
      <c r="K172" s="68" t="str">
        <f aca="false">IFERROR(__xludf.dummyfunction("""COMPUTED_VALUE"""),"Trangnth2")</f>
        <v>Trangnth2</v>
      </c>
      <c r="L172" s="68" t="str">
        <f aca="false">IFERROR(__xludf.dummyfunction("""COMPUTED_VALUE"""),"Kiều Bảo Minh")</f>
        <v>Kiều Bảo Minh</v>
      </c>
      <c r="M172" s="71"/>
      <c r="N172" s="76" t="str">
        <f aca="false">IFERROR(__xludf.dummyfunction("""COMPUTED_VALUE"""),"3119")</f>
        <v>3119</v>
      </c>
      <c r="O172" s="63" t="n">
        <f aca="false">IFERROR(__xludf.dummyfunction("""COMPUTED_VALUE"""),167521)</f>
        <v>167521</v>
      </c>
      <c r="P172" s="63"/>
      <c r="Q172" s="63"/>
      <c r="R172" s="41"/>
      <c r="S172" s="41"/>
      <c r="T172" s="63"/>
      <c r="U172" s="63" t="n">
        <f aca="false">IFERROR(__xludf.dummyfunction("""COMPUTED_VALUE"""),10462)</f>
        <v>10462</v>
      </c>
      <c r="V172" s="70" t="n">
        <f aca="false">IFERROR(__xludf.dummyfunction("""COMPUTED_VALUE"""),46229)</f>
        <v>46229</v>
      </c>
      <c r="W172" s="39" t="str">
        <f aca="false">IFERROR(__xludf.dummyfunction("""COMPUTED_VALUE"""),"Hoàn thành XB")</f>
        <v>Hoàn thành XB</v>
      </c>
      <c r="X172" s="41" t="str">
        <f aca="false">IFERROR(__xludf.dummyfunction("""COMPUTED_VALUE"""),"Trangnth2")</f>
        <v>Trangnth2</v>
      </c>
      <c r="Y172" s="44" t="str">
        <f aca="false">IFERROR(__xludf.dummyfunction("""COMPUTED_VALUE"""),"done")</f>
        <v>done</v>
      </c>
      <c r="Z172" s="57" t="str">
        <f aca="false">IFERROR(__xludf.dummyfunction("""COMPUTED_VALUE"""),"#N/A")</f>
        <v>#N/A</v>
      </c>
      <c r="AA172" s="57"/>
      <c r="AB172" s="41" t="n">
        <f aca="false">IFERROR(__xludf.dummyfunction("""COMPUTED_VALUE"""),7)</f>
        <v>7</v>
      </c>
      <c r="AC172" s="57" t="str">
        <f aca="false">IFERROR(__xludf.dummyfunction("""COMPUTED_VALUE"""),"gv.tinhnh@hocmai.edu.vn ")</f>
        <v>gv.tinhnh@hocmai.edu.vn </v>
      </c>
      <c r="AD172" s="46" t="str">
        <f aca="false">IFERROR(__xludf.dummyfunction("""COMPUTED_VALUE"""),"mkieu2662@gmail.com")</f>
        <v>mkieu2662@gmail.com</v>
      </c>
      <c r="AE172" s="46"/>
      <c r="AF172" s="74" t="b">
        <f aca="false">IFERROR(__xludf.dummyfunction("""COMPUTED_VALUE"""),FALSE())</f>
        <v>0</v>
      </c>
      <c r="AG172" s="46" t="str">
        <f aca="false">IFERROR(__xludf.dummyfunction("""COMPUTED_VALUE"""),"")</f>
        <v/>
      </c>
      <c r="AH172" s="35"/>
      <c r="AI172" s="35"/>
      <c r="AJ172" s="53" t="b">
        <f aca="false">IFERROR(__xludf.dummyfunction("""COMPUTED_VALUE"""),TRUE())</f>
        <v>1</v>
      </c>
      <c r="AK172" s="53" t="b">
        <f aca="false">IFERROR(__xludf.dummyfunction("""COMPUTED_VALUE"""),TRUE())</f>
        <v>1</v>
      </c>
      <c r="AL172" s="35"/>
      <c r="AM172" s="35"/>
      <c r="AN172" s="35"/>
      <c r="AO172" s="46"/>
    </row>
    <row r="173" customFormat="false" ht="15.75" hidden="false" customHeight="true" outlineLevel="0" collapsed="false">
      <c r="A173" s="37" t="str">
        <f aca="false">IFERROR(__xludf.dummyfunction("""COMPUTED_VALUE"""),"Toán")</f>
        <v>Toán</v>
      </c>
      <c r="B173" s="37" t="str">
        <f aca="false">IFERROR(__xludf.dummyfunction("""COMPUTED_VALUE"""),"TOA_V-ACT_T06")</f>
        <v>TOA_V-ACT_T06</v>
      </c>
      <c r="C173" s="59" t="str">
        <f aca="false">IFERROR(__xludf.dummyfunction("""COMPUTED_VALUE"""),"Phương pháp và kĩ năng xử lí bài toán dãy số, cấp số cộng, cấp số nhân (P1)")</f>
        <v>Phương pháp và kĩ năng xử lí bài toán dãy số, cấp số cộng, cấp số nhân (P1)</v>
      </c>
      <c r="D173" s="39" t="str">
        <f aca="false">IFERROR(__xludf.dummyfunction("""COMPUTED_VALUE"""),"Nguyễn Hoài Nam")</f>
        <v>Nguyễn Hoài Nam</v>
      </c>
      <c r="E173" s="40" t="n">
        <f aca="false">IFERROR(__xludf.dummyfunction("""COMPUTED_VALUE"""),46226)</f>
        <v>46226</v>
      </c>
      <c r="F173" s="41" t="n">
        <f aca="false">IFERROR(__xludf.dummyfunction("""COMPUTED_VALUE"""),5)</f>
        <v>5</v>
      </c>
      <c r="G173" s="37" t="str">
        <f aca="false">IFERROR(__xludf.dummyfunction("""COMPUTED_VALUE"""),"21:00-22:30")</f>
        <v>21:00-22:30</v>
      </c>
      <c r="H173" s="37"/>
      <c r="I173" s="37"/>
      <c r="J173" s="42" t="str">
        <f aca="false">IFERROR(__xludf.dummyfunction("""COMPUTED_VALUE"""),"https://drive.google.com/drive/folders/1GQ2nvLTQAWzD1OD9rASX4lgDqePmYF06?usp=sharing")</f>
        <v>https://drive.google.com/drive/folders/1GQ2nvLTQAWzD1OD9rASX4lgDqePmYF06?usp=sharing</v>
      </c>
      <c r="K173" s="68" t="str">
        <f aca="false">IFERROR(__xludf.dummyfunction("""COMPUTED_VALUE"""),"Lent")</f>
        <v>Lent</v>
      </c>
      <c r="L173" s="68" t="str">
        <f aca="false">IFERROR(__xludf.dummyfunction("""COMPUTED_VALUE"""),"Lường Nhật Nam")</f>
        <v>Lường Nhật Nam</v>
      </c>
      <c r="M173" s="71"/>
      <c r="N173" s="77" t="str">
        <f aca="false">IFERROR(__xludf.dummyfunction("""COMPUTED_VALUE"""),"3124,3316")</f>
        <v>3124,3316</v>
      </c>
      <c r="O173" s="73" t="n">
        <f aca="false">IFERROR(__xludf.dummyfunction("""COMPUTED_VALUE"""),167191.16686)</f>
        <v>167191.16686</v>
      </c>
      <c r="P173" s="63" t="n">
        <f aca="false">IFERROR(__xludf.dummyfunction("""COMPUTED_VALUE"""),9044.9108)</f>
        <v>9044.9108</v>
      </c>
      <c r="Q173" s="63" t="n">
        <f aca="false">IFERROR(__xludf.dummyfunction("""COMPUTED_VALUE"""),167191)</f>
        <v>167191</v>
      </c>
      <c r="R173" s="41" t="n">
        <f aca="false">IFERROR(__xludf.dummyfunction("""COMPUTED_VALUE"""),166860)</f>
        <v>166860</v>
      </c>
      <c r="S173" s="41"/>
      <c r="T173" s="63"/>
      <c r="U173" s="63"/>
      <c r="V173" s="70" t="n">
        <f aca="false">IFERROR(__xludf.dummyfunction("""COMPUTED_VALUE"""),46229)</f>
        <v>46229</v>
      </c>
      <c r="W173" s="39" t="str">
        <f aca="false">IFERROR(__xludf.dummyfunction("""COMPUTED_VALUE"""),"Hoàn thành XB")</f>
        <v>Hoàn thành XB</v>
      </c>
      <c r="X173" s="41" t="str">
        <f aca="false">IFERROR(__xludf.dummyfunction("""COMPUTED_VALUE"""),"Lent")</f>
        <v>Lent</v>
      </c>
      <c r="Y173" s="44" t="str">
        <f aca="false">IFERROR(__xludf.dummyfunction("""COMPUTED_VALUE"""),"done")</f>
        <v>done</v>
      </c>
      <c r="Z173" s="57" t="str">
        <f aca="false">IFERROR(__xludf.dummyfunction("""COMPUTED_VALUE"""),"#N/A")</f>
        <v>#N/A</v>
      </c>
      <c r="AA173" s="57"/>
      <c r="AB173" s="41" t="n">
        <f aca="false">IFERROR(__xludf.dummyfunction("""COMPUTED_VALUE"""),7)</f>
        <v>7</v>
      </c>
      <c r="AC173" s="57" t="str">
        <f aca="false">IFERROR(__xludf.dummyfunction("""COMPUTED_VALUE"""),"gv.namnh@hocmai.edu.vn ")</f>
        <v>gv.namnh@hocmai.edu.vn </v>
      </c>
      <c r="AD173" s="46" t="str">
        <f aca="false">IFERROR(__xludf.dummyfunction("""COMPUTED_VALUE"""),"nhatnam1092@gmail.com")</f>
        <v>nhatnam1092@gmail.com</v>
      </c>
      <c r="AE173" s="46"/>
      <c r="AF173" s="47" t="str">
        <f aca="false">IFERROR(__xludf.dummyfunction("""COMPUTED_VALUE"""),"lophoctoan-946226")</f>
        <v>lophoctoan-946226</v>
      </c>
      <c r="AG173" s="46" t="str">
        <f aca="false">IFERROR(__xludf.dummyfunction("""COMPUTED_VALUE"""),"")</f>
        <v/>
      </c>
      <c r="AH173" s="35"/>
      <c r="AI173" s="35"/>
      <c r="AJ173" s="35"/>
      <c r="AK173" s="35"/>
      <c r="AL173" s="35"/>
      <c r="AM173" s="53" t="b">
        <f aca="false">IFERROR(__xludf.dummyfunction("""COMPUTED_VALUE"""),TRUE())</f>
        <v>1</v>
      </c>
      <c r="AN173" s="53" t="b">
        <f aca="false">IFERROR(__xludf.dummyfunction("""COMPUTED_VALUE"""),TRUE())</f>
        <v>1</v>
      </c>
      <c r="AO173" s="46"/>
    </row>
    <row r="174" customFormat="false" ht="15.75" hidden="false" customHeight="true" outlineLevel="0" collapsed="false">
      <c r="A174" s="37" t="str">
        <f aca="false">IFERROR(__xludf.dummyfunction("""COMPUTED_VALUE"""),"Thực chiến Khoa học")</f>
        <v>Thực chiến Khoa học</v>
      </c>
      <c r="B174" s="37" t="str">
        <f aca="false">IFERROR(__xludf.dummyfunction("""COMPUTED_VALUE"""),"TC_TSA_KH_08")</f>
        <v>TC_TSA_KH_08</v>
      </c>
      <c r="C174" s="59" t="str">
        <f aca="false">IFERROR(__xludf.dummyfunction("""COMPUTED_VALUE"""),"[Bổ trợ]_Chữa bài tập TSA_Tư duy Khoa học số 08")</f>
        <v>[Bổ trợ]_Chữa bài tập TSA_Tư duy Khoa học số 08</v>
      </c>
      <c r="D174" s="39" t="str">
        <f aca="false">IFERROR(__xludf.dummyfunction("""COMPUTED_VALUE"""),"Phạm Huy Hoàng")</f>
        <v>Phạm Huy Hoàng</v>
      </c>
      <c r="E174" s="40" t="n">
        <f aca="false">IFERROR(__xludf.dummyfunction("""COMPUTED_VALUE"""),46226)</f>
        <v>46226</v>
      </c>
      <c r="F174" s="41" t="n">
        <f aca="false">IFERROR(__xludf.dummyfunction("""COMPUTED_VALUE"""),5)</f>
        <v>5</v>
      </c>
      <c r="G174" s="37" t="str">
        <f aca="false">IFERROR(__xludf.dummyfunction("""COMPUTED_VALUE"""),"19:00-20:00")</f>
        <v>19:00-20:00</v>
      </c>
      <c r="H174" s="37"/>
      <c r="I174" s="37"/>
      <c r="J174" s="42" t="str">
        <f aca="false">IFERROR(__xludf.dummyfunction("""COMPUTED_VALUE"""),"https://drive.google.com/drive/folders/1jNe-bZ9AHDlmOFPi7L2JTTc695hmWisE?usp=drive_link")</f>
        <v>https://drive.google.com/drive/folders/1jNe-bZ9AHDlmOFPi7L2JTTc695hmWisE?usp=drive_link</v>
      </c>
      <c r="K174" s="68" t="str">
        <f aca="false">IFERROR(__xludf.dummyfunction("""COMPUTED_VALUE"""),"Trangnth2")</f>
        <v>Trangnth2</v>
      </c>
      <c r="L174" s="68" t="str">
        <f aca="false">IFERROR(__xludf.dummyfunction("""COMPUTED_VALUE"""),"HOCMAI")</f>
        <v>HOCMAI</v>
      </c>
      <c r="M174" s="71"/>
      <c r="N174" s="77" t="str">
        <f aca="false">IFERROR(__xludf.dummyfunction("""COMPUTED_VALUE"""),"3110")</f>
        <v>3110</v>
      </c>
      <c r="O174" s="63" t="n">
        <f aca="false">IFERROR(__xludf.dummyfunction("""COMPUTED_VALUE"""),175131)</f>
        <v>175131</v>
      </c>
      <c r="P174" s="60" t="str">
        <f aca="false">IFERROR(__xludf.dummyfunction("""COMPUTED_VALUE"""),"https://hocmai.vn/bai-giang-truc-tuyen/175131/.html")</f>
        <v>https://hocmai.vn/bai-giang-truc-tuyen/175131/.html</v>
      </c>
      <c r="Q174" s="63"/>
      <c r="R174" s="41"/>
      <c r="S174" s="41"/>
      <c r="T174" s="63"/>
      <c r="U174" s="63"/>
      <c r="V174" s="70" t="n">
        <f aca="false">IFERROR(__xludf.dummyfunction("""COMPUTED_VALUE"""),46229)</f>
        <v>46229</v>
      </c>
      <c r="W174" s="39" t="str">
        <f aca="false">IFERROR(__xludf.dummyfunction("""COMPUTED_VALUE"""),"Hoàn thành XB")</f>
        <v>Hoàn thành XB</v>
      </c>
      <c r="X174" s="41" t="str">
        <f aca="false">IFERROR(__xludf.dummyfunction("""COMPUTED_VALUE"""),"Vuta")</f>
        <v>Vuta</v>
      </c>
      <c r="Y174" s="44"/>
      <c r="Z174" s="57"/>
      <c r="AA174" s="57"/>
      <c r="AB174" s="41" t="n">
        <f aca="false">IFERROR(__xludf.dummyfunction("""COMPUTED_VALUE"""),7)</f>
        <v>7</v>
      </c>
      <c r="AC174" s="57" t="str">
        <f aca="false">IFERROR(__xludf.dummyfunction("""COMPUTED_VALUE"""),"0376611308")</f>
        <v>0376611308</v>
      </c>
      <c r="AD174" s="46"/>
      <c r="AE174" s="46"/>
      <c r="AF174" s="47"/>
      <c r="AG174" s="46"/>
      <c r="AH174" s="53" t="b">
        <f aca="false">IFERROR(__xludf.dummyfunction("""COMPUTED_VALUE"""),FALSE())</f>
        <v>0</v>
      </c>
      <c r="AI174" s="53" t="b">
        <f aca="false">IFERROR(__xludf.dummyfunction("""COMPUTED_VALUE"""),TRUE())</f>
        <v>1</v>
      </c>
      <c r="AJ174" s="53" t="b">
        <f aca="false">IFERROR(__xludf.dummyfunction("""COMPUTED_VALUE"""),FALSE())</f>
        <v>0</v>
      </c>
      <c r="AK174" s="53" t="b">
        <f aca="false">IFERROR(__xludf.dummyfunction("""COMPUTED_VALUE"""),FALSE())</f>
        <v>0</v>
      </c>
      <c r="AL174" s="53" t="b">
        <f aca="false">IFERROR(__xludf.dummyfunction("""COMPUTED_VALUE"""),FALSE())</f>
        <v>0</v>
      </c>
      <c r="AM174" s="53" t="b">
        <f aca="false">IFERROR(__xludf.dummyfunction("""COMPUTED_VALUE"""),FALSE())</f>
        <v>0</v>
      </c>
      <c r="AN174" s="53" t="b">
        <f aca="false">IFERROR(__xludf.dummyfunction("""COMPUTED_VALUE"""),FALSE())</f>
        <v>0</v>
      </c>
      <c r="AO174" s="46"/>
    </row>
    <row r="175" customFormat="false" ht="15.75" hidden="false" customHeight="true" outlineLevel="0" collapsed="false">
      <c r="A175" s="37" t="str">
        <f aca="false">IFERROR(__xludf.dummyfunction("""COMPUTED_VALUE"""),"Toán")</f>
        <v>Toán</v>
      </c>
      <c r="B175" s="37" t="str">
        <f aca="false">IFERROR(__xludf.dummyfunction("""COMPUTED_VALUE"""),"TOV_TSA_T06")</f>
        <v>TOV_TSA_T06</v>
      </c>
      <c r="C175" s="59" t="str">
        <f aca="false">IFERROR(__xludf.dummyfunction("""COMPUTED_VALUE"""),"Các bài toán tổ hợp – xác suất liên quan tới tam giác, tứ giác")</f>
        <v>Các bài toán tổ hợp – xác suất liên quan tới tam giác, tứ giác</v>
      </c>
      <c r="D175" s="39" t="str">
        <f aca="false">IFERROR(__xludf.dummyfunction("""COMPUTED_VALUE"""),"Nguyễn Thanh Tùng")</f>
        <v>Nguyễn Thanh Tùng</v>
      </c>
      <c r="E175" s="40" t="n">
        <f aca="false">IFERROR(__xludf.dummyfunction("""COMPUTED_VALUE"""),46227)</f>
        <v>46227</v>
      </c>
      <c r="F175" s="41" t="n">
        <f aca="false">IFERROR(__xludf.dummyfunction("""COMPUTED_VALUE"""),6)</f>
        <v>6</v>
      </c>
      <c r="G175" s="37" t="str">
        <f aca="false">IFERROR(__xludf.dummyfunction("""COMPUTED_VALUE"""),"18:00-20:00")</f>
        <v>18:00-20:00</v>
      </c>
      <c r="H175" s="37"/>
      <c r="I175" s="37"/>
      <c r="J175" s="42" t="str">
        <f aca="false">IFERROR(__xludf.dummyfunction("""COMPUTED_VALUE"""),"https://drive.google.com/drive/folders/1X6LhPvWEFQZBn9nbfCTd2_bDj-xyj4l5?usp=drive_link")</f>
        <v>https://drive.google.com/drive/folders/1X6LhPvWEFQZBn9nbfCTd2_bDj-xyj4l5?usp=drive_link</v>
      </c>
      <c r="K175" s="68" t="str">
        <f aca="false">IFERROR(__xludf.dummyfunction("""COMPUTED_VALUE"""),"Locdd")</f>
        <v>Locdd</v>
      </c>
      <c r="L175" s="68" t="str">
        <f aca="false">IFERROR(__xludf.dummyfunction("""COMPUTED_VALUE"""),"Tưởng Thị Huyền Trang")</f>
        <v>Tưởng Thị Huyền Trang</v>
      </c>
      <c r="M175" s="71"/>
      <c r="N175" s="77" t="str">
        <f aca="false">IFERROR(__xludf.dummyfunction("""COMPUTED_VALUE"""),"3108")</f>
        <v>3108</v>
      </c>
      <c r="O175" s="63" t="n">
        <f aca="false">IFERROR(__xludf.dummyfunction("""COMPUTED_VALUE"""),168366)</f>
        <v>168366</v>
      </c>
      <c r="P175" s="63"/>
      <c r="Q175" s="63"/>
      <c r="R175" s="41"/>
      <c r="S175" s="41"/>
      <c r="T175" s="63"/>
      <c r="U175" s="63"/>
      <c r="V175" s="70" t="n">
        <f aca="false">IFERROR(__xludf.dummyfunction("""COMPUTED_VALUE"""),46230)</f>
        <v>46230</v>
      </c>
      <c r="W175" s="39"/>
      <c r="X175" s="41" t="str">
        <f aca="false">IFERROR(__xludf.dummyfunction("""COMPUTED_VALUE"""),"Locdd")</f>
        <v>Locdd</v>
      </c>
      <c r="Y175" s="44" t="str">
        <f aca="false">IFERROR(__xludf.dummyfunction("""COMPUTED_VALUE"""),"done")</f>
        <v>done</v>
      </c>
      <c r="Z175" s="57" t="str">
        <f aca="false">IFERROR(__xludf.dummyfunction("""COMPUTED_VALUE"""),"#N/A")</f>
        <v>#N/A</v>
      </c>
      <c r="AA175" s="57"/>
      <c r="AB175" s="41" t="n">
        <f aca="false">IFERROR(__xludf.dummyfunction("""COMPUTED_VALUE"""),7)</f>
        <v>7</v>
      </c>
      <c r="AC175" s="57" t="str">
        <f aca="false">IFERROR(__xludf.dummyfunction("""COMPUTED_VALUE"""),"gv.tungnt@hocmai.edu.vn ")</f>
        <v>gv.tungnt@hocmai.edu.vn </v>
      </c>
      <c r="AD175" s="46" t="str">
        <f aca="false">IFERROR(__xludf.dummyfunction("""COMPUTED_VALUE"""),"trangcrazy699@gmail.com")</f>
        <v>trangcrazy699@gmail.com</v>
      </c>
      <c r="AE175" s="46"/>
      <c r="AF175" s="47" t="str">
        <f aca="false">IFERROR(__xludf.dummyfunction("""COMPUTED_VALUE"""),"lophoctoan-946227")</f>
        <v>lophoctoan-946227</v>
      </c>
      <c r="AG175" s="46" t="str">
        <f aca="false">IFERROR(__xludf.dummyfunction("""COMPUTED_VALUE"""),"")</f>
        <v/>
      </c>
      <c r="AH175" s="35"/>
      <c r="AI175" s="53" t="b">
        <f aca="false">IFERROR(__xludf.dummyfunction("""COMPUTED_VALUE"""),TRUE())</f>
        <v>1</v>
      </c>
      <c r="AJ175" s="35"/>
      <c r="AK175" s="35"/>
      <c r="AL175" s="35"/>
      <c r="AM175" s="35"/>
      <c r="AN175" s="35"/>
      <c r="AO175" s="46"/>
    </row>
    <row r="176" customFormat="false" ht="15.75" hidden="false" customHeight="true" outlineLevel="0" collapsed="false">
      <c r="A176" s="37" t="str">
        <f aca="false">IFERROR(__xludf.dummyfunction("""COMPUTED_VALUE"""),"Sinh học")</f>
        <v>Sinh học</v>
      </c>
      <c r="B176" s="37" t="str">
        <f aca="false">IFERROR(__xludf.dummyfunction("""COMPUTED_VALUE"""),"TOV_HSA_SH06")</f>
        <v>TOV_HSA_SH06</v>
      </c>
      <c r="C176" s="59" t="str">
        <f aca="false">IFERROR(__xludf.dummyfunction("""COMPUTED_VALUE"""),"Vi sinh vật – Virus – Công nghệ vi sinh + Chuyên đề tình huống")</f>
        <v>Vi sinh vật – Virus – Công nghệ vi sinh + Chuyên đề tình huống</v>
      </c>
      <c r="D176" s="39" t="str">
        <f aca="false">IFERROR(__xludf.dummyfunction("""COMPUTED_VALUE"""),"Nguyễn Dương Ánh Hồng")</f>
        <v>Nguyễn Dương Ánh Hồng</v>
      </c>
      <c r="E176" s="40" t="n">
        <f aca="false">IFERROR(__xludf.dummyfunction("""COMPUTED_VALUE"""),46227)</f>
        <v>46227</v>
      </c>
      <c r="F176" s="41" t="n">
        <f aca="false">IFERROR(__xludf.dummyfunction("""COMPUTED_VALUE"""),6)</f>
        <v>6</v>
      </c>
      <c r="G176" s="37" t="str">
        <f aca="false">IFERROR(__xludf.dummyfunction("""COMPUTED_VALUE"""),"19:30-21:30")</f>
        <v>19:30-21:30</v>
      </c>
      <c r="H176" s="37"/>
      <c r="I176" s="37"/>
      <c r="J176" s="42" t="str">
        <f aca="false">IFERROR(__xludf.dummyfunction("""COMPUTED_VALUE"""),"https://drive.google.com/drive/folders/1BFlo7sQNQArxvwhodfKGwwwch8UuW15j?usp=sharing")</f>
        <v>https://drive.google.com/drive/folders/1BFlo7sQNQArxvwhodfKGwwwch8UuW15j?usp=sharing</v>
      </c>
      <c r="K176" s="68" t="str">
        <f aca="false">IFERROR(__xludf.dummyfunction("""COMPUTED_VALUE"""),"Phuongdt")</f>
        <v>Phuongdt</v>
      </c>
      <c r="L176" s="68" t="str">
        <f aca="false">IFERROR(__xludf.dummyfunction("""COMPUTED_VALUE"""),"Phan Đức Kiên")</f>
        <v>Phan Đức Kiên</v>
      </c>
      <c r="M176" s="71"/>
      <c r="N176" s="77" t="str">
        <f aca="false">IFERROR(__xludf.dummyfunction("""COMPUTED_VALUE"""),"3121")</f>
        <v>3121</v>
      </c>
      <c r="O176" s="63" t="n">
        <f aca="false">IFERROR(__xludf.dummyfunction("""COMPUTED_VALUE"""),167323)</f>
        <v>167323</v>
      </c>
      <c r="P176" s="63"/>
      <c r="Q176" s="63"/>
      <c r="R176" s="41"/>
      <c r="S176" s="41"/>
      <c r="T176" s="63" t="n">
        <f aca="false">IFERROR(__xludf.dummyfunction("""COMPUTED_VALUE"""),23586)</f>
        <v>23586</v>
      </c>
      <c r="U176" s="63"/>
      <c r="V176" s="70" t="n">
        <f aca="false">IFERROR(__xludf.dummyfunction("""COMPUTED_VALUE"""),46230)</f>
        <v>46230</v>
      </c>
      <c r="W176" s="39" t="str">
        <f aca="false">IFERROR(__xludf.dummyfunction("""COMPUTED_VALUE"""),"Hoàn thành XB")</f>
        <v>Hoàn thành XB</v>
      </c>
      <c r="X176" s="41" t="str">
        <f aca="false">IFERROR(__xludf.dummyfunction("""COMPUTED_VALUE"""),"Phuongdt")</f>
        <v>Phuongdt</v>
      </c>
      <c r="Y176" s="44" t="str">
        <f aca="false">IFERROR(__xludf.dummyfunction("""COMPUTED_VALUE"""),"done")</f>
        <v>done</v>
      </c>
      <c r="Z176" s="57" t="str">
        <f aca="false">IFERROR(__xludf.dummyfunction("""COMPUTED_VALUE"""),"#N/A")</f>
        <v>#N/A</v>
      </c>
      <c r="AA176" s="57"/>
      <c r="AB176" s="41" t="n">
        <f aca="false">IFERROR(__xludf.dummyfunction("""COMPUTED_VALUE"""),7)</f>
        <v>7</v>
      </c>
      <c r="AC176" s="57" t="str">
        <f aca="false">IFERROR(__xludf.dummyfunction("""COMPUTED_VALUE"""),"gv.hongnda@hocmai.edu.vn ")</f>
        <v>gv.hongnda@hocmai.edu.vn </v>
      </c>
      <c r="AD176" s="46" t="str">
        <f aca="false">IFERROR(__xludf.dummyfunction("""COMPUTED_VALUE"""),"duckien010607@gmail.com")</f>
        <v>duckien010607@gmail.com</v>
      </c>
      <c r="AE176" s="46"/>
      <c r="AF176" s="74" t="b">
        <f aca="false">IFERROR(__xludf.dummyfunction("""COMPUTED_VALUE"""),FALSE())</f>
        <v>0</v>
      </c>
      <c r="AG176" s="46" t="str">
        <f aca="false">IFERROR(__xludf.dummyfunction("""COMPUTED_VALUE"""),"")</f>
        <v/>
      </c>
      <c r="AH176" s="35"/>
      <c r="AI176" s="35"/>
      <c r="AJ176" s="53" t="b">
        <f aca="false">IFERROR(__xludf.dummyfunction("""COMPUTED_VALUE"""),TRUE())</f>
        <v>1</v>
      </c>
      <c r="AK176" s="53" t="b">
        <f aca="false">IFERROR(__xludf.dummyfunction("""COMPUTED_VALUE"""),TRUE())</f>
        <v>1</v>
      </c>
      <c r="AL176" s="35"/>
      <c r="AM176" s="35"/>
      <c r="AN176" s="35"/>
      <c r="AO176" s="46"/>
    </row>
    <row r="177" customFormat="false" ht="15.75" hidden="false" customHeight="true" outlineLevel="0" collapsed="false">
      <c r="A177" s="37" t="str">
        <f aca="false">IFERROR(__xludf.dummyfunction("""COMPUTED_VALUE"""),"Lịch sử")</f>
        <v>Lịch sử</v>
      </c>
      <c r="B177" s="37" t="str">
        <f aca="false">IFERROR(__xludf.dummyfunction("""COMPUTED_VALUE"""),"TOV_HSA_LS03")</f>
        <v>TOV_HSA_LS03</v>
      </c>
      <c r="C177" s="59" t="str">
        <f aca="false">IFERROR(__xludf.dummyfunction("""COMPUTED_VALUE"""),"Văn minh Đông Nam Á thời cổ trung đại")</f>
        <v>Văn minh Đông Nam Á thời cổ trung đại</v>
      </c>
      <c r="D177" s="39" t="str">
        <f aca="false">IFERROR(__xludf.dummyfunction("""COMPUTED_VALUE"""),"Dương Thị Huyền")</f>
        <v>Dương Thị Huyền</v>
      </c>
      <c r="E177" s="40" t="n">
        <f aca="false">IFERROR(__xludf.dummyfunction("""COMPUTED_VALUE"""),46227)</f>
        <v>46227</v>
      </c>
      <c r="F177" s="41" t="n">
        <f aca="false">IFERROR(__xludf.dummyfunction("""COMPUTED_VALUE"""),6)</f>
        <v>6</v>
      </c>
      <c r="G177" s="37" t="str">
        <f aca="false">IFERROR(__xludf.dummyfunction("""COMPUTED_VALUE"""),"21:30-23:30")</f>
        <v>21:30-23:30</v>
      </c>
      <c r="H177" s="37"/>
      <c r="I177" s="37"/>
      <c r="J177" s="42" t="str">
        <f aca="false">IFERROR(__xludf.dummyfunction("""COMPUTED_VALUE"""),"https://drive.google.com/drive/folders/1SOTe9qjdqel_gxOP-yKM4CHcCobMoWBW")</f>
        <v>https://drive.google.com/drive/folders/1SOTe9qjdqel_gxOP-yKM4CHcCobMoWBW</v>
      </c>
      <c r="K177" s="68" t="str">
        <f aca="false">IFERROR(__xludf.dummyfunction("""COMPUTED_VALUE"""),"Trinhntt")</f>
        <v>Trinhntt</v>
      </c>
      <c r="L177" s="68" t="str">
        <f aca="false">IFERROR(__xludf.dummyfunction("""COMPUTED_VALUE"""),"Phan Đức Kiên")</f>
        <v>Phan Đức Kiên</v>
      </c>
      <c r="M177" s="71"/>
      <c r="N177" s="77" t="str">
        <f aca="false">IFERROR(__xludf.dummyfunction("""COMPUTED_VALUE"""),"3122")</f>
        <v>3122</v>
      </c>
      <c r="O177" s="63" t="n">
        <f aca="false">IFERROR(__xludf.dummyfunction("""COMPUTED_VALUE"""),174730)</f>
        <v>174730</v>
      </c>
      <c r="P177" s="63"/>
      <c r="Q177" s="63"/>
      <c r="R177" s="41"/>
      <c r="S177" s="41"/>
      <c r="T177" s="63"/>
      <c r="U177" s="63"/>
      <c r="V177" s="70" t="n">
        <f aca="false">IFERROR(__xludf.dummyfunction("""COMPUTED_VALUE"""),46230)</f>
        <v>46230</v>
      </c>
      <c r="W177" s="39" t="str">
        <f aca="false">IFERROR(__xludf.dummyfunction("""COMPUTED_VALUE"""),"Hoàn thành XB")</f>
        <v>Hoàn thành XB</v>
      </c>
      <c r="X177" s="41" t="str">
        <f aca="false">IFERROR(__xludf.dummyfunction("""COMPUTED_VALUE"""),"Huent7")</f>
        <v>Huent7</v>
      </c>
      <c r="Y177" s="44"/>
      <c r="Z177" s="57" t="str">
        <f aca="false">IFERROR(__xludf.dummyfunction("""COMPUTED_VALUE"""),"#N/A")</f>
        <v>#N/A</v>
      </c>
      <c r="AA177" s="57"/>
      <c r="AB177" s="41"/>
      <c r="AC177" s="57" t="str">
        <f aca="false">IFERROR(__xludf.dummyfunction("""COMPUTED_VALUE"""),"gv.huyendt2@hocmai.edu.vn")</f>
        <v>gv.huyendt2@hocmai.edu.vn</v>
      </c>
      <c r="AD177" s="46" t="str">
        <f aca="false">IFERROR(__xludf.dummyfunction("""COMPUTED_VALUE"""),"duckien010607@gmail.com")</f>
        <v>duckien010607@gmail.com</v>
      </c>
      <c r="AE177" s="46"/>
      <c r="AF177" s="74" t="b">
        <f aca="false">IFERROR(__xludf.dummyfunction("""COMPUTED_VALUE"""),FALSE())</f>
        <v>0</v>
      </c>
      <c r="AG177" s="46" t="str">
        <f aca="false">IFERROR(__xludf.dummyfunction("""COMPUTED_VALUE"""),"")</f>
        <v/>
      </c>
      <c r="AH177" s="35"/>
      <c r="AI177" s="35"/>
      <c r="AJ177" s="53" t="b">
        <f aca="false">IFERROR(__xludf.dummyfunction("""COMPUTED_VALUE"""),TRUE())</f>
        <v>1</v>
      </c>
      <c r="AK177" s="53" t="b">
        <f aca="false">IFERROR(__xludf.dummyfunction("""COMPUTED_VALUE"""),TRUE())</f>
        <v>1</v>
      </c>
      <c r="AL177" s="35"/>
      <c r="AM177" s="35"/>
      <c r="AN177" s="35"/>
      <c r="AO177" s="46"/>
    </row>
    <row r="178" customFormat="false" ht="15.75" hidden="false" customHeight="true" outlineLevel="0" collapsed="false">
      <c r="A178" s="37" t="str">
        <f aca="false">IFERROR(__xludf.dummyfunction("""COMPUTED_VALUE"""),"Thực chiến Toán")</f>
        <v>Thực chiến Toán</v>
      </c>
      <c r="B178" s="37" t="str">
        <f aca="false">IFERROR(__xludf.dummyfunction("""COMPUTED_VALUE"""),"TC_V-ACT_T_05")</f>
        <v>TC_V-ACT_T_05</v>
      </c>
      <c r="C178" s="59" t="str">
        <f aca="false">IFERROR(__xludf.dummyfunction("""COMPUTED_VALUE"""),"[Bổ trợ]_Chữa bài tập_V-ACT_Toán số 05")</f>
        <v>[Bổ trợ]_Chữa bài tập_V-ACT_Toán số 05</v>
      </c>
      <c r="D178" s="39" t="str">
        <f aca="false">IFERROR(__xludf.dummyfunction("""COMPUTED_VALUE"""),"Lê Thế Anh")</f>
        <v>Lê Thế Anh</v>
      </c>
      <c r="E178" s="40" t="n">
        <f aca="false">IFERROR(__xludf.dummyfunction("""COMPUTED_VALUE"""),46227)</f>
        <v>46227</v>
      </c>
      <c r="F178" s="41" t="n">
        <f aca="false">IFERROR(__xludf.dummyfunction("""COMPUTED_VALUE"""),6)</f>
        <v>6</v>
      </c>
      <c r="G178" s="37" t="str">
        <f aca="false">IFERROR(__xludf.dummyfunction("""COMPUTED_VALUE"""),"18:45-19:45")</f>
        <v>18:45-19:45</v>
      </c>
      <c r="H178" s="37"/>
      <c r="I178" s="37"/>
      <c r="J178" s="42" t="str">
        <f aca="false">IFERROR(__xludf.dummyfunction("""COMPUTED_VALUE"""),"https://drive.google.com/drive/folders/1oS-t62F8Nv64R0CH_2HVaBy2VurYUr8k?usp=sharing")</f>
        <v>https://drive.google.com/drive/folders/1oS-t62F8Nv64R0CH_2HVaBy2VurYUr8k?usp=sharing</v>
      </c>
      <c r="K178" s="68" t="str">
        <f aca="false">IFERROR(__xludf.dummyfunction("""COMPUTED_VALUE"""),"lent")</f>
        <v>lent</v>
      </c>
      <c r="L178" s="68" t="str">
        <f aca="false">IFERROR(__xludf.dummyfunction("""COMPUTED_VALUE"""),"HOCMAI")</f>
        <v>HOCMAI</v>
      </c>
      <c r="M178" s="71"/>
      <c r="N178" s="77" t="str">
        <f aca="false">IFERROR(__xludf.dummyfunction("""COMPUTED_VALUE"""),"3124")</f>
        <v>3124</v>
      </c>
      <c r="O178" s="63" t="n">
        <f aca="false">IFERROR(__xludf.dummyfunction("""COMPUTED_VALUE"""),175180)</f>
        <v>175180</v>
      </c>
      <c r="P178" s="60" t="str">
        <f aca="false">IFERROR(__xludf.dummyfunction("""COMPUTED_VALUE"""),"https://hocmai.vn/bai-giang-truc-tuyen/175180/.html")</f>
        <v>https://hocmai.vn/bai-giang-truc-tuyen/175180/.html</v>
      </c>
      <c r="Q178" s="63"/>
      <c r="R178" s="41"/>
      <c r="S178" s="41"/>
      <c r="T178" s="63"/>
      <c r="U178" s="63"/>
      <c r="V178" s="70" t="n">
        <f aca="false">IFERROR(__xludf.dummyfunction("""COMPUTED_VALUE"""),46230)</f>
        <v>46230</v>
      </c>
      <c r="W178" s="39" t="str">
        <f aca="false">IFERROR(__xludf.dummyfunction("""COMPUTED_VALUE"""),"Hoàn thành XB")</f>
        <v>Hoàn thành XB</v>
      </c>
      <c r="X178" s="41" t="str">
        <f aca="false">IFERROR(__xludf.dummyfunction("""COMPUTED_VALUE"""),"Vuta")</f>
        <v>Vuta</v>
      </c>
      <c r="Y178" s="44"/>
      <c r="Z178" s="57"/>
      <c r="AA178" s="57"/>
      <c r="AB178" s="41" t="n">
        <f aca="false">IFERROR(__xludf.dummyfunction("""COMPUTED_VALUE"""),7)</f>
        <v>7</v>
      </c>
      <c r="AC178" s="57" t="str">
        <f aca="false">IFERROR(__xludf.dummyfunction("""COMPUTED_VALUE"""),"ss.vact01@ctv.hocmai.vn")</f>
        <v>ss.vact01@ctv.hocmai.vn</v>
      </c>
      <c r="AD178" s="46"/>
      <c r="AE178" s="46"/>
      <c r="AF178" s="47"/>
      <c r="AG178" s="46"/>
      <c r="AH178" s="53" t="b">
        <f aca="false">IFERROR(__xludf.dummyfunction("""COMPUTED_VALUE"""),FALSE())</f>
        <v>0</v>
      </c>
      <c r="AI178" s="53" t="b">
        <f aca="false">IFERROR(__xludf.dummyfunction("""COMPUTED_VALUE"""),FALSE())</f>
        <v>0</v>
      </c>
      <c r="AJ178" s="53" t="b">
        <f aca="false">IFERROR(__xludf.dummyfunction("""COMPUTED_VALUE"""),FALSE())</f>
        <v>0</v>
      </c>
      <c r="AK178" s="53" t="b">
        <f aca="false">IFERROR(__xludf.dummyfunction("""COMPUTED_VALUE"""),FALSE())</f>
        <v>0</v>
      </c>
      <c r="AL178" s="53" t="b">
        <f aca="false">IFERROR(__xludf.dummyfunction("""COMPUTED_VALUE"""),FALSE())</f>
        <v>0</v>
      </c>
      <c r="AM178" s="53" t="b">
        <f aca="false">IFERROR(__xludf.dummyfunction("""COMPUTED_VALUE"""),TRUE())</f>
        <v>1</v>
      </c>
      <c r="AN178" s="53" t="b">
        <f aca="false">IFERROR(__xludf.dummyfunction("""COMPUTED_VALUE"""),TRUE())</f>
        <v>1</v>
      </c>
      <c r="AO178" s="46"/>
    </row>
    <row r="179" customFormat="false" ht="15.75" hidden="false" customHeight="true" outlineLevel="0" collapsed="false">
      <c r="A179" s="37" t="str">
        <f aca="false">IFERROR(__xludf.dummyfunction("""COMPUTED_VALUE"""),"Thực chiến Tiếng Anh")</f>
        <v>Thực chiến Tiếng Anh</v>
      </c>
      <c r="B179" s="37" t="str">
        <f aca="false">IFERROR(__xludf.dummyfunction("""COMPUTED_VALUE"""),"TC_V-ACT_TA_04")</f>
        <v>TC_V-ACT_TA_04</v>
      </c>
      <c r="C179" s="59" t="str">
        <f aca="false">IFERROR(__xludf.dummyfunction("""COMPUTED_VALUE"""),"[Bổ trợ]_Chữa bài tập_V-ACT_Tiếng Anh số 04")</f>
        <v>[Bổ trợ]_Chữa bài tập_V-ACT_Tiếng Anh số 04</v>
      </c>
      <c r="D179" s="39" t="str">
        <f aca="false">IFERROR(__xludf.dummyfunction("""COMPUTED_VALUE"""),"Dung Thành Vinh")</f>
        <v>Dung Thành Vinh</v>
      </c>
      <c r="E179" s="40" t="n">
        <f aca="false">IFERROR(__xludf.dummyfunction("""COMPUTED_VALUE"""),46227)</f>
        <v>46227</v>
      </c>
      <c r="F179" s="41" t="n">
        <f aca="false">IFERROR(__xludf.dummyfunction("""COMPUTED_VALUE"""),6)</f>
        <v>6</v>
      </c>
      <c r="G179" s="37" t="str">
        <f aca="false">IFERROR(__xludf.dummyfunction("""COMPUTED_VALUE"""),"20:00-21:00")</f>
        <v>20:00-21:00</v>
      </c>
      <c r="H179" s="37"/>
      <c r="I179" s="37"/>
      <c r="J179" s="42" t="str">
        <f aca="false">IFERROR(__xludf.dummyfunction("""COMPUTED_VALUE"""),"https://drive.google.com/drive/folders/1VJ0MuhB_ogDs6--EJzUtVD7pFFuG7huw?usp=sharing")</f>
        <v>https://drive.google.com/drive/folders/1VJ0MuhB_ogDs6--EJzUtVD7pFFuG7huw?usp=sharing</v>
      </c>
      <c r="K179" s="68" t="str">
        <f aca="false">IFERROR(__xludf.dummyfunction("""COMPUTED_VALUE"""),"Huyenn2")</f>
        <v>Huyenn2</v>
      </c>
      <c r="L179" s="68" t="str">
        <f aca="false">IFERROR(__xludf.dummyfunction("""COMPUTED_VALUE"""),"HOCMAI")</f>
        <v>HOCMAI</v>
      </c>
      <c r="M179" s="71"/>
      <c r="N179" s="77" t="str">
        <f aca="false">IFERROR(__xludf.dummyfunction("""COMPUTED_VALUE"""),"3165")</f>
        <v>3165</v>
      </c>
      <c r="O179" s="63" t="n">
        <f aca="false">IFERROR(__xludf.dummyfunction("""COMPUTED_VALUE"""),175200)</f>
        <v>175200</v>
      </c>
      <c r="P179" s="60" t="str">
        <f aca="false">IFERROR(__xludf.dummyfunction("""COMPUTED_VALUE"""),"https://hocmai.vn/bai-giang-truc-tuyen/175200/.html")</f>
        <v>https://hocmai.vn/bai-giang-truc-tuyen/175200/.html</v>
      </c>
      <c r="Q179" s="63"/>
      <c r="R179" s="41"/>
      <c r="S179" s="41"/>
      <c r="T179" s="63"/>
      <c r="U179" s="63"/>
      <c r="V179" s="70" t="n">
        <f aca="false">IFERROR(__xludf.dummyfunction("""COMPUTED_VALUE"""),46230)</f>
        <v>46230</v>
      </c>
      <c r="W179" s="39" t="str">
        <f aca="false">IFERROR(__xludf.dummyfunction("""COMPUTED_VALUE"""),"Hoàn thành XB")</f>
        <v>Hoàn thành XB</v>
      </c>
      <c r="X179" s="41" t="str">
        <f aca="false">IFERROR(__xludf.dummyfunction("""COMPUTED_VALUE"""),"Vuta")</f>
        <v>Vuta</v>
      </c>
      <c r="Y179" s="44"/>
      <c r="Z179" s="57"/>
      <c r="AA179" s="57"/>
      <c r="AB179" s="41" t="n">
        <f aca="false">IFERROR(__xludf.dummyfunction("""COMPUTED_VALUE"""),7)</f>
        <v>7</v>
      </c>
      <c r="AC179" s="57" t="str">
        <f aca="false">IFERROR(__xludf.dummyfunction("""COMPUTED_VALUE"""),"shimlim04@gmail.com")</f>
        <v>shimlim04@gmail.com</v>
      </c>
      <c r="AD179" s="46"/>
      <c r="AE179" s="46"/>
      <c r="AF179" s="47"/>
      <c r="AG179" s="46"/>
      <c r="AH179" s="53" t="b">
        <f aca="false">IFERROR(__xludf.dummyfunction("""COMPUTED_VALUE"""),FALSE())</f>
        <v>0</v>
      </c>
      <c r="AI179" s="53" t="b">
        <f aca="false">IFERROR(__xludf.dummyfunction("""COMPUTED_VALUE"""),FALSE())</f>
        <v>0</v>
      </c>
      <c r="AJ179" s="53" t="b">
        <f aca="false">IFERROR(__xludf.dummyfunction("""COMPUTED_VALUE"""),FALSE())</f>
        <v>0</v>
      </c>
      <c r="AK179" s="53" t="b">
        <f aca="false">IFERROR(__xludf.dummyfunction("""COMPUTED_VALUE"""),FALSE())</f>
        <v>0</v>
      </c>
      <c r="AL179" s="53" t="b">
        <f aca="false">IFERROR(__xludf.dummyfunction("""COMPUTED_VALUE"""),FALSE())</f>
        <v>0</v>
      </c>
      <c r="AM179" s="53" t="b">
        <f aca="false">IFERROR(__xludf.dummyfunction("""COMPUTED_VALUE"""),TRUE())</f>
        <v>1</v>
      </c>
      <c r="AN179" s="53" t="b">
        <f aca="false">IFERROR(__xludf.dummyfunction("""COMPUTED_VALUE"""),TRUE())</f>
        <v>1</v>
      </c>
      <c r="AO179" s="46"/>
    </row>
    <row r="180" customFormat="false" ht="15.75" hidden="false" customHeight="true" outlineLevel="0" collapsed="false">
      <c r="A180" s="37" t="str">
        <f aca="false">IFERROR(__xludf.dummyfunction("""COMPUTED_VALUE"""),"Sinh học")</f>
        <v>Sinh học</v>
      </c>
      <c r="B180" s="37" t="str">
        <f aca="false">IFERROR(__xludf.dummyfunction("""COMPUTED_VALUE"""),"TOV_TSA_S03")</f>
        <v>TOV_TSA_S03</v>
      </c>
      <c r="C180" s="59" t="str">
        <f aca="false">IFERROR(__xludf.dummyfunction("""COMPUTED_VALUE"""),"Đặc điểm và vai trò của vi sinh vật và virus")</f>
        <v>Đặc điểm và vai trò của vi sinh vật và virus</v>
      </c>
      <c r="D180" s="39" t="str">
        <f aca="false">IFERROR(__xludf.dummyfunction("""COMPUTED_VALUE"""),"Vũ Khắc Ngọc")</f>
        <v>Vũ Khắc Ngọc</v>
      </c>
      <c r="E180" s="40" t="n">
        <f aca="false">IFERROR(__xludf.dummyfunction("""COMPUTED_VALUE"""),46228)</f>
        <v>46228</v>
      </c>
      <c r="F180" s="41" t="n">
        <f aca="false">IFERROR(__xludf.dummyfunction("""COMPUTED_VALUE"""),7)</f>
        <v>7</v>
      </c>
      <c r="G180" s="37" t="str">
        <f aca="false">IFERROR(__xludf.dummyfunction("""COMPUTED_VALUE"""),"21:30-23:30")</f>
        <v>21:30-23:30</v>
      </c>
      <c r="H180" s="37"/>
      <c r="I180" s="37"/>
      <c r="J180" s="42" t="str">
        <f aca="false">IFERROR(__xludf.dummyfunction("""COMPUTED_VALUE"""),"https://drive.google.com/drive/folders/1I5p7bWQnU_WRmO9GbUFNLgQufkh8gc-8?usp=drive_link")</f>
        <v>https://drive.google.com/drive/folders/1I5p7bWQnU_WRmO9GbUFNLgQufkh8gc-8?usp=drive_link</v>
      </c>
      <c r="K180" s="68" t="str">
        <f aca="false">IFERROR(__xludf.dummyfunction("""COMPUTED_VALUE"""),"Phuongdt")</f>
        <v>Phuongdt</v>
      </c>
      <c r="L180" s="68" t="str">
        <f aca="false">IFERROR(__xludf.dummyfunction("""COMPUTED_VALUE"""),"Bùi Vĩnh Thọ")</f>
        <v>Bùi Vĩnh Thọ</v>
      </c>
      <c r="M180" s="71"/>
      <c r="N180" s="77" t="str">
        <f aca="false">IFERROR(__xludf.dummyfunction("""COMPUTED_VALUE"""),"3110")</f>
        <v>3110</v>
      </c>
      <c r="O180" s="63" t="n">
        <f aca="false">IFERROR(__xludf.dummyfunction("""COMPUTED_VALUE"""),167257)</f>
        <v>167257</v>
      </c>
      <c r="P180" s="63"/>
      <c r="Q180" s="63"/>
      <c r="R180" s="41"/>
      <c r="S180" s="41"/>
      <c r="T180" s="63" t="n">
        <f aca="false">IFERROR(__xludf.dummyfunction("""COMPUTED_VALUE"""),23584)</f>
        <v>23584</v>
      </c>
      <c r="U180" s="63" t="n">
        <f aca="false">IFERROR(__xludf.dummyfunction("""COMPUTED_VALUE"""),10613)</f>
        <v>10613</v>
      </c>
      <c r="V180" s="70" t="n">
        <f aca="false">IFERROR(__xludf.dummyfunction("""COMPUTED_VALUE"""),46231)</f>
        <v>46231</v>
      </c>
      <c r="W180" s="39" t="str">
        <f aca="false">IFERROR(__xludf.dummyfunction("""COMPUTED_VALUE"""),"Hoàn thành XB")</f>
        <v>Hoàn thành XB</v>
      </c>
      <c r="X180" s="41" t="str">
        <f aca="false">IFERROR(__xludf.dummyfunction("""COMPUTED_VALUE"""),"Phuongdt")</f>
        <v>Phuongdt</v>
      </c>
      <c r="Y180" s="44" t="str">
        <f aca="false">IFERROR(__xludf.dummyfunction("""COMPUTED_VALUE"""),"done")</f>
        <v>done</v>
      </c>
      <c r="Z180" s="57" t="str">
        <f aca="false">IFERROR(__xludf.dummyfunction("""COMPUTED_VALUE"""),"#N/A")</f>
        <v>#N/A</v>
      </c>
      <c r="AA180" s="57"/>
      <c r="AB180" s="41" t="n">
        <f aca="false">IFERROR(__xludf.dummyfunction("""COMPUTED_VALUE"""),7)</f>
        <v>7</v>
      </c>
      <c r="AC180" s="57" t="str">
        <f aca="false">IFERROR(__xludf.dummyfunction("""COMPUTED_VALUE"""),"gv.ngocvk@hocmai.edu.vn")</f>
        <v>gv.ngocvk@hocmai.edu.vn</v>
      </c>
      <c r="AD180" s="46" t="str">
        <f aca="false">IFERROR(__xludf.dummyfunction("""COMPUTED_VALUE"""),"vinhtho0704@gmail.com")</f>
        <v>vinhtho0704@gmail.com</v>
      </c>
      <c r="AE180" s="46"/>
      <c r="AF180" s="74" t="b">
        <f aca="false">IFERROR(__xludf.dummyfunction("""COMPUTED_VALUE"""),FALSE())</f>
        <v>0</v>
      </c>
      <c r="AG180" s="46" t="str">
        <f aca="false">IFERROR(__xludf.dummyfunction("""COMPUTED_VALUE"""),"")</f>
        <v/>
      </c>
      <c r="AH180" s="35"/>
      <c r="AI180" s="53" t="b">
        <f aca="false">IFERROR(__xludf.dummyfunction("""COMPUTED_VALUE"""),TRUE())</f>
        <v>1</v>
      </c>
      <c r="AJ180" s="35"/>
      <c r="AK180" s="35"/>
      <c r="AL180" s="35"/>
      <c r="AM180" s="35"/>
      <c r="AN180" s="35"/>
      <c r="AO180" s="46"/>
    </row>
    <row r="181" customFormat="false" ht="15.75" hidden="false" customHeight="true" outlineLevel="0" collapsed="false">
      <c r="A181" s="37" t="str">
        <f aca="false">IFERROR(__xludf.dummyfunction("""COMPUTED_VALUE"""),"Khoa học")</f>
        <v>Khoa học</v>
      </c>
      <c r="B181" s="37" t="str">
        <f aca="false">IFERROR(__xludf.dummyfunction("""COMPUTED_VALUE"""),"TOS_V-ACT_KH06")</f>
        <v>TOS_V-ACT_KH06</v>
      </c>
      <c r="C181" s="59" t="str">
        <f aca="false">IFERROR(__xludf.dummyfunction("""COMPUTED_VALUE"""),"Thực hành phân tích công thức và biểu đồ trong văn bản khoa học (P1).")</f>
        <v>Thực hành phân tích công thức và biểu đồ trong văn bản khoa học (P1).</v>
      </c>
      <c r="D181" s="39" t="str">
        <f aca="false">IFERROR(__xludf.dummyfunction("""COMPUTED_VALUE"""),"Lê Văn Minh")</f>
        <v>Lê Văn Minh</v>
      </c>
      <c r="E181" s="40" t="n">
        <f aca="false">IFERROR(__xludf.dummyfunction("""COMPUTED_VALUE"""),46228)</f>
        <v>46228</v>
      </c>
      <c r="F181" s="41" t="n">
        <f aca="false">IFERROR(__xludf.dummyfunction("""COMPUTED_VALUE"""),7)</f>
        <v>7</v>
      </c>
      <c r="G181" s="37" t="str">
        <f aca="false">IFERROR(__xludf.dummyfunction("""COMPUTED_VALUE"""),"20:30-22:00")</f>
        <v>20:30-22:00</v>
      </c>
      <c r="H181" s="42" t="str">
        <f aca="false">IFERROR(__xludf.dummyfunction("""COMPUTED_VALUE"""),"https://hocmai.vn/file.php/3340/Tai_lieu_bai_giang/26-27/TLHS_TOS_V-ACT_KH06.pdf")</f>
        <v>https://hocmai.vn/file.php/3340/Tai_lieu_bai_giang/26-27/TLHS_TOS_V-ACT_KH06.pdf</v>
      </c>
      <c r="I181" s="42" t="str">
        <f aca="false">IFERROR(__xludf.dummyfunction("""COMPUTED_VALUE"""),"https://hocmai.vn/file.php/3340/Tai_lieu_bai_giang/26-27/TLHS_TOS_V-ACT_KH06.pdf")</f>
        <v>https://hocmai.vn/file.php/3340/Tai_lieu_bai_giang/26-27/TLHS_TOS_V-ACT_KH06.pdf</v>
      </c>
      <c r="J181" s="42" t="str">
        <f aca="false">IFERROR(__xludf.dummyfunction("""COMPUTED_VALUE"""),"https://drive.google.com/drive/folders/1E3wQHgheAum59wmmDPBzImP52DAT0pzV?usp=drive_link")</f>
        <v>https://drive.google.com/drive/folders/1E3wQHgheAum59wmmDPBzImP52DAT0pzV?usp=drive_link</v>
      </c>
      <c r="K181" s="68" t="str">
        <f aca="false">IFERROR(__xludf.dummyfunction("""COMPUTED_VALUE"""),"Kimnq")</f>
        <v>Kimnq</v>
      </c>
      <c r="L181" s="68" t="str">
        <f aca="false">IFERROR(__xludf.dummyfunction("""COMPUTED_VALUE"""),"Lê Quốc Việt")</f>
        <v>Lê Quốc Việt</v>
      </c>
      <c r="M181" s="71"/>
      <c r="N181" s="77" t="str">
        <f aca="false">IFERROR(__xludf.dummyfunction("""COMPUTED_VALUE"""),"3340,3126")</f>
        <v>3340,3126</v>
      </c>
      <c r="O181" s="73" t="n">
        <f aca="false">IFERROR(__xludf.dummyfunction("""COMPUTED_VALUE"""),167497.167383)</f>
        <v>167497.167383</v>
      </c>
      <c r="P181" s="63"/>
      <c r="Q181" s="63"/>
      <c r="R181" s="41"/>
      <c r="S181" s="41"/>
      <c r="T181" s="63"/>
      <c r="U181" s="63"/>
      <c r="V181" s="70" t="n">
        <f aca="false">IFERROR(__xludf.dummyfunction("""COMPUTED_VALUE"""),46231)</f>
        <v>46231</v>
      </c>
      <c r="W181" s="39" t="str">
        <f aca="false">IFERROR(__xludf.dummyfunction("""COMPUTED_VALUE"""),"Hoàn thành XB")</f>
        <v>Hoàn thành XB</v>
      </c>
      <c r="X181" s="41" t="str">
        <f aca="false">IFERROR(__xludf.dummyfunction("""COMPUTED_VALUE"""),"Kimnq")</f>
        <v>Kimnq</v>
      </c>
      <c r="Y181" s="44" t="str">
        <f aca="false">IFERROR(__xludf.dummyfunction("""COMPUTED_VALUE"""),"done")</f>
        <v>done</v>
      </c>
      <c r="Z181" s="57" t="str">
        <f aca="false">IFERROR(__xludf.dummyfunction("""COMPUTED_VALUE"""),"#N/A")</f>
        <v>#N/A</v>
      </c>
      <c r="AA181" s="57"/>
      <c r="AB181" s="41" t="n">
        <f aca="false">IFERROR(__xludf.dummyfunction("""COMPUTED_VALUE"""),7)</f>
        <v>7</v>
      </c>
      <c r="AC181" s="57" t="str">
        <f aca="false">IFERROR(__xludf.dummyfunction("""COMPUTED_VALUE"""),"gv.minhlv@hocmai.edu.vn		")</f>
        <v>gv.minhlv@hocmai.edu.vn		</v>
      </c>
      <c r="AD181" s="46" t="str">
        <f aca="false">IFERROR(__xludf.dummyfunction("""COMPUTED_VALUE"""),"Ralph02091@gmail.com")</f>
        <v>Ralph02091@gmail.com</v>
      </c>
      <c r="AE181" s="46"/>
      <c r="AF181" s="47" t="str">
        <f aca="false">IFERROR(__xludf.dummyfunction("""COMPUTED_VALUE"""),"lophoctoan-946228")</f>
        <v>lophoctoan-946228</v>
      </c>
      <c r="AG181" s="46" t="str">
        <f aca="false">IFERROR(__xludf.dummyfunction("""COMPUTED_VALUE"""),"")</f>
        <v/>
      </c>
      <c r="AH181" s="35"/>
      <c r="AI181" s="35"/>
      <c r="AJ181" s="35"/>
      <c r="AK181" s="35"/>
      <c r="AL181" s="35"/>
      <c r="AM181" s="53" t="b">
        <f aca="false">IFERROR(__xludf.dummyfunction("""COMPUTED_VALUE"""),TRUE())</f>
        <v>1</v>
      </c>
      <c r="AN181" s="53" t="b">
        <f aca="false">IFERROR(__xludf.dummyfunction("""COMPUTED_VALUE"""),TRUE())</f>
        <v>1</v>
      </c>
      <c r="AO181" s="46"/>
    </row>
    <row r="182" customFormat="false" ht="15.75" hidden="false" customHeight="true" outlineLevel="0" collapsed="false">
      <c r="A182" s="37" t="str">
        <f aca="false">IFERROR(__xludf.dummyfunction("""COMPUTED_VALUE"""),"Lịch sử")</f>
        <v>Lịch sử</v>
      </c>
      <c r="B182" s="37" t="str">
        <f aca="false">IFERROR(__xludf.dummyfunction("""COMPUTED_VALUE"""),"TOV_HSA_LS04")</f>
        <v>TOV_HSA_LS04</v>
      </c>
      <c r="C182" s="59" t="str">
        <f aca="false">IFERROR(__xludf.dummyfunction("""COMPUTED_VALUE"""),"Một số nền văn minh trên đất nước Việt Nam (trước năm 1858).")</f>
        <v>Một số nền văn minh trên đất nước Việt Nam (trước năm 1858).</v>
      </c>
      <c r="D182" s="39" t="str">
        <f aca="false">IFERROR(__xludf.dummyfunction("""COMPUTED_VALUE"""),"Dương Thị Huyền")</f>
        <v>Dương Thị Huyền</v>
      </c>
      <c r="E182" s="40" t="n">
        <f aca="false">IFERROR(__xludf.dummyfunction("""COMPUTED_VALUE"""),46228)</f>
        <v>46228</v>
      </c>
      <c r="F182" s="41" t="n">
        <f aca="false">IFERROR(__xludf.dummyfunction("""COMPUTED_VALUE"""),7)</f>
        <v>7</v>
      </c>
      <c r="G182" s="37" t="str">
        <f aca="false">IFERROR(__xludf.dummyfunction("""COMPUTED_VALUE"""),"21:30-23:30")</f>
        <v>21:30-23:30</v>
      </c>
      <c r="H182" s="37"/>
      <c r="I182" s="37"/>
      <c r="J182" s="42" t="str">
        <f aca="false">IFERROR(__xludf.dummyfunction("""COMPUTED_VALUE"""),"https://drive.google.com/drive/folders/16-Qu1VNJJzdowh52CSlKDKPapNAOJ9RL?usp=drive_link")</f>
        <v>https://drive.google.com/drive/folders/16-Qu1VNJJzdowh52CSlKDKPapNAOJ9RL?usp=drive_link</v>
      </c>
      <c r="K182" s="68" t="str">
        <f aca="false">IFERROR(__xludf.dummyfunction("""COMPUTED_VALUE"""),"Trinhntt")</f>
        <v>Trinhntt</v>
      </c>
      <c r="L182" s="68" t="str">
        <f aca="false">IFERROR(__xludf.dummyfunction("""COMPUTED_VALUE"""),"Phan Đức Kiên")</f>
        <v>Phan Đức Kiên</v>
      </c>
      <c r="M182" s="71"/>
      <c r="N182" s="77" t="str">
        <f aca="false">IFERROR(__xludf.dummyfunction("""COMPUTED_VALUE"""),"3122")</f>
        <v>3122</v>
      </c>
      <c r="O182" s="63" t="n">
        <f aca="false">IFERROR(__xludf.dummyfunction("""COMPUTED_VALUE"""),174731)</f>
        <v>174731</v>
      </c>
      <c r="P182" s="63"/>
      <c r="Q182" s="63"/>
      <c r="R182" s="41"/>
      <c r="S182" s="41"/>
      <c r="T182" s="63"/>
      <c r="U182" s="63"/>
      <c r="V182" s="70" t="n">
        <f aca="false">IFERROR(__xludf.dummyfunction("""COMPUTED_VALUE"""),46231)</f>
        <v>46231</v>
      </c>
      <c r="W182" s="39" t="str">
        <f aca="false">IFERROR(__xludf.dummyfunction("""COMPUTED_VALUE"""),"Hoàn thành XB")</f>
        <v>Hoàn thành XB</v>
      </c>
      <c r="X182" s="41" t="str">
        <f aca="false">IFERROR(__xludf.dummyfunction("""COMPUTED_VALUE"""),"Huent7")</f>
        <v>Huent7</v>
      </c>
      <c r="Y182" s="44"/>
      <c r="Z182" s="57" t="str">
        <f aca="false">IFERROR(__xludf.dummyfunction("""COMPUTED_VALUE"""),"#N/A")</f>
        <v>#N/A</v>
      </c>
      <c r="AA182" s="57"/>
      <c r="AB182" s="41"/>
      <c r="AC182" s="57" t="str">
        <f aca="false">IFERROR(__xludf.dummyfunction("""COMPUTED_VALUE"""),"gv.huyendt2@hocmai.edu.vn")</f>
        <v>gv.huyendt2@hocmai.edu.vn</v>
      </c>
      <c r="AD182" s="46" t="str">
        <f aca="false">IFERROR(__xludf.dummyfunction("""COMPUTED_VALUE"""),"duckien010607@gmail.com")</f>
        <v>duckien010607@gmail.com</v>
      </c>
      <c r="AE182" s="46"/>
      <c r="AF182" s="74" t="b">
        <f aca="false">IFERROR(__xludf.dummyfunction("""COMPUTED_VALUE"""),FALSE())</f>
        <v>0</v>
      </c>
      <c r="AG182" s="46" t="str">
        <f aca="false">IFERROR(__xludf.dummyfunction("""COMPUTED_VALUE"""),"")</f>
        <v/>
      </c>
      <c r="AH182" s="35"/>
      <c r="AI182" s="35"/>
      <c r="AJ182" s="53" t="b">
        <f aca="false">IFERROR(__xludf.dummyfunction("""COMPUTED_VALUE"""),TRUE())</f>
        <v>1</v>
      </c>
      <c r="AK182" s="53" t="b">
        <f aca="false">IFERROR(__xludf.dummyfunction("""COMPUTED_VALUE"""),TRUE())</f>
        <v>1</v>
      </c>
      <c r="AL182" s="35"/>
      <c r="AM182" s="35"/>
      <c r="AN182" s="35"/>
      <c r="AO182" s="46"/>
    </row>
    <row r="183" customFormat="false" ht="15.75" hidden="false" customHeight="true" outlineLevel="0" collapsed="false">
      <c r="A183" s="37" t="str">
        <f aca="false">IFERROR(__xludf.dummyfunction("""COMPUTED_VALUE"""),"Thực chiến Khoa học")</f>
        <v>Thực chiến Khoa học</v>
      </c>
      <c r="B183" s="37" t="str">
        <f aca="false">IFERROR(__xludf.dummyfunction("""COMPUTED_VALUE"""),"TC_TSA_KH_09")</f>
        <v>TC_TSA_KH_09</v>
      </c>
      <c r="C183" s="59" t="str">
        <f aca="false">IFERROR(__xludf.dummyfunction("""COMPUTED_VALUE"""),"[Bổ trợ]_Chữa bài tập TSA_Tư duy Khoa học số 09")</f>
        <v>[Bổ trợ]_Chữa bài tập TSA_Tư duy Khoa học số 09</v>
      </c>
      <c r="D183" s="39" t="str">
        <f aca="false">IFERROR(__xludf.dummyfunction("""COMPUTED_VALUE"""),"Nguyễn Trọng Trường Anh")</f>
        <v>Nguyễn Trọng Trường Anh</v>
      </c>
      <c r="E183" s="40" t="n">
        <f aca="false">IFERROR(__xludf.dummyfunction("""COMPUTED_VALUE"""),46228)</f>
        <v>46228</v>
      </c>
      <c r="F183" s="41" t="n">
        <f aca="false">IFERROR(__xludf.dummyfunction("""COMPUTED_VALUE"""),7)</f>
        <v>7</v>
      </c>
      <c r="G183" s="37" t="str">
        <f aca="false">IFERROR(__xludf.dummyfunction("""COMPUTED_VALUE"""),"19:00-20:00")</f>
        <v>19:00-20:00</v>
      </c>
      <c r="H183" s="37"/>
      <c r="I183" s="37"/>
      <c r="J183" s="42" t="str">
        <f aca="false">IFERROR(__xludf.dummyfunction("""COMPUTED_VALUE"""),"https://drive.google.com/drive/folders/1qMPEaJNOG8mNUtPZcxrbn5MwkeO8nRcF?usp=drive_link")</f>
        <v>https://drive.google.com/drive/folders/1qMPEaJNOG8mNUtPZcxrbn5MwkeO8nRcF?usp=drive_link</v>
      </c>
      <c r="K183" s="68" t="str">
        <f aca="false">IFERROR(__xludf.dummyfunction("""COMPUTED_VALUE"""),"Trangnth2")</f>
        <v>Trangnth2</v>
      </c>
      <c r="L183" s="68" t="str">
        <f aca="false">IFERROR(__xludf.dummyfunction("""COMPUTED_VALUE"""),"HOCMAI")</f>
        <v>HOCMAI</v>
      </c>
      <c r="M183" s="71"/>
      <c r="N183" s="77" t="str">
        <f aca="false">IFERROR(__xludf.dummyfunction("""COMPUTED_VALUE"""),"3110")</f>
        <v>3110</v>
      </c>
      <c r="O183" s="63" t="n">
        <f aca="false">IFERROR(__xludf.dummyfunction("""COMPUTED_VALUE"""),175132)</f>
        <v>175132</v>
      </c>
      <c r="P183" s="60" t="str">
        <f aca="false">IFERROR(__xludf.dummyfunction("""COMPUTED_VALUE"""),"https://hocmai.vn/bai-giang-truc-tuyen/175132/.html")</f>
        <v>https://hocmai.vn/bai-giang-truc-tuyen/175132/.html</v>
      </c>
      <c r="Q183" s="63"/>
      <c r="R183" s="41"/>
      <c r="S183" s="41"/>
      <c r="T183" s="63"/>
      <c r="U183" s="63"/>
      <c r="V183" s="70" t="n">
        <f aca="false">IFERROR(__xludf.dummyfunction("""COMPUTED_VALUE"""),46231)</f>
        <v>46231</v>
      </c>
      <c r="W183" s="39" t="str">
        <f aca="false">IFERROR(__xludf.dummyfunction("""COMPUTED_VALUE"""),"Hoàn thành XB")</f>
        <v>Hoàn thành XB</v>
      </c>
      <c r="X183" s="41" t="str">
        <f aca="false">IFERROR(__xludf.dummyfunction("""COMPUTED_VALUE"""),"Vuta")</f>
        <v>Vuta</v>
      </c>
      <c r="Y183" s="44"/>
      <c r="Z183" s="57"/>
      <c r="AA183" s="57"/>
      <c r="AB183" s="41" t="n">
        <f aca="false">IFERROR(__xludf.dummyfunction("""COMPUTED_VALUE"""),7)</f>
        <v>7</v>
      </c>
      <c r="AC183" s="57" t="str">
        <f aca="false">IFERROR(__xludf.dummyfunction("""COMPUTED_VALUE"""),"thochi1981@gmail.com")</f>
        <v>thochi1981@gmail.com</v>
      </c>
      <c r="AD183" s="46"/>
      <c r="AE183" s="46"/>
      <c r="AF183" s="47"/>
      <c r="AG183" s="46"/>
      <c r="AH183" s="53" t="b">
        <f aca="false">IFERROR(__xludf.dummyfunction("""COMPUTED_VALUE"""),FALSE())</f>
        <v>0</v>
      </c>
      <c r="AI183" s="53" t="b">
        <f aca="false">IFERROR(__xludf.dummyfunction("""COMPUTED_VALUE"""),TRUE())</f>
        <v>1</v>
      </c>
      <c r="AJ183" s="53" t="b">
        <f aca="false">IFERROR(__xludf.dummyfunction("""COMPUTED_VALUE"""),FALSE())</f>
        <v>0</v>
      </c>
      <c r="AK183" s="53" t="b">
        <f aca="false">IFERROR(__xludf.dummyfunction("""COMPUTED_VALUE"""),FALSE())</f>
        <v>0</v>
      </c>
      <c r="AL183" s="53" t="b">
        <f aca="false">IFERROR(__xludf.dummyfunction("""COMPUTED_VALUE"""),FALSE())</f>
        <v>0</v>
      </c>
      <c r="AM183" s="53" t="b">
        <f aca="false">IFERROR(__xludf.dummyfunction("""COMPUTED_VALUE"""),FALSE())</f>
        <v>0</v>
      </c>
      <c r="AN183" s="53" t="b">
        <f aca="false">IFERROR(__xludf.dummyfunction("""COMPUTED_VALUE"""),FALSE())</f>
        <v>0</v>
      </c>
      <c r="AO183" s="46"/>
    </row>
    <row r="184" customFormat="false" ht="15.75" hidden="false" customHeight="true" outlineLevel="0" collapsed="false">
      <c r="A184" s="37" t="str">
        <f aca="false">IFERROR(__xludf.dummyfunction("""COMPUTED_VALUE"""),"Thực chiến Tiếng Việt")</f>
        <v>Thực chiến Tiếng Việt</v>
      </c>
      <c r="B184" s="37" t="str">
        <f aca="false">IFERROR(__xludf.dummyfunction("""COMPUTED_VALUE"""),"TC_V-ACT_TV_04")</f>
        <v>TC_V-ACT_TV_04</v>
      </c>
      <c r="C184" s="59" t="str">
        <f aca="false">IFERROR(__xludf.dummyfunction("""COMPUTED_VALUE"""),"[Bổ trợ]_Chữa bài tập_V-ACT_Tiếng Việt số 04")</f>
        <v>[Bổ trợ]_Chữa bài tập_V-ACT_Tiếng Việt số 04</v>
      </c>
      <c r="D184" s="39" t="str">
        <f aca="false">IFERROR(__xludf.dummyfunction("""COMPUTED_VALUE"""),"Nguyễn Thị Khánh Ly")</f>
        <v>Nguyễn Thị Khánh Ly</v>
      </c>
      <c r="E184" s="40" t="n">
        <f aca="false">IFERROR(__xludf.dummyfunction("""COMPUTED_VALUE"""),46228)</f>
        <v>46228</v>
      </c>
      <c r="F184" s="41" t="n">
        <f aca="false">IFERROR(__xludf.dummyfunction("""COMPUTED_VALUE"""),7)</f>
        <v>7</v>
      </c>
      <c r="G184" s="37" t="str">
        <f aca="false">IFERROR(__xludf.dummyfunction("""COMPUTED_VALUE"""),"19:00-20:00")</f>
        <v>19:00-20:00</v>
      </c>
      <c r="H184" s="37"/>
      <c r="I184" s="37"/>
      <c r="J184" s="42" t="str">
        <f aca="false">IFERROR(__xludf.dummyfunction("""COMPUTED_VALUE"""),"https://drive.google.com/open?id=19my3qKiIbBzGhGFwOBotM4f1DgRDrzfD&amp;usp=drive_fs")</f>
        <v>https://drive.google.com/open?id=19my3qKiIbBzGhGFwOBotM4f1DgRDrzfD&amp;usp=drive_fs</v>
      </c>
      <c r="K184" s="68" t="str">
        <f aca="false">IFERROR(__xludf.dummyfunction("""COMPUTED_VALUE"""),"Hoantt")</f>
        <v>Hoantt</v>
      </c>
      <c r="L184" s="68" t="str">
        <f aca="false">IFERROR(__xludf.dummyfunction("""COMPUTED_VALUE"""),"HOCMAI")</f>
        <v>HOCMAI</v>
      </c>
      <c r="M184" s="71"/>
      <c r="N184" s="77" t="str">
        <f aca="false">IFERROR(__xludf.dummyfunction("""COMPUTED_VALUE"""),"3125")</f>
        <v>3125</v>
      </c>
      <c r="O184" s="63" t="n">
        <f aca="false">IFERROR(__xludf.dummyfunction("""COMPUTED_VALUE"""),175188)</f>
        <v>175188</v>
      </c>
      <c r="P184" s="60" t="str">
        <f aca="false">IFERROR(__xludf.dummyfunction("""COMPUTED_VALUE"""),"https://hocmai.vn/bai-giang-truc-tuyen/175188/.html")</f>
        <v>https://hocmai.vn/bai-giang-truc-tuyen/175188/.html</v>
      </c>
      <c r="Q184" s="63"/>
      <c r="R184" s="41"/>
      <c r="S184" s="41"/>
      <c r="T184" s="63"/>
      <c r="U184" s="63"/>
      <c r="V184" s="70" t="n">
        <f aca="false">IFERROR(__xludf.dummyfunction("""COMPUTED_VALUE"""),46231)</f>
        <v>46231</v>
      </c>
      <c r="W184" s="39" t="str">
        <f aca="false">IFERROR(__xludf.dummyfunction("""COMPUTED_VALUE"""),"Hoàn thành XB")</f>
        <v>Hoàn thành XB</v>
      </c>
      <c r="X184" s="41" t="str">
        <f aca="false">IFERROR(__xludf.dummyfunction("""COMPUTED_VALUE"""),"Vuta")</f>
        <v>Vuta</v>
      </c>
      <c r="Y184" s="44"/>
      <c r="Z184" s="57"/>
      <c r="AA184" s="57"/>
      <c r="AB184" s="41" t="n">
        <f aca="false">IFERROR(__xludf.dummyfunction("""COMPUTED_VALUE"""),7)</f>
        <v>7</v>
      </c>
      <c r="AC184" s="57" t="str">
        <f aca="false">IFERROR(__xludf.dummyfunction("""COMPUTED_VALUE"""),"khanhly16092003@gmail.com")</f>
        <v>khanhly16092003@gmail.com</v>
      </c>
      <c r="AD184" s="46"/>
      <c r="AE184" s="46"/>
      <c r="AF184" s="47"/>
      <c r="AG184" s="46"/>
      <c r="AH184" s="53" t="b">
        <f aca="false">IFERROR(__xludf.dummyfunction("""COMPUTED_VALUE"""),FALSE())</f>
        <v>0</v>
      </c>
      <c r="AI184" s="53" t="b">
        <f aca="false">IFERROR(__xludf.dummyfunction("""COMPUTED_VALUE"""),FALSE())</f>
        <v>0</v>
      </c>
      <c r="AJ184" s="53" t="b">
        <f aca="false">IFERROR(__xludf.dummyfunction("""COMPUTED_VALUE"""),FALSE())</f>
        <v>0</v>
      </c>
      <c r="AK184" s="53" t="b">
        <f aca="false">IFERROR(__xludf.dummyfunction("""COMPUTED_VALUE"""),FALSE())</f>
        <v>0</v>
      </c>
      <c r="AL184" s="53" t="b">
        <f aca="false">IFERROR(__xludf.dummyfunction("""COMPUTED_VALUE"""),FALSE())</f>
        <v>0</v>
      </c>
      <c r="AM184" s="53" t="b">
        <f aca="false">IFERROR(__xludf.dummyfunction("""COMPUTED_VALUE"""),TRUE())</f>
        <v>1</v>
      </c>
      <c r="AN184" s="53" t="b">
        <f aca="false">IFERROR(__xludf.dummyfunction("""COMPUTED_VALUE"""),TRUE())</f>
        <v>1</v>
      </c>
      <c r="AO184" s="46"/>
    </row>
    <row r="185" customFormat="false" ht="15.75" hidden="false" customHeight="true" outlineLevel="0" collapsed="false">
      <c r="A185" s="37" t="str">
        <f aca="false">IFERROR(__xludf.dummyfunction("""COMPUTED_VALUE"""),"Toán")</f>
        <v>Toán</v>
      </c>
      <c r="B185" s="37" t="str">
        <f aca="false">IFERROR(__xludf.dummyfunction("""COMPUTED_VALUE"""),"NT_T_31")</f>
        <v>NT_T_31</v>
      </c>
      <c r="C185" s="59" t="str">
        <f aca="false">IFERROR(__xludf.dummyfunction("""COMPUTED_VALUE"""),"Ứng dụng tích phân giải BT chuyển động, tăng trưởng (cơ bản)")</f>
        <v>Ứng dụng tích phân giải BT chuyển động, tăng trưởng (cơ bản)</v>
      </c>
      <c r="D185" s="39" t="str">
        <f aca="false">IFERROR(__xludf.dummyfunction("""COMPUTED_VALUE"""),"Nguyễn Thanh Tùng")</f>
        <v>Nguyễn Thanh Tùng</v>
      </c>
      <c r="E185" s="40" t="n">
        <f aca="false">IFERROR(__xludf.dummyfunction("""COMPUTED_VALUE"""),46229)</f>
        <v>46229</v>
      </c>
      <c r="F185" s="41" t="str">
        <f aca="false">IFERROR(__xludf.dummyfunction("""COMPUTED_VALUE"""),"CN")</f>
        <v>CN</v>
      </c>
      <c r="G185" s="37" t="str">
        <f aca="false">IFERROR(__xludf.dummyfunction("""COMPUTED_VALUE"""),"18:00-20:00")</f>
        <v>18:00-20:00</v>
      </c>
      <c r="H185" s="37"/>
      <c r="I185" s="37"/>
      <c r="J185" s="42" t="str">
        <f aca="false">IFERROR(__xludf.dummyfunction("""COMPUTED_VALUE"""),"https://drive.google.com/drive/folders/1W_khhRV_B8Ej2rWgWIhy5JHRgvDJqJwc?usp=drive_link")</f>
        <v>https://drive.google.com/drive/folders/1W_khhRV_B8Ej2rWgWIhy5JHRgvDJqJwc?usp=drive_link</v>
      </c>
      <c r="K185" s="68" t="str">
        <f aca="false">IFERROR(__xludf.dummyfunction("""COMPUTED_VALUE"""),"Chientd2")</f>
        <v>Chientd2</v>
      </c>
      <c r="L185" s="68" t="str">
        <f aca="false">IFERROR(__xludf.dummyfunction("""COMPUTED_VALUE"""),"Tưởng Thị Huyền Trang")</f>
        <v>Tưởng Thị Huyền Trang</v>
      </c>
      <c r="M185" s="69" t="str">
        <f aca="false">IFERROR(__xludf.dummyfunction("""COMPUTED_VALUE"""),"https://hocmai.sharepoint.com/Education_Development/Lists/San_xuat_video/DispForm.aspx?ID=12170")</f>
        <v>https://hocmai.sharepoint.com/Education_Development/Lists/San_xuat_video/DispForm.aspx?ID=12170</v>
      </c>
      <c r="N185" s="63" t="n">
        <f aca="false">IFERROR(__xludf.dummyfunction("""COMPUTED_VALUE"""),3312)</f>
        <v>3312</v>
      </c>
      <c r="O185" s="63" t="n">
        <f aca="false">IFERROR(__xludf.dummyfunction("""COMPUTED_VALUE"""),166564)</f>
        <v>166564</v>
      </c>
      <c r="P185" s="63"/>
      <c r="Q185" s="63" t="n">
        <f aca="false">IFERROR(__xludf.dummyfunction("""COMPUTED_VALUE"""),7944)</f>
        <v>7944</v>
      </c>
      <c r="R185" s="41"/>
      <c r="S185" s="41"/>
      <c r="T185" s="63" t="n">
        <f aca="false">IFERROR(__xludf.dummyfunction("""COMPUTED_VALUE"""),7945)</f>
        <v>7945</v>
      </c>
      <c r="U185" s="63" t="n">
        <f aca="false">IFERROR(__xludf.dummyfunction("""COMPUTED_VALUE"""),24099)</f>
        <v>24099</v>
      </c>
      <c r="V185" s="70" t="n">
        <f aca="false">IFERROR(__xludf.dummyfunction("""COMPUTED_VALUE"""),46232)</f>
        <v>46232</v>
      </c>
      <c r="W185" s="39" t="str">
        <f aca="false">IFERROR(__xludf.dummyfunction("""COMPUTED_VALUE"""),"Hoàn thành XB")</f>
        <v>Hoàn thành XB</v>
      </c>
      <c r="X185" s="41" t="str">
        <f aca="false">IFERROR(__xludf.dummyfunction("""COMPUTED_VALUE"""),"Huent7")</f>
        <v>Huent7</v>
      </c>
      <c r="Y185" s="44"/>
      <c r="Z185" s="57"/>
      <c r="AA185" s="57"/>
      <c r="AB185" s="41" t="n">
        <f aca="false">IFERROR(__xludf.dummyfunction("""COMPUTED_VALUE"""),7)</f>
        <v>7</v>
      </c>
      <c r="AC185" s="57"/>
      <c r="AD185" s="46"/>
      <c r="AE185" s="46"/>
      <c r="AF185" s="47" t="str">
        <f aca="false">IFERROR(__xludf.dummyfunction("""COMPUTED_VALUE"""),"lophoctoan-946229")</f>
        <v>lophoctoan-946229</v>
      </c>
      <c r="AG185" s="46" t="str">
        <f aca="false">IFERROR(__xludf.dummyfunction("""COMPUTED_VALUE"""),"")</f>
        <v/>
      </c>
      <c r="AH185" s="53" t="b">
        <f aca="false">IFERROR(__xludf.dummyfunction("""COMPUTED_VALUE"""),TRUE())</f>
        <v>1</v>
      </c>
      <c r="AI185" s="35"/>
      <c r="AJ185" s="35"/>
      <c r="AK185" s="35"/>
      <c r="AL185" s="35"/>
      <c r="AM185" s="35"/>
      <c r="AN185" s="35"/>
      <c r="AO185" s="46"/>
    </row>
    <row r="186" customFormat="false" ht="15.75" hidden="false" customHeight="true" outlineLevel="0" collapsed="false">
      <c r="A186" s="37" t="str">
        <f aca="false">IFERROR(__xludf.dummyfunction("""COMPUTED_VALUE"""),"Thực chiến Toán")</f>
        <v>Thực chiến Toán</v>
      </c>
      <c r="B186" s="37" t="str">
        <f aca="false">IFERROR(__xludf.dummyfunction("""COMPUTED_VALUE"""),"TC_TSA_T_09")</f>
        <v>TC_TSA_T_09</v>
      </c>
      <c r="C186" s="59" t="str">
        <f aca="false">IFERROR(__xludf.dummyfunction("""COMPUTED_VALUE"""),"[Bổ trợ]_Chữa bài tập TSA_Tư duy Toán học số 09")</f>
        <v>[Bổ trợ]_Chữa bài tập TSA_Tư duy Toán học số 09</v>
      </c>
      <c r="D186" s="39" t="str">
        <f aca="false">IFERROR(__xludf.dummyfunction("""COMPUTED_VALUE"""),"Phạm Huy Hoàng")</f>
        <v>Phạm Huy Hoàng</v>
      </c>
      <c r="E186" s="40" t="n">
        <f aca="false">IFERROR(__xludf.dummyfunction("""COMPUTED_VALUE"""),46229)</f>
        <v>46229</v>
      </c>
      <c r="F186" s="41" t="str">
        <f aca="false">IFERROR(__xludf.dummyfunction("""COMPUTED_VALUE"""),"CN")</f>
        <v>CN</v>
      </c>
      <c r="G186" s="37" t="str">
        <f aca="false">IFERROR(__xludf.dummyfunction("""COMPUTED_VALUE"""),"15:00-16:00")</f>
        <v>15:00-16:00</v>
      </c>
      <c r="H186" s="37"/>
      <c r="I186" s="37"/>
      <c r="J186" s="42" t="str">
        <f aca="false">IFERROR(__xludf.dummyfunction("""COMPUTED_VALUE"""),"https://drive.google.com/drive/folders/1ytk2QdDLtj16bZBgnppAXPGGU4R6grzm?usp=drive_link")</f>
        <v>https://drive.google.com/drive/folders/1ytk2QdDLtj16bZBgnppAXPGGU4R6grzm?usp=drive_link</v>
      </c>
      <c r="K186" s="68" t="str">
        <f aca="false">IFERROR(__xludf.dummyfunction("""COMPUTED_VALUE"""),"Locdd")</f>
        <v>Locdd</v>
      </c>
      <c r="L186" s="68" t="str">
        <f aca="false">IFERROR(__xludf.dummyfunction("""COMPUTED_VALUE"""),"HOCMAI")</f>
        <v>HOCMAI</v>
      </c>
      <c r="M186" s="71"/>
      <c r="N186" s="77" t="str">
        <f aca="false">IFERROR(__xludf.dummyfunction("""COMPUTED_VALUE"""),"3108")</f>
        <v>3108</v>
      </c>
      <c r="O186" s="63" t="n">
        <f aca="false">IFERROR(__xludf.dummyfunction("""COMPUTED_VALUE"""),175121)</f>
        <v>175121</v>
      </c>
      <c r="P186" s="60" t="str">
        <f aca="false">IFERROR(__xludf.dummyfunction("""COMPUTED_VALUE"""),"https://hocmai.vn/bai-giang-truc-tuyen/175121/.html")</f>
        <v>https://hocmai.vn/bai-giang-truc-tuyen/175121/.html</v>
      </c>
      <c r="Q186" s="63"/>
      <c r="R186" s="41"/>
      <c r="S186" s="41"/>
      <c r="T186" s="63"/>
      <c r="U186" s="63"/>
      <c r="V186" s="70" t="n">
        <f aca="false">IFERROR(__xludf.dummyfunction("""COMPUTED_VALUE"""),46232)</f>
        <v>46232</v>
      </c>
      <c r="W186" s="39" t="str">
        <f aca="false">IFERROR(__xludf.dummyfunction("""COMPUTED_VALUE"""),"Hoàn thành XB")</f>
        <v>Hoàn thành XB</v>
      </c>
      <c r="X186" s="41" t="str">
        <f aca="false">IFERROR(__xludf.dummyfunction("""COMPUTED_VALUE"""),"Vuta")</f>
        <v>Vuta</v>
      </c>
      <c r="Y186" s="44"/>
      <c r="Z186" s="57"/>
      <c r="AA186" s="57"/>
      <c r="AB186" s="41" t="n">
        <f aca="false">IFERROR(__xludf.dummyfunction("""COMPUTED_VALUE"""),7)</f>
        <v>7</v>
      </c>
      <c r="AC186" s="57" t="str">
        <f aca="false">IFERROR(__xludf.dummyfunction("""COMPUTED_VALUE"""),"0376611308")</f>
        <v>0376611308</v>
      </c>
      <c r="AD186" s="46"/>
      <c r="AE186" s="46"/>
      <c r="AF186" s="47"/>
      <c r="AG186" s="46"/>
      <c r="AH186" s="53" t="b">
        <f aca="false">IFERROR(__xludf.dummyfunction("""COMPUTED_VALUE"""),FALSE())</f>
        <v>0</v>
      </c>
      <c r="AI186" s="53" t="b">
        <f aca="false">IFERROR(__xludf.dummyfunction("""COMPUTED_VALUE"""),TRUE())</f>
        <v>1</v>
      </c>
      <c r="AJ186" s="53" t="b">
        <f aca="false">IFERROR(__xludf.dummyfunction("""COMPUTED_VALUE"""),FALSE())</f>
        <v>0</v>
      </c>
      <c r="AK186" s="53" t="b">
        <f aca="false">IFERROR(__xludf.dummyfunction("""COMPUTED_VALUE"""),FALSE())</f>
        <v>0</v>
      </c>
      <c r="AL186" s="53" t="b">
        <f aca="false">IFERROR(__xludf.dummyfunction("""COMPUTED_VALUE"""),FALSE())</f>
        <v>0</v>
      </c>
      <c r="AM186" s="53" t="b">
        <f aca="false">IFERROR(__xludf.dummyfunction("""COMPUTED_VALUE"""),FALSE())</f>
        <v>0</v>
      </c>
      <c r="AN186" s="53" t="b">
        <f aca="false">IFERROR(__xludf.dummyfunction("""COMPUTED_VALUE"""),FALSE())</f>
        <v>0</v>
      </c>
      <c r="AO186" s="46"/>
    </row>
    <row r="187" customFormat="false" ht="15.75" hidden="false" customHeight="true" outlineLevel="0" collapsed="false">
      <c r="A187" s="37" t="str">
        <f aca="false">IFERROR(__xludf.dummyfunction("""COMPUTED_VALUE"""),"Thực chiến Đọc hiểu")</f>
        <v>Thực chiến Đọc hiểu</v>
      </c>
      <c r="B187" s="37" t="str">
        <f aca="false">IFERROR(__xludf.dummyfunction("""COMPUTED_VALUE"""),"TC_TSA_DH_03")</f>
        <v>TC_TSA_DH_03</v>
      </c>
      <c r="C187" s="59" t="str">
        <f aca="false">IFERROR(__xludf.dummyfunction("""COMPUTED_VALUE"""),"[Bổ trợ]_Chữa bài tập TSA_Tư duy Đọc hiểu số 03")</f>
        <v>[Bổ trợ]_Chữa bài tập TSA_Tư duy Đọc hiểu số 03</v>
      </c>
      <c r="D187" s="39" t="str">
        <f aca="false">IFERROR(__xludf.dummyfunction("""COMPUTED_VALUE"""),"Đào Hồng Phúc")</f>
        <v>Đào Hồng Phúc</v>
      </c>
      <c r="E187" s="40" t="n">
        <f aca="false">IFERROR(__xludf.dummyfunction("""COMPUTED_VALUE"""),46229)</f>
        <v>46229</v>
      </c>
      <c r="F187" s="41" t="str">
        <f aca="false">IFERROR(__xludf.dummyfunction("""COMPUTED_VALUE"""),"CN")</f>
        <v>CN</v>
      </c>
      <c r="G187" s="37" t="str">
        <f aca="false">IFERROR(__xludf.dummyfunction("""COMPUTED_VALUE"""),"10:00-11:00")</f>
        <v>10:00-11:00</v>
      </c>
      <c r="H187" s="37"/>
      <c r="I187" s="37"/>
      <c r="J187" s="42" t="str">
        <f aca="false">IFERROR(__xludf.dummyfunction("""COMPUTED_VALUE"""),"https://drive.google.com/drive/folders/1pd9bjJYibgDmbHxguapUk25cMrKVUUMQ?usp=sharing")</f>
        <v>https://drive.google.com/drive/folders/1pd9bjJYibgDmbHxguapUk25cMrKVUUMQ?usp=sharing</v>
      </c>
      <c r="K187" s="68" t="str">
        <f aca="false">IFERROR(__xludf.dummyfunction("""COMPUTED_VALUE"""),"Hangvt3")</f>
        <v>Hangvt3</v>
      </c>
      <c r="L187" s="68" t="str">
        <f aca="false">IFERROR(__xludf.dummyfunction("""COMPUTED_VALUE"""),"HOCMAI")</f>
        <v>HOCMAI</v>
      </c>
      <c r="M187" s="71"/>
      <c r="N187" s="77" t="str">
        <f aca="false">IFERROR(__xludf.dummyfunction("""COMPUTED_VALUE"""),"3109")</f>
        <v>3109</v>
      </c>
      <c r="O187" s="63" t="n">
        <f aca="false">IFERROR(__xludf.dummyfunction("""COMPUTED_VALUE"""),175125)</f>
        <v>175125</v>
      </c>
      <c r="P187" s="60" t="str">
        <f aca="false">IFERROR(__xludf.dummyfunction("""COMPUTED_VALUE"""),"https://hocmai.vn/bai-giang-truc-tuyen/175125/.html")</f>
        <v>https://hocmai.vn/bai-giang-truc-tuyen/175125/.html</v>
      </c>
      <c r="Q187" s="63"/>
      <c r="R187" s="41"/>
      <c r="S187" s="41"/>
      <c r="T187" s="63"/>
      <c r="U187" s="63"/>
      <c r="V187" s="70" t="n">
        <f aca="false">IFERROR(__xludf.dummyfunction("""COMPUTED_VALUE"""),46232)</f>
        <v>46232</v>
      </c>
      <c r="W187" s="39" t="str">
        <f aca="false">IFERROR(__xludf.dummyfunction("""COMPUTED_VALUE"""),"Hoàn thành XB")</f>
        <v>Hoàn thành XB</v>
      </c>
      <c r="X187" s="41" t="str">
        <f aca="false">IFERROR(__xludf.dummyfunction("""COMPUTED_VALUE"""),"Vuta")</f>
        <v>Vuta</v>
      </c>
      <c r="Y187" s="44"/>
      <c r="Z187" s="57"/>
      <c r="AA187" s="57"/>
      <c r="AB187" s="41" t="n">
        <f aca="false">IFERROR(__xludf.dummyfunction("""COMPUTED_VALUE"""),7)</f>
        <v>7</v>
      </c>
      <c r="AC187" s="57" t="str">
        <f aca="false">IFERROR(__xludf.dummyfunction("""COMPUTED_VALUE"""),"0987781413")</f>
        <v>0987781413</v>
      </c>
      <c r="AD187" s="46"/>
      <c r="AE187" s="46"/>
      <c r="AF187" s="47"/>
      <c r="AG187" s="46"/>
      <c r="AH187" s="53" t="b">
        <f aca="false">IFERROR(__xludf.dummyfunction("""COMPUTED_VALUE"""),FALSE())</f>
        <v>0</v>
      </c>
      <c r="AI187" s="53" t="b">
        <f aca="false">IFERROR(__xludf.dummyfunction("""COMPUTED_VALUE"""),TRUE())</f>
        <v>1</v>
      </c>
      <c r="AJ187" s="53" t="b">
        <f aca="false">IFERROR(__xludf.dummyfunction("""COMPUTED_VALUE"""),FALSE())</f>
        <v>0</v>
      </c>
      <c r="AK187" s="53" t="b">
        <f aca="false">IFERROR(__xludf.dummyfunction("""COMPUTED_VALUE"""),FALSE())</f>
        <v>0</v>
      </c>
      <c r="AL187" s="53" t="b">
        <f aca="false">IFERROR(__xludf.dummyfunction("""COMPUTED_VALUE"""),FALSE())</f>
        <v>0</v>
      </c>
      <c r="AM187" s="53" t="b">
        <f aca="false">IFERROR(__xludf.dummyfunction("""COMPUTED_VALUE"""),FALSE())</f>
        <v>0</v>
      </c>
      <c r="AN187" s="53" t="b">
        <f aca="false">IFERROR(__xludf.dummyfunction("""COMPUTED_VALUE"""),FALSE())</f>
        <v>0</v>
      </c>
      <c r="AO187" s="46"/>
    </row>
    <row r="188" customFormat="false" ht="15.75" hidden="false" customHeight="true" outlineLevel="0" collapsed="false">
      <c r="A188" s="37" t="str">
        <f aca="false">IFERROR(__xludf.dummyfunction("""COMPUTED_VALUE"""),"Thực chiến Định lượng")</f>
        <v>Thực chiến Định lượng</v>
      </c>
      <c r="B188" s="37" t="str">
        <f aca="false">IFERROR(__xludf.dummyfunction("""COMPUTED_VALUE"""),"TC_HSA_ĐL_04")</f>
        <v>TC_HSA_ĐL_04</v>
      </c>
      <c r="C188" s="59" t="str">
        <f aca="false">IFERROR(__xludf.dummyfunction("""COMPUTED_VALUE"""),"[Bổ trợ]_Chữa bài tập _Tư duy Định lượng số 04")</f>
        <v>[Bổ trợ]_Chữa bài tập _Tư duy Định lượng số 04</v>
      </c>
      <c r="D188" s="39" t="str">
        <f aca="false">IFERROR(__xludf.dummyfunction("""COMPUTED_VALUE"""),"Vi Vũ Trí Đức")</f>
        <v>Vi Vũ Trí Đức</v>
      </c>
      <c r="E188" s="40" t="n">
        <f aca="false">IFERROR(__xludf.dummyfunction("""COMPUTED_VALUE"""),46229)</f>
        <v>46229</v>
      </c>
      <c r="F188" s="41" t="str">
        <f aca="false">IFERROR(__xludf.dummyfunction("""COMPUTED_VALUE"""),"CN")</f>
        <v>CN</v>
      </c>
      <c r="G188" s="37" t="str">
        <f aca="false">IFERROR(__xludf.dummyfunction("""COMPUTED_VALUE"""),"11:00-12:00")</f>
        <v>11:00-12:00</v>
      </c>
      <c r="H188" s="37"/>
      <c r="I188" s="37"/>
      <c r="J188" s="42" t="str">
        <f aca="false">IFERROR(__xludf.dummyfunction("""COMPUTED_VALUE"""),"https://drive.google.com/drive/folders/1N5U1fOCWGSS4xd4f5zqBjojeVWogOqtv?usp=drive_link")</f>
        <v>https://drive.google.com/drive/folders/1N5U1fOCWGSS4xd4f5zqBjojeVWogOqtv?usp=drive_link</v>
      </c>
      <c r="K188" s="68" t="str">
        <f aca="false">IFERROR(__xludf.dummyfunction("""COMPUTED_VALUE"""),"Locdd")</f>
        <v>Locdd</v>
      </c>
      <c r="L188" s="68" t="str">
        <f aca="false">IFERROR(__xludf.dummyfunction("""COMPUTED_VALUE"""),"HOCMAI")</f>
        <v>HOCMAI</v>
      </c>
      <c r="M188" s="71"/>
      <c r="N188" s="77" t="str">
        <f aca="false">IFERROR(__xludf.dummyfunction("""COMPUTED_VALUE"""),"3117")</f>
        <v>3117</v>
      </c>
      <c r="O188" s="63" t="n">
        <f aca="false">IFERROR(__xludf.dummyfunction("""COMPUTED_VALUE"""),175952)</f>
        <v>175952</v>
      </c>
      <c r="P188" s="60" t="str">
        <f aca="false">IFERROR(__xludf.dummyfunction("""COMPUTED_VALUE"""),"https://hocmai.vn/bai-giang-truc-tuyen/175952/.html")</f>
        <v>https://hocmai.vn/bai-giang-truc-tuyen/175952/.html</v>
      </c>
      <c r="Q188" s="63"/>
      <c r="R188" s="41"/>
      <c r="S188" s="41"/>
      <c r="T188" s="63"/>
      <c r="U188" s="63"/>
      <c r="V188" s="70" t="n">
        <f aca="false">IFERROR(__xludf.dummyfunction("""COMPUTED_VALUE"""),46232)</f>
        <v>46232</v>
      </c>
      <c r="W188" s="39" t="str">
        <f aca="false">IFERROR(__xludf.dummyfunction("""COMPUTED_VALUE"""),"Hoàn thành XB")</f>
        <v>Hoàn thành XB</v>
      </c>
      <c r="X188" s="41" t="str">
        <f aca="false">IFERROR(__xludf.dummyfunction("""COMPUTED_VALUE"""),"Vuta")</f>
        <v>Vuta</v>
      </c>
      <c r="Y188" s="44"/>
      <c r="Z188" s="57"/>
      <c r="AA188" s="57"/>
      <c r="AB188" s="41" t="n">
        <f aca="false">IFERROR(__xludf.dummyfunction("""COMPUTED_VALUE"""),7)</f>
        <v>7</v>
      </c>
      <c r="AC188" s="57" t="str">
        <f aca="false">IFERROR(__xludf.dummyfunction("""COMPUTED_VALUE"""),"tdstawesome@gmail.com")</f>
        <v>tdstawesome@gmail.com</v>
      </c>
      <c r="AD188" s="46"/>
      <c r="AE188" s="46"/>
      <c r="AF188" s="47"/>
      <c r="AG188" s="46"/>
      <c r="AH188" s="53" t="b">
        <f aca="false">IFERROR(__xludf.dummyfunction("""COMPUTED_VALUE"""),FALSE())</f>
        <v>0</v>
      </c>
      <c r="AI188" s="53" t="b">
        <f aca="false">IFERROR(__xludf.dummyfunction("""COMPUTED_VALUE"""),FALSE())</f>
        <v>0</v>
      </c>
      <c r="AJ188" s="53" t="b">
        <f aca="false">IFERROR(__xludf.dummyfunction("""COMPUTED_VALUE"""),TRUE())</f>
        <v>1</v>
      </c>
      <c r="AK188" s="53" t="b">
        <f aca="false">IFERROR(__xludf.dummyfunction("""COMPUTED_VALUE"""),TRUE())</f>
        <v>1</v>
      </c>
      <c r="AL188" s="53" t="b">
        <f aca="false">IFERROR(__xludf.dummyfunction("""COMPUTED_VALUE"""),FALSE())</f>
        <v>0</v>
      </c>
      <c r="AM188" s="53" t="b">
        <f aca="false">IFERROR(__xludf.dummyfunction("""COMPUTED_VALUE"""),FALSE())</f>
        <v>0</v>
      </c>
      <c r="AN188" s="53" t="b">
        <f aca="false">IFERROR(__xludf.dummyfunction("""COMPUTED_VALUE"""),FALSE())</f>
        <v>0</v>
      </c>
      <c r="AO188" s="46"/>
    </row>
    <row r="189" customFormat="false" ht="15.75" hidden="false" customHeight="true" outlineLevel="0" collapsed="false">
      <c r="A189" s="37" t="str">
        <f aca="false">IFERROR(__xludf.dummyfunction("""COMPUTED_VALUE"""),"Thực chiến Định tính")</f>
        <v>Thực chiến Định tính</v>
      </c>
      <c r="B189" s="37" t="str">
        <f aca="false">IFERROR(__xludf.dummyfunction("""COMPUTED_VALUE"""),"TC_HSA_ĐT_02")</f>
        <v>TC_HSA_ĐT_02</v>
      </c>
      <c r="C189" s="59" t="str">
        <f aca="false">IFERROR(__xludf.dummyfunction("""COMPUTED_VALUE"""),"[Bổ trợ]_Chữa bài tập _Tư duy Định tính số 02")</f>
        <v>[Bổ trợ]_Chữa bài tập _Tư duy Định tính số 02</v>
      </c>
      <c r="D189" s="39" t="str">
        <f aca="false">IFERROR(__xludf.dummyfunction("""COMPUTED_VALUE"""),"Nguyễn Thị Thanh Hoa")</f>
        <v>Nguyễn Thị Thanh Hoa</v>
      </c>
      <c r="E189" s="40" t="n">
        <f aca="false">IFERROR(__xludf.dummyfunction("""COMPUTED_VALUE"""),46229)</f>
        <v>46229</v>
      </c>
      <c r="F189" s="41" t="str">
        <f aca="false">IFERROR(__xludf.dummyfunction("""COMPUTED_VALUE"""),"CN")</f>
        <v>CN</v>
      </c>
      <c r="G189" s="37" t="str">
        <f aca="false">IFERROR(__xludf.dummyfunction("""COMPUTED_VALUE"""),"17:00-18:00")</f>
        <v>17:00-18:00</v>
      </c>
      <c r="H189" s="37"/>
      <c r="I189" s="37"/>
      <c r="J189" s="42" t="str">
        <f aca="false">IFERROR(__xludf.dummyfunction("""COMPUTED_VALUE"""),"https://drive.google.com/open?id=1NlpFpKDYOm4bBwGPgeeHD7zH92LiYoFS&amp;usp=drive_fs")</f>
        <v>https://drive.google.com/open?id=1NlpFpKDYOm4bBwGPgeeHD7zH92LiYoFS&amp;usp=drive_fs</v>
      </c>
      <c r="K189" s="68" t="str">
        <f aca="false">IFERROR(__xludf.dummyfunction("""COMPUTED_VALUE"""),"Hoantt")</f>
        <v>Hoantt</v>
      </c>
      <c r="L189" s="68" t="str">
        <f aca="false">IFERROR(__xludf.dummyfunction("""COMPUTED_VALUE"""),"HOCMAI")</f>
        <v>HOCMAI</v>
      </c>
      <c r="M189" s="71"/>
      <c r="N189" s="77" t="str">
        <f aca="false">IFERROR(__xludf.dummyfunction("""COMPUTED_VALUE"""),"3118")</f>
        <v>3118</v>
      </c>
      <c r="O189" s="63" t="n">
        <f aca="false">IFERROR(__xludf.dummyfunction("""COMPUTED_VALUE"""),175161)</f>
        <v>175161</v>
      </c>
      <c r="P189" s="60" t="str">
        <f aca="false">IFERROR(__xludf.dummyfunction("""COMPUTED_VALUE"""),"https://hocmai.vn/bai-giang-truc-tuyen/175161/.html")</f>
        <v>https://hocmai.vn/bai-giang-truc-tuyen/175161/.html</v>
      </c>
      <c r="Q189" s="63"/>
      <c r="R189" s="41"/>
      <c r="S189" s="41"/>
      <c r="T189" s="63"/>
      <c r="U189" s="63"/>
      <c r="V189" s="70" t="n">
        <f aca="false">IFERROR(__xludf.dummyfunction("""COMPUTED_VALUE"""),46232)</f>
        <v>46232</v>
      </c>
      <c r="W189" s="39" t="str">
        <f aca="false">IFERROR(__xludf.dummyfunction("""COMPUTED_VALUE"""),"Hoàn thành XB")</f>
        <v>Hoàn thành XB</v>
      </c>
      <c r="X189" s="41" t="str">
        <f aca="false">IFERROR(__xludf.dummyfunction("""COMPUTED_VALUE"""),"Vuta")</f>
        <v>Vuta</v>
      </c>
      <c r="Y189" s="44"/>
      <c r="Z189" s="57"/>
      <c r="AA189" s="57"/>
      <c r="AB189" s="41" t="n">
        <f aca="false">IFERROR(__xludf.dummyfunction("""COMPUTED_VALUE"""),7)</f>
        <v>7</v>
      </c>
      <c r="AC189" s="57" t="str">
        <f aca="false">IFERROR(__xludf.dummyfunction("""COMPUTED_VALUE"""),"hoantt@hocmai.vn")</f>
        <v>hoantt@hocmai.vn</v>
      </c>
      <c r="AD189" s="46"/>
      <c r="AE189" s="46"/>
      <c r="AF189" s="47"/>
      <c r="AG189" s="46"/>
      <c r="AH189" s="53" t="b">
        <f aca="false">IFERROR(__xludf.dummyfunction("""COMPUTED_VALUE"""),FALSE())</f>
        <v>0</v>
      </c>
      <c r="AI189" s="53" t="b">
        <f aca="false">IFERROR(__xludf.dummyfunction("""COMPUTED_VALUE"""),FALSE())</f>
        <v>0</v>
      </c>
      <c r="AJ189" s="53" t="b">
        <f aca="false">IFERROR(__xludf.dummyfunction("""COMPUTED_VALUE"""),TRUE())</f>
        <v>1</v>
      </c>
      <c r="AK189" s="53" t="b">
        <f aca="false">IFERROR(__xludf.dummyfunction("""COMPUTED_VALUE"""),TRUE())</f>
        <v>1</v>
      </c>
      <c r="AL189" s="53" t="b">
        <f aca="false">IFERROR(__xludf.dummyfunction("""COMPUTED_VALUE"""),FALSE())</f>
        <v>0</v>
      </c>
      <c r="AM189" s="53" t="b">
        <f aca="false">IFERROR(__xludf.dummyfunction("""COMPUTED_VALUE"""),FALSE())</f>
        <v>0</v>
      </c>
      <c r="AN189" s="53" t="b">
        <f aca="false">IFERROR(__xludf.dummyfunction("""COMPUTED_VALUE"""),FALSE())</f>
        <v>0</v>
      </c>
      <c r="AO189" s="46"/>
    </row>
    <row r="190" customFormat="false" ht="15.75" hidden="false" customHeight="true" outlineLevel="0" collapsed="false">
      <c r="A190" s="37" t="str">
        <f aca="false">IFERROR(__xludf.dummyfunction("""COMPUTED_VALUE"""),"Thực chiến Định lượng")</f>
        <v>Thực chiến Định lượng</v>
      </c>
      <c r="B190" s="37" t="str">
        <f aca="false">IFERROR(__xludf.dummyfunction("""COMPUTED_VALUE"""),"TC_HSA_ĐL_05")</f>
        <v>TC_HSA_ĐL_05</v>
      </c>
      <c r="C190" s="59" t="str">
        <f aca="false">IFERROR(__xludf.dummyfunction("""COMPUTED_VALUE"""),"[Bổ trợ]_Chữa bài tập _Tư duy Định lượng số 05")</f>
        <v>[Bổ trợ]_Chữa bài tập _Tư duy Định lượng số 05</v>
      </c>
      <c r="D190" s="39" t="str">
        <f aca="false">IFERROR(__xludf.dummyfunction("""COMPUTED_VALUE"""),"Nguyễn Trọng Trường Anh")</f>
        <v>Nguyễn Trọng Trường Anh</v>
      </c>
      <c r="E190" s="40" t="n">
        <f aca="false">IFERROR(__xludf.dummyfunction("""COMPUTED_VALUE"""),46229)</f>
        <v>46229</v>
      </c>
      <c r="F190" s="41" t="str">
        <f aca="false">IFERROR(__xludf.dummyfunction("""COMPUTED_VALUE"""),"CN")</f>
        <v>CN</v>
      </c>
      <c r="G190" s="37" t="str">
        <f aca="false">IFERROR(__xludf.dummyfunction("""COMPUTED_VALUE"""),"10:00-11:00")</f>
        <v>10:00-11:00</v>
      </c>
      <c r="H190" s="37"/>
      <c r="I190" s="37"/>
      <c r="J190" s="42" t="str">
        <f aca="false">IFERROR(__xludf.dummyfunction("""COMPUTED_VALUE"""),"https://drive.google.com/drive/folders/1Usy3Pw0JiJGVMeI6lyFj1JCjSmE-nxi7?usp=drive_link")</f>
        <v>https://drive.google.com/drive/folders/1Usy3Pw0JiJGVMeI6lyFj1JCjSmE-nxi7?usp=drive_link</v>
      </c>
      <c r="K190" s="68" t="str">
        <f aca="false">IFERROR(__xludf.dummyfunction("""COMPUTED_VALUE"""),"Locdd")</f>
        <v>Locdd</v>
      </c>
      <c r="L190" s="68" t="str">
        <f aca="false">IFERROR(__xludf.dummyfunction("""COMPUTED_VALUE"""),"HOCMAI")</f>
        <v>HOCMAI</v>
      </c>
      <c r="M190" s="71"/>
      <c r="N190" s="77" t="str">
        <f aca="false">IFERROR(__xludf.dummyfunction("""COMPUTED_VALUE"""),"3117")</f>
        <v>3117</v>
      </c>
      <c r="O190" s="63" t="n">
        <f aca="false">IFERROR(__xludf.dummyfunction("""COMPUTED_VALUE"""),175953)</f>
        <v>175953</v>
      </c>
      <c r="P190" s="60" t="str">
        <f aca="false">IFERROR(__xludf.dummyfunction("""COMPUTED_VALUE"""),"https://hocmai.vn/bai-giang-truc-tuyen/175953/.html")</f>
        <v>https://hocmai.vn/bai-giang-truc-tuyen/175953/.html</v>
      </c>
      <c r="Q190" s="63"/>
      <c r="R190" s="41"/>
      <c r="S190" s="41"/>
      <c r="T190" s="63"/>
      <c r="U190" s="63"/>
      <c r="V190" s="70" t="n">
        <f aca="false">IFERROR(__xludf.dummyfunction("""COMPUTED_VALUE"""),46232)</f>
        <v>46232</v>
      </c>
      <c r="W190" s="39" t="str">
        <f aca="false">IFERROR(__xludf.dummyfunction("""COMPUTED_VALUE"""),"Hoàn thành XB")</f>
        <v>Hoàn thành XB</v>
      </c>
      <c r="X190" s="41" t="str">
        <f aca="false">IFERROR(__xludf.dummyfunction("""COMPUTED_VALUE"""),"Vuta")</f>
        <v>Vuta</v>
      </c>
      <c r="Y190" s="44"/>
      <c r="Z190" s="57"/>
      <c r="AA190" s="57"/>
      <c r="AB190" s="41" t="n">
        <f aca="false">IFERROR(__xludf.dummyfunction("""COMPUTED_VALUE"""),7)</f>
        <v>7</v>
      </c>
      <c r="AC190" s="57" t="str">
        <f aca="false">IFERROR(__xludf.dummyfunction("""COMPUTED_VALUE"""),"thochi1981@gmail.com")</f>
        <v>thochi1981@gmail.com</v>
      </c>
      <c r="AD190" s="46"/>
      <c r="AE190" s="46"/>
      <c r="AF190" s="47"/>
      <c r="AG190" s="46"/>
      <c r="AH190" s="53" t="b">
        <f aca="false">IFERROR(__xludf.dummyfunction("""COMPUTED_VALUE"""),FALSE())</f>
        <v>0</v>
      </c>
      <c r="AI190" s="53" t="b">
        <f aca="false">IFERROR(__xludf.dummyfunction("""COMPUTED_VALUE"""),FALSE())</f>
        <v>0</v>
      </c>
      <c r="AJ190" s="53" t="b">
        <f aca="false">IFERROR(__xludf.dummyfunction("""COMPUTED_VALUE"""),TRUE())</f>
        <v>1</v>
      </c>
      <c r="AK190" s="53" t="b">
        <f aca="false">IFERROR(__xludf.dummyfunction("""COMPUTED_VALUE"""),TRUE())</f>
        <v>1</v>
      </c>
      <c r="AL190" s="53" t="b">
        <f aca="false">IFERROR(__xludf.dummyfunction("""COMPUTED_VALUE"""),FALSE())</f>
        <v>0</v>
      </c>
      <c r="AM190" s="53" t="b">
        <f aca="false">IFERROR(__xludf.dummyfunction("""COMPUTED_VALUE"""),FALSE())</f>
        <v>0</v>
      </c>
      <c r="AN190" s="53" t="b">
        <f aca="false">IFERROR(__xludf.dummyfunction("""COMPUTED_VALUE"""),FALSE())</f>
        <v>0</v>
      </c>
      <c r="AO190" s="46"/>
    </row>
    <row r="191" customFormat="false" ht="15.75" hidden="false" customHeight="true" outlineLevel="0" collapsed="false">
      <c r="A191" s="37" t="str">
        <f aca="false">IFERROR(__xludf.dummyfunction("""COMPUTED_VALUE"""),"Thực chiến Định lượng")</f>
        <v>Thực chiến Định lượng</v>
      </c>
      <c r="B191" s="37" t="str">
        <f aca="false">IFERROR(__xludf.dummyfunction("""COMPUTED_VALUE"""),"TC_HSA_ĐL_06")</f>
        <v>TC_HSA_ĐL_06</v>
      </c>
      <c r="C191" s="59" t="str">
        <f aca="false">IFERROR(__xludf.dummyfunction("""COMPUTED_VALUE"""),"[Bổ trợ]_Chữa bài tập _Tư duy Định lượng số 06")</f>
        <v>[Bổ trợ]_Chữa bài tập _Tư duy Định lượng số 06</v>
      </c>
      <c r="D191" s="39" t="str">
        <f aca="false">IFERROR(__xludf.dummyfunction("""COMPUTED_VALUE"""),"Vi Vũ Trí Đức")</f>
        <v>Vi Vũ Trí Đức</v>
      </c>
      <c r="E191" s="40" t="n">
        <f aca="false">IFERROR(__xludf.dummyfunction("""COMPUTED_VALUE"""),46229)</f>
        <v>46229</v>
      </c>
      <c r="F191" s="41" t="str">
        <f aca="false">IFERROR(__xludf.dummyfunction("""COMPUTED_VALUE"""),"CN")</f>
        <v>CN</v>
      </c>
      <c r="G191" s="37" t="str">
        <f aca="false">IFERROR(__xludf.dummyfunction("""COMPUTED_VALUE"""),"21:00-22:00")</f>
        <v>21:00-22:00</v>
      </c>
      <c r="H191" s="37"/>
      <c r="I191" s="37"/>
      <c r="J191" s="42" t="str">
        <f aca="false">IFERROR(__xludf.dummyfunction("""COMPUTED_VALUE"""),"https://drive.google.com/drive/folders/1ISiyTnqX1F0n3ybTokbKtD7zjkCjcUrl?usp=drive_link")</f>
        <v>https://drive.google.com/drive/folders/1ISiyTnqX1F0n3ybTokbKtD7zjkCjcUrl?usp=drive_link</v>
      </c>
      <c r="K191" s="68" t="str">
        <f aca="false">IFERROR(__xludf.dummyfunction("""COMPUTED_VALUE"""),"Locdd")</f>
        <v>Locdd</v>
      </c>
      <c r="L191" s="68" t="str">
        <f aca="false">IFERROR(__xludf.dummyfunction("""COMPUTED_VALUE"""),"HOCMAI")</f>
        <v>HOCMAI</v>
      </c>
      <c r="M191" s="71"/>
      <c r="N191" s="77" t="str">
        <f aca="false">IFERROR(__xludf.dummyfunction("""COMPUTED_VALUE"""),"3117")</f>
        <v>3117</v>
      </c>
      <c r="O191" s="63" t="n">
        <f aca="false">IFERROR(__xludf.dummyfunction("""COMPUTED_VALUE"""),175954)</f>
        <v>175954</v>
      </c>
      <c r="P191" s="60" t="str">
        <f aca="false">IFERROR(__xludf.dummyfunction("""COMPUTED_VALUE"""),"https://hocmai.vn/bai-giang-truc-tuyen/175954/.html")</f>
        <v>https://hocmai.vn/bai-giang-truc-tuyen/175954/.html</v>
      </c>
      <c r="Q191" s="63"/>
      <c r="R191" s="41"/>
      <c r="S191" s="41"/>
      <c r="T191" s="63"/>
      <c r="U191" s="63"/>
      <c r="V191" s="70" t="n">
        <f aca="false">IFERROR(__xludf.dummyfunction("""COMPUTED_VALUE"""),46232)</f>
        <v>46232</v>
      </c>
      <c r="W191" s="39" t="str">
        <f aca="false">IFERROR(__xludf.dummyfunction("""COMPUTED_VALUE"""),"Hoàn thành XB")</f>
        <v>Hoàn thành XB</v>
      </c>
      <c r="X191" s="41" t="str">
        <f aca="false">IFERROR(__xludf.dummyfunction("""COMPUTED_VALUE"""),"Vuta")</f>
        <v>Vuta</v>
      </c>
      <c r="Y191" s="44"/>
      <c r="Z191" s="57"/>
      <c r="AA191" s="57"/>
      <c r="AB191" s="41" t="n">
        <f aca="false">IFERROR(__xludf.dummyfunction("""COMPUTED_VALUE"""),7)</f>
        <v>7</v>
      </c>
      <c r="AC191" s="57" t="str">
        <f aca="false">IFERROR(__xludf.dummyfunction("""COMPUTED_VALUE"""),"tdstawesome@gmail.com")</f>
        <v>tdstawesome@gmail.com</v>
      </c>
      <c r="AD191" s="46"/>
      <c r="AE191" s="46"/>
      <c r="AF191" s="47"/>
      <c r="AG191" s="46"/>
      <c r="AH191" s="53" t="b">
        <f aca="false">IFERROR(__xludf.dummyfunction("""COMPUTED_VALUE"""),FALSE())</f>
        <v>0</v>
      </c>
      <c r="AI191" s="53" t="b">
        <f aca="false">IFERROR(__xludf.dummyfunction("""COMPUTED_VALUE"""),FALSE())</f>
        <v>0</v>
      </c>
      <c r="AJ191" s="53" t="b">
        <f aca="false">IFERROR(__xludf.dummyfunction("""COMPUTED_VALUE"""),TRUE())</f>
        <v>1</v>
      </c>
      <c r="AK191" s="53" t="b">
        <f aca="false">IFERROR(__xludf.dummyfunction("""COMPUTED_VALUE"""),TRUE())</f>
        <v>1</v>
      </c>
      <c r="AL191" s="53" t="b">
        <f aca="false">IFERROR(__xludf.dummyfunction("""COMPUTED_VALUE"""),FALSE())</f>
        <v>0</v>
      </c>
      <c r="AM191" s="53" t="b">
        <f aca="false">IFERROR(__xludf.dummyfunction("""COMPUTED_VALUE"""),FALSE())</f>
        <v>0</v>
      </c>
      <c r="AN191" s="53" t="b">
        <f aca="false">IFERROR(__xludf.dummyfunction("""COMPUTED_VALUE"""),FALSE())</f>
        <v>0</v>
      </c>
      <c r="AO191" s="46"/>
    </row>
    <row r="192" customFormat="false" ht="15.75" hidden="false" customHeight="true" outlineLevel="0" collapsed="false">
      <c r="A192" s="37" t="str">
        <f aca="false">IFERROR(__xludf.dummyfunction("""COMPUTED_VALUE"""),"Thực chiến Tiếng Anh")</f>
        <v>Thực chiến Tiếng Anh</v>
      </c>
      <c r="B192" s="37" t="str">
        <f aca="false">IFERROR(__xludf.dummyfunction("""COMPUTED_VALUE"""),"TC_V-ACT_TA_05")</f>
        <v>TC_V-ACT_TA_05</v>
      </c>
      <c r="C192" s="59" t="str">
        <f aca="false">IFERROR(__xludf.dummyfunction("""COMPUTED_VALUE"""),"[Bổ trợ]_Chữa bài tập_V-ACT_Tiếng Anh số 05")</f>
        <v>[Bổ trợ]_Chữa bài tập_V-ACT_Tiếng Anh số 05</v>
      </c>
      <c r="D192" s="39" t="str">
        <f aca="false">IFERROR(__xludf.dummyfunction("""COMPUTED_VALUE"""),"Dung Thành Vinh")</f>
        <v>Dung Thành Vinh</v>
      </c>
      <c r="E192" s="40" t="n">
        <f aca="false">IFERROR(__xludf.dummyfunction("""COMPUTED_VALUE"""),46229)</f>
        <v>46229</v>
      </c>
      <c r="F192" s="41" t="str">
        <f aca="false">IFERROR(__xludf.dummyfunction("""COMPUTED_VALUE"""),"CN")</f>
        <v>CN</v>
      </c>
      <c r="G192" s="37" t="str">
        <f aca="false">IFERROR(__xludf.dummyfunction("""COMPUTED_VALUE"""),"10:00-11:00")</f>
        <v>10:00-11:00</v>
      </c>
      <c r="H192" s="37"/>
      <c r="I192" s="37"/>
      <c r="J192" s="42" t="str">
        <f aca="false">IFERROR(__xludf.dummyfunction("""COMPUTED_VALUE"""),"https://drive.google.com/drive/folders/1VsPvbmntiS76F8Qr3l5GnM-W8WxviuR_?usp=sharing")</f>
        <v>https://drive.google.com/drive/folders/1VsPvbmntiS76F8Qr3l5GnM-W8WxviuR_?usp=sharing</v>
      </c>
      <c r="K192" s="68" t="str">
        <f aca="false">IFERROR(__xludf.dummyfunction("""COMPUTED_VALUE"""),"Huyenn2")</f>
        <v>Huyenn2</v>
      </c>
      <c r="L192" s="68" t="str">
        <f aca="false">IFERROR(__xludf.dummyfunction("""COMPUTED_VALUE"""),"HOCMAI")</f>
        <v>HOCMAI</v>
      </c>
      <c r="M192" s="71"/>
      <c r="N192" s="77" t="str">
        <f aca="false">IFERROR(__xludf.dummyfunction("""COMPUTED_VALUE"""),"3165")</f>
        <v>3165</v>
      </c>
      <c r="O192" s="63" t="n">
        <f aca="false">IFERROR(__xludf.dummyfunction("""COMPUTED_VALUE"""),175201)</f>
        <v>175201</v>
      </c>
      <c r="P192" s="60" t="str">
        <f aca="false">IFERROR(__xludf.dummyfunction("""COMPUTED_VALUE"""),"https://hocmai.vn/bai-giang-truc-tuyen/175201/.html")</f>
        <v>https://hocmai.vn/bai-giang-truc-tuyen/175201/.html</v>
      </c>
      <c r="Q192" s="63"/>
      <c r="R192" s="41"/>
      <c r="S192" s="41"/>
      <c r="T192" s="63"/>
      <c r="U192" s="63"/>
      <c r="V192" s="70" t="n">
        <f aca="false">IFERROR(__xludf.dummyfunction("""COMPUTED_VALUE"""),46232)</f>
        <v>46232</v>
      </c>
      <c r="W192" s="39" t="str">
        <f aca="false">IFERROR(__xludf.dummyfunction("""COMPUTED_VALUE"""),"Hoàn thành XB")</f>
        <v>Hoàn thành XB</v>
      </c>
      <c r="X192" s="41" t="str">
        <f aca="false">IFERROR(__xludf.dummyfunction("""COMPUTED_VALUE"""),"Vuta")</f>
        <v>Vuta</v>
      </c>
      <c r="Y192" s="44"/>
      <c r="Z192" s="57"/>
      <c r="AA192" s="57"/>
      <c r="AB192" s="41" t="n">
        <f aca="false">IFERROR(__xludf.dummyfunction("""COMPUTED_VALUE"""),7)</f>
        <v>7</v>
      </c>
      <c r="AC192" s="57" t="str">
        <f aca="false">IFERROR(__xludf.dummyfunction("""COMPUTED_VALUE"""),"shimlim04@gmail.com")</f>
        <v>shimlim04@gmail.com</v>
      </c>
      <c r="AD192" s="46"/>
      <c r="AE192" s="46"/>
      <c r="AF192" s="47"/>
      <c r="AG192" s="46"/>
      <c r="AH192" s="53" t="b">
        <f aca="false">IFERROR(__xludf.dummyfunction("""COMPUTED_VALUE"""),FALSE())</f>
        <v>0</v>
      </c>
      <c r="AI192" s="53" t="b">
        <f aca="false">IFERROR(__xludf.dummyfunction("""COMPUTED_VALUE"""),FALSE())</f>
        <v>0</v>
      </c>
      <c r="AJ192" s="53" t="b">
        <f aca="false">IFERROR(__xludf.dummyfunction("""COMPUTED_VALUE"""),FALSE())</f>
        <v>0</v>
      </c>
      <c r="AK192" s="53" t="b">
        <f aca="false">IFERROR(__xludf.dummyfunction("""COMPUTED_VALUE"""),FALSE())</f>
        <v>0</v>
      </c>
      <c r="AL192" s="53" t="b">
        <f aca="false">IFERROR(__xludf.dummyfunction("""COMPUTED_VALUE"""),FALSE())</f>
        <v>0</v>
      </c>
      <c r="AM192" s="53" t="b">
        <f aca="false">IFERROR(__xludf.dummyfunction("""COMPUTED_VALUE"""),TRUE())</f>
        <v>1</v>
      </c>
      <c r="AN192" s="53" t="b">
        <f aca="false">IFERROR(__xludf.dummyfunction("""COMPUTED_VALUE"""),TRUE())</f>
        <v>1</v>
      </c>
      <c r="AO192" s="46"/>
    </row>
    <row r="193" customFormat="false" ht="15.75" hidden="false" customHeight="true" outlineLevel="0" collapsed="false">
      <c r="A193" s="37" t="str">
        <f aca="false">IFERROR(__xludf.dummyfunction("""COMPUTED_VALUE"""),"Đọc hiểu")</f>
        <v>Đọc hiểu</v>
      </c>
      <c r="B193" s="37" t="str">
        <f aca="false">IFERROR(__xludf.dummyfunction("""COMPUTED_VALUE"""),"TOV_TSA_DH07")</f>
        <v>TOV_TSA_DH07</v>
      </c>
      <c r="C193" s="59" t="str">
        <f aca="false">IFERROR(__xludf.dummyfunction("""COMPUTED_VALUE"""),"Suy luận thông tin và quan hệ logic của thông tin")</f>
        <v>Suy luận thông tin và quan hệ logic của thông tin</v>
      </c>
      <c r="D193" s="39" t="str">
        <f aca="false">IFERROR(__xludf.dummyfunction("""COMPUTED_VALUE"""),"Vũ Khắc Ngọc")</f>
        <v>Vũ Khắc Ngọc</v>
      </c>
      <c r="E193" s="40" t="n">
        <f aca="false">IFERROR(__xludf.dummyfunction("""COMPUTED_VALUE"""),46230)</f>
        <v>46230</v>
      </c>
      <c r="F193" s="41" t="n">
        <f aca="false">IFERROR(__xludf.dummyfunction("""COMPUTED_VALUE"""),2)</f>
        <v>2</v>
      </c>
      <c r="G193" s="37" t="str">
        <f aca="false">IFERROR(__xludf.dummyfunction("""COMPUTED_VALUE"""),"21:30-23:30")</f>
        <v>21:30-23:30</v>
      </c>
      <c r="H193" s="37"/>
      <c r="I193" s="37"/>
      <c r="J193" s="42" t="str">
        <f aca="false">IFERROR(__xludf.dummyfunction("""COMPUTED_VALUE"""),"https://drive.google.com/drive/folders/1VbCBRy_rbZgynFx3_rGRZCGRtMLe637F")</f>
        <v>https://drive.google.com/drive/folders/1VbCBRy_rbZgynFx3_rGRZCGRtMLe637F</v>
      </c>
      <c r="K193" s="68" t="str">
        <f aca="false">IFERROR(__xludf.dummyfunction("""COMPUTED_VALUE"""),"Hangvt3")</f>
        <v>Hangvt3</v>
      </c>
      <c r="L193" s="68" t="str">
        <f aca="false">IFERROR(__xludf.dummyfunction("""COMPUTED_VALUE"""),"Phan Đức Kiên")</f>
        <v>Phan Đức Kiên</v>
      </c>
      <c r="M193" s="71"/>
      <c r="N193" s="77" t="str">
        <f aca="false">IFERROR(__xludf.dummyfunction("""COMPUTED_VALUE"""),"3109")</f>
        <v>3109</v>
      </c>
      <c r="O193" s="63" t="n">
        <f aca="false">IFERROR(__xludf.dummyfunction("""COMPUTED_VALUE"""),167230)</f>
        <v>167230</v>
      </c>
      <c r="P193" s="63"/>
      <c r="Q193" s="63"/>
      <c r="R193" s="41"/>
      <c r="S193" s="41"/>
      <c r="T193" s="63"/>
      <c r="U193" s="63"/>
      <c r="V193" s="70" t="n">
        <f aca="false">IFERROR(__xludf.dummyfunction("""COMPUTED_VALUE"""),46233)</f>
        <v>46233</v>
      </c>
      <c r="W193" s="39" t="str">
        <f aca="false">IFERROR(__xludf.dummyfunction("""COMPUTED_VALUE"""),"Hoàn thành XB")</f>
        <v>Hoàn thành XB</v>
      </c>
      <c r="X193" s="41" t="str">
        <f aca="false">IFERROR(__xludf.dummyfunction("""COMPUTED_VALUE"""),"Huent7")</f>
        <v>Huent7</v>
      </c>
      <c r="Y193" s="44" t="str">
        <f aca="false">IFERROR(__xludf.dummyfunction("""COMPUTED_VALUE"""),"done")</f>
        <v>done</v>
      </c>
      <c r="Z193" s="57" t="str">
        <f aca="false">IFERROR(__xludf.dummyfunction("""COMPUTED_VALUE"""),"#N/A")</f>
        <v>#N/A</v>
      </c>
      <c r="AA193" s="57"/>
      <c r="AB193" s="41" t="n">
        <f aca="false">IFERROR(__xludf.dummyfunction("""COMPUTED_VALUE"""),7)</f>
        <v>7</v>
      </c>
      <c r="AC193" s="57" t="str">
        <f aca="false">IFERROR(__xludf.dummyfunction("""COMPUTED_VALUE"""),"gv.ngocvk@hocmai.edu.vn")</f>
        <v>gv.ngocvk@hocmai.edu.vn</v>
      </c>
      <c r="AD193" s="46" t="str">
        <f aca="false">IFERROR(__xludf.dummyfunction("""COMPUTED_VALUE"""),"duckien010607@gmail.com")</f>
        <v>duckien010607@gmail.com</v>
      </c>
      <c r="AE193" s="46"/>
      <c r="AF193" s="47" t="str">
        <f aca="false">IFERROR(__xludf.dummyfunction("""COMPUTED_VALUE"""),"lophoctoan-946230")</f>
        <v>lophoctoan-946230</v>
      </c>
      <c r="AG193" s="46" t="str">
        <f aca="false">IFERROR(__xludf.dummyfunction("""COMPUTED_VALUE"""),"")</f>
        <v/>
      </c>
      <c r="AH193" s="35"/>
      <c r="AI193" s="53" t="b">
        <f aca="false">IFERROR(__xludf.dummyfunction("""COMPUTED_VALUE"""),TRUE())</f>
        <v>1</v>
      </c>
      <c r="AJ193" s="35"/>
      <c r="AK193" s="35"/>
      <c r="AL193" s="35"/>
      <c r="AM193" s="35"/>
      <c r="AN193" s="35"/>
      <c r="AO193" s="46"/>
    </row>
    <row r="194" customFormat="false" ht="15.75" hidden="false" customHeight="true" outlineLevel="0" collapsed="false">
      <c r="A194" s="37" t="str">
        <f aca="false">IFERROR(__xludf.dummyfunction("""COMPUTED_VALUE"""),"Tiếng Anh")</f>
        <v>Tiếng Anh</v>
      </c>
      <c r="B194" s="37" t="str">
        <f aca="false">IFERROR(__xludf.dummyfunction("""COMPUTED_VALUE"""),"TOV_HV_TA07")</f>
        <v>TOV_HV_TA07</v>
      </c>
      <c r="C194" s="59" t="str">
        <f aca="false">IFERROR(__xludf.dummyfunction("""COMPUTED_VALUE"""),"Phrasal verbs - Collocations")</f>
        <v>Phrasal verbs - Collocations</v>
      </c>
      <c r="D194" s="39" t="str">
        <f aca="false">IFERROR(__xludf.dummyfunction("""COMPUTED_VALUE"""),"Nguyễn Thanh Hương")</f>
        <v>Nguyễn Thanh Hương</v>
      </c>
      <c r="E194" s="40" t="n">
        <f aca="false">IFERROR(__xludf.dummyfunction("""COMPUTED_VALUE"""),46230)</f>
        <v>46230</v>
      </c>
      <c r="F194" s="41" t="n">
        <f aca="false">IFERROR(__xludf.dummyfunction("""COMPUTED_VALUE"""),2)</f>
        <v>2</v>
      </c>
      <c r="G194" s="37" t="str">
        <f aca="false">IFERROR(__xludf.dummyfunction("""COMPUTED_VALUE"""),"20:00-22:00")</f>
        <v>20:00-22:00</v>
      </c>
      <c r="H194" s="37"/>
      <c r="I194" s="37"/>
      <c r="J194" s="42" t="str">
        <f aca="false">IFERROR(__xludf.dummyfunction("""COMPUTED_VALUE"""),"https://drive.google.com/file/d/1n2B9zqVAEZdUaov9_TyscNgI3UXEyrCG/view?usp=drive_link")</f>
        <v>https://drive.google.com/file/d/1n2B9zqVAEZdUaov9_TyscNgI3UXEyrCG/view?usp=drive_link</v>
      </c>
      <c r="K194" s="68" t="str">
        <f aca="false">IFERROR(__xludf.dummyfunction("""COMPUTED_VALUE"""),"huyennn2")</f>
        <v>huyennn2</v>
      </c>
      <c r="L194" s="68" t="str">
        <f aca="false">IFERROR(__xludf.dummyfunction("""COMPUTED_VALUE"""),"Phạm Quang Thành")</f>
        <v>Phạm Quang Thành</v>
      </c>
      <c r="M194" s="71"/>
      <c r="N194" s="77" t="str">
        <f aca="false">IFERROR(__xludf.dummyfunction("""COMPUTED_VALUE"""),"3140,3165,3339")</f>
        <v>3140,3165,3339</v>
      </c>
      <c r="O194" s="73" t="str">
        <f aca="false">IFERROR(__xludf.dummyfunction("""COMPUTED_VALUE"""),"167543,167611,167635")</f>
        <v>167543,167611,167635</v>
      </c>
      <c r="P194" s="63" t="str">
        <f aca="false">IFERROR(__xludf.dummyfunction("""COMPUTED_VALUE"""),"9030,9038,9047,9119")</f>
        <v>9030,9038,9047,9119</v>
      </c>
      <c r="Q194" s="63"/>
      <c r="R194" s="41"/>
      <c r="S194" s="41"/>
      <c r="T194" s="63"/>
      <c r="U194" s="63"/>
      <c r="V194" s="70" t="n">
        <f aca="false">IFERROR(__xludf.dummyfunction("""COMPUTED_VALUE"""),46233)</f>
        <v>46233</v>
      </c>
      <c r="W194" s="39" t="str">
        <f aca="false">IFERROR(__xludf.dummyfunction("""COMPUTED_VALUE"""),"Hoàn thành XB")</f>
        <v>Hoàn thành XB</v>
      </c>
      <c r="X194" s="41" t="str">
        <f aca="false">IFERROR(__xludf.dummyfunction("""COMPUTED_VALUE"""),"huyennn2")</f>
        <v>huyennn2</v>
      </c>
      <c r="Y194" s="44" t="str">
        <f aca="false">IFERROR(__xludf.dummyfunction("""COMPUTED_VALUE"""),"done")</f>
        <v>done</v>
      </c>
      <c r="Z194" s="57" t="str">
        <f aca="false">IFERROR(__xludf.dummyfunction("""COMPUTED_VALUE"""),"#N/A")</f>
        <v>#N/A</v>
      </c>
      <c r="AA194" s="57"/>
      <c r="AB194" s="41" t="n">
        <f aca="false">IFERROR(__xludf.dummyfunction("""COMPUTED_VALUE"""),7)</f>
        <v>7</v>
      </c>
      <c r="AC194" s="57" t="str">
        <f aca="false">IFERROR(__xludf.dummyfunction("""COMPUTED_VALUE"""),"gv.huongnt@hocmai.edu.vn ")</f>
        <v>gv.huongnt@hocmai.edu.vn </v>
      </c>
      <c r="AD194" s="46" t="str">
        <f aca="false">IFERROR(__xludf.dummyfunction("""COMPUTED_VALUE"""),"nguyenquockhanh8823@gmail.com")</f>
        <v>nguyenquockhanh8823@gmail.com</v>
      </c>
      <c r="AE194" s="46"/>
      <c r="AF194" s="47" t="str">
        <f aca="false">IFERROR(__xludf.dummyfunction("""COMPUTED_VALUE"""),"lophoctienganh46230")</f>
        <v>lophoctienganh46230</v>
      </c>
      <c r="AG194" s="46" t="str">
        <f aca="false">IFERROR(__xludf.dummyfunction("""COMPUTED_VALUE"""),"")</f>
        <v/>
      </c>
      <c r="AH194" s="35"/>
      <c r="AI194" s="35"/>
      <c r="AJ194" s="53" t="b">
        <f aca="false">IFERROR(__xludf.dummyfunction("""COMPUTED_VALUE"""),TRUE())</f>
        <v>1</v>
      </c>
      <c r="AK194" s="53" t="b">
        <f aca="false">IFERROR(__xludf.dummyfunction("""COMPUTED_VALUE"""),TRUE())</f>
        <v>1</v>
      </c>
      <c r="AL194" s="35"/>
      <c r="AM194" s="53" t="b">
        <f aca="false">IFERROR(__xludf.dummyfunction("""COMPUTED_VALUE"""),TRUE())</f>
        <v>1</v>
      </c>
      <c r="AN194" s="53" t="b">
        <f aca="false">IFERROR(__xludf.dummyfunction("""COMPUTED_VALUE"""),TRUE())</f>
        <v>1</v>
      </c>
      <c r="AO194" s="46"/>
    </row>
    <row r="195" customFormat="false" ht="15.75" hidden="false" customHeight="true" outlineLevel="0" collapsed="false">
      <c r="A195" s="37" t="str">
        <f aca="false">IFERROR(__xludf.dummyfunction("""COMPUTED_VALUE"""),"Hóa học")</f>
        <v>Hóa học</v>
      </c>
      <c r="B195" s="37" t="str">
        <f aca="false">IFERROR(__xludf.dummyfunction("""COMPUTED_VALUE"""),"TOV_HSA_HH07")</f>
        <v>TOV_HSA_HH07</v>
      </c>
      <c r="C195" s="59" t="str">
        <f aca="false">IFERROR(__xludf.dummyfunction("""COMPUTED_VALUE"""),"Halogen – Nitrogen – Sulfur")</f>
        <v>Halogen – Nitrogen – Sulfur</v>
      </c>
      <c r="D195" s="39" t="str">
        <f aca="false">IFERROR(__xludf.dummyfunction("""COMPUTED_VALUE"""),"Chu Hải Long")</f>
        <v>Chu Hải Long</v>
      </c>
      <c r="E195" s="40" t="n">
        <f aca="false">IFERROR(__xludf.dummyfunction("""COMPUTED_VALUE"""),46230)</f>
        <v>46230</v>
      </c>
      <c r="F195" s="41" t="n">
        <f aca="false">IFERROR(__xludf.dummyfunction("""COMPUTED_VALUE"""),2)</f>
        <v>2</v>
      </c>
      <c r="G195" s="37" t="str">
        <f aca="false">IFERROR(__xludf.dummyfunction("""COMPUTED_VALUE"""),"19:45-21:45")</f>
        <v>19:45-21:45</v>
      </c>
      <c r="H195" s="42" t="str">
        <f aca="false">IFERROR(__xludf.dummyfunction("""COMPUTED_VALUE"""),"https://hocmai.vn/mod/scorm/view_file.php?id=182799")</f>
        <v>https://hocmai.vn/mod/scorm/view_file.php?id=182799</v>
      </c>
      <c r="I195" s="42" t="str">
        <f aca="false">IFERROR(__xludf.dummyfunction("""COMPUTED_VALUE"""),"https://hocmai.vn/mod/scorm/view_file.php?id=182848")</f>
        <v>https://hocmai.vn/mod/scorm/view_file.php?id=182848</v>
      </c>
      <c r="J195" s="42" t="str">
        <f aca="false">IFERROR(__xludf.dummyfunction("""COMPUTED_VALUE"""),"7. TOV_HSA_HH07 – HALOGEN – NITROGEN – SULFUR")</f>
        <v>7. TOV_HSA_HH07 – HALOGEN – NITROGEN – SULFUR</v>
      </c>
      <c r="K195" s="68" t="str">
        <f aca="false">IFERROR(__xludf.dummyfunction("""COMPUTED_VALUE"""),"Huebt")</f>
        <v>Huebt</v>
      </c>
      <c r="L195" s="68" t="str">
        <f aca="false">IFERROR(__xludf.dummyfunction("""COMPUTED_VALUE"""),"Võ Hương Giang")</f>
        <v>Võ Hương Giang</v>
      </c>
      <c r="M195" s="71"/>
      <c r="N195" s="77" t="str">
        <f aca="false">IFERROR(__xludf.dummyfunction("""COMPUTED_VALUE"""),"3120")</f>
        <v>3120</v>
      </c>
      <c r="O195" s="63" t="n">
        <f aca="false">IFERROR(__xludf.dummyfunction("""COMPUTED_VALUE"""),167431)</f>
        <v>167431</v>
      </c>
      <c r="P195" s="63"/>
      <c r="Q195" s="63"/>
      <c r="R195" s="41"/>
      <c r="S195" s="41"/>
      <c r="T195" s="63" t="n">
        <f aca="false">IFERROR(__xludf.dummyfunction("""COMPUTED_VALUE"""),24053)</f>
        <v>24053</v>
      </c>
      <c r="U195" s="63" t="n">
        <f aca="false">IFERROR(__xludf.dummyfunction("""COMPUTED_VALUE"""),10484)</f>
        <v>10484</v>
      </c>
      <c r="V195" s="70" t="n">
        <f aca="false">IFERROR(__xludf.dummyfunction("""COMPUTED_VALUE"""),46233)</f>
        <v>46233</v>
      </c>
      <c r="W195" s="39" t="str">
        <f aca="false">IFERROR(__xludf.dummyfunction("""COMPUTED_VALUE"""),"Hoàn thành XB")</f>
        <v>Hoàn thành XB</v>
      </c>
      <c r="X195" s="41" t="str">
        <f aca="false">IFERROR(__xludf.dummyfunction("""COMPUTED_VALUE"""),"Huebt")</f>
        <v>Huebt</v>
      </c>
      <c r="Y195" s="44" t="str">
        <f aca="false">IFERROR(__xludf.dummyfunction("""COMPUTED_VALUE"""),"done")</f>
        <v>done</v>
      </c>
      <c r="Z195" s="57" t="str">
        <f aca="false">IFERROR(__xludf.dummyfunction("""COMPUTED_VALUE"""),"#N/A")</f>
        <v>#N/A</v>
      </c>
      <c r="AA195" s="57"/>
      <c r="AB195" s="41" t="n">
        <f aca="false">IFERROR(__xludf.dummyfunction("""COMPUTED_VALUE"""),7)</f>
        <v>7</v>
      </c>
      <c r="AC195" s="57" t="str">
        <f aca="false">IFERROR(__xludf.dummyfunction("""COMPUTED_VALUE"""),"gv.longch@hocmai.edu.vn")</f>
        <v>gv.longch@hocmai.edu.vn</v>
      </c>
      <c r="AD195" s="46" t="str">
        <f aca="false">IFERROR(__xludf.dummyfunction("""COMPUTED_VALUE"""),"giangvh@ctv.hocmai.vn")</f>
        <v>giangvh@ctv.hocmai.vn</v>
      </c>
      <c r="AE195" s="46"/>
      <c r="AF195" s="74" t="b">
        <f aca="false">IFERROR(__xludf.dummyfunction("""COMPUTED_VALUE"""),FALSE())</f>
        <v>0</v>
      </c>
      <c r="AG195" s="46" t="str">
        <f aca="false">IFERROR(__xludf.dummyfunction("""COMPUTED_VALUE"""),"")</f>
        <v/>
      </c>
      <c r="AH195" s="35"/>
      <c r="AI195" s="35"/>
      <c r="AJ195" s="53" t="b">
        <f aca="false">IFERROR(__xludf.dummyfunction("""COMPUTED_VALUE"""),TRUE())</f>
        <v>1</v>
      </c>
      <c r="AK195" s="53" t="b">
        <f aca="false">IFERROR(__xludf.dummyfunction("""COMPUTED_VALUE"""),TRUE())</f>
        <v>1</v>
      </c>
      <c r="AL195" s="35"/>
      <c r="AM195" s="35"/>
      <c r="AN195" s="35"/>
      <c r="AO195" s="46"/>
    </row>
    <row r="196" customFormat="false" ht="15.75" hidden="false" customHeight="true" outlineLevel="0" collapsed="false">
      <c r="A196" s="37" t="str">
        <f aca="false">IFERROR(__xludf.dummyfunction("""COMPUTED_VALUE"""),"Thực chiến Toán")</f>
        <v>Thực chiến Toán</v>
      </c>
      <c r="B196" s="37" t="str">
        <f aca="false">IFERROR(__xludf.dummyfunction("""COMPUTED_VALUE"""),"TC_TSA_T_10")</f>
        <v>TC_TSA_T_10</v>
      </c>
      <c r="C196" s="59" t="str">
        <f aca="false">IFERROR(__xludf.dummyfunction("""COMPUTED_VALUE"""),"[Bổ trợ]_Chữa bài tập TSA_Tư duy Toán học số 10")</f>
        <v>[Bổ trợ]_Chữa bài tập TSA_Tư duy Toán học số 10</v>
      </c>
      <c r="D196" s="39" t="str">
        <f aca="false">IFERROR(__xludf.dummyfunction("""COMPUTED_VALUE"""),"Phạm Huy Hoàng")</f>
        <v>Phạm Huy Hoàng</v>
      </c>
      <c r="E196" s="40" t="n">
        <f aca="false">IFERROR(__xludf.dummyfunction("""COMPUTED_VALUE"""),46230)</f>
        <v>46230</v>
      </c>
      <c r="F196" s="41" t="n">
        <f aca="false">IFERROR(__xludf.dummyfunction("""COMPUTED_VALUE"""),2)</f>
        <v>2</v>
      </c>
      <c r="G196" s="37" t="str">
        <f aca="false">IFERROR(__xludf.dummyfunction("""COMPUTED_VALUE"""),"19:00-20:00")</f>
        <v>19:00-20:00</v>
      </c>
      <c r="H196" s="37"/>
      <c r="I196" s="37"/>
      <c r="J196" s="42" t="str">
        <f aca="false">IFERROR(__xludf.dummyfunction("""COMPUTED_VALUE"""),"https://drive.google.com/drive/folders/1hrLxoRSFc_assiqtgK0n7UmRTUv4Ct05?usp=drive_link")</f>
        <v>https://drive.google.com/drive/folders/1hrLxoRSFc_assiqtgK0n7UmRTUv4Ct05?usp=drive_link</v>
      </c>
      <c r="K196" s="68" t="str">
        <f aca="false">IFERROR(__xludf.dummyfunction("""COMPUTED_VALUE"""),"Locdd")</f>
        <v>Locdd</v>
      </c>
      <c r="L196" s="68" t="str">
        <f aca="false">IFERROR(__xludf.dummyfunction("""COMPUTED_VALUE"""),"HOCMAI")</f>
        <v>HOCMAI</v>
      </c>
      <c r="M196" s="71"/>
      <c r="N196" s="77" t="str">
        <f aca="false">IFERROR(__xludf.dummyfunction("""COMPUTED_VALUE"""),"3108")</f>
        <v>3108</v>
      </c>
      <c r="O196" s="63" t="n">
        <f aca="false">IFERROR(__xludf.dummyfunction("""COMPUTED_VALUE"""),175122)</f>
        <v>175122</v>
      </c>
      <c r="P196" s="60" t="str">
        <f aca="false">IFERROR(__xludf.dummyfunction("""COMPUTED_VALUE"""),"https://hocmai.vn/bai-giang-truc-tuyen/175122/.html")</f>
        <v>https://hocmai.vn/bai-giang-truc-tuyen/175122/.html</v>
      </c>
      <c r="Q196" s="63"/>
      <c r="R196" s="41"/>
      <c r="S196" s="41"/>
      <c r="T196" s="63"/>
      <c r="U196" s="63"/>
      <c r="V196" s="70" t="n">
        <f aca="false">IFERROR(__xludf.dummyfunction("""COMPUTED_VALUE"""),46233)</f>
        <v>46233</v>
      </c>
      <c r="W196" s="39" t="str">
        <f aca="false">IFERROR(__xludf.dummyfunction("""COMPUTED_VALUE"""),"Hoàn thành XB")</f>
        <v>Hoàn thành XB</v>
      </c>
      <c r="X196" s="41" t="str">
        <f aca="false">IFERROR(__xludf.dummyfunction("""COMPUTED_VALUE"""),"Vuta")</f>
        <v>Vuta</v>
      </c>
      <c r="Y196" s="44"/>
      <c r="Z196" s="57"/>
      <c r="AA196" s="57"/>
      <c r="AB196" s="41" t="n">
        <f aca="false">IFERROR(__xludf.dummyfunction("""COMPUTED_VALUE"""),7)</f>
        <v>7</v>
      </c>
      <c r="AC196" s="57" t="str">
        <f aca="false">IFERROR(__xludf.dummyfunction("""COMPUTED_VALUE"""),"0376611308")</f>
        <v>0376611308</v>
      </c>
      <c r="AD196" s="46"/>
      <c r="AE196" s="46"/>
      <c r="AF196" s="47"/>
      <c r="AG196" s="46"/>
      <c r="AH196" s="53" t="b">
        <f aca="false">IFERROR(__xludf.dummyfunction("""COMPUTED_VALUE"""),FALSE())</f>
        <v>0</v>
      </c>
      <c r="AI196" s="53" t="b">
        <f aca="false">IFERROR(__xludf.dummyfunction("""COMPUTED_VALUE"""),TRUE())</f>
        <v>1</v>
      </c>
      <c r="AJ196" s="53" t="b">
        <f aca="false">IFERROR(__xludf.dummyfunction("""COMPUTED_VALUE"""),FALSE())</f>
        <v>0</v>
      </c>
      <c r="AK196" s="53" t="b">
        <f aca="false">IFERROR(__xludf.dummyfunction("""COMPUTED_VALUE"""),FALSE())</f>
        <v>0</v>
      </c>
      <c r="AL196" s="53" t="b">
        <f aca="false">IFERROR(__xludf.dummyfunction("""COMPUTED_VALUE"""),FALSE())</f>
        <v>0</v>
      </c>
      <c r="AM196" s="53" t="b">
        <f aca="false">IFERROR(__xludf.dummyfunction("""COMPUTED_VALUE"""),FALSE())</f>
        <v>0</v>
      </c>
      <c r="AN196" s="53" t="b">
        <f aca="false">IFERROR(__xludf.dummyfunction("""COMPUTED_VALUE"""),FALSE())</f>
        <v>0</v>
      </c>
      <c r="AO196" s="46"/>
    </row>
    <row r="197" customFormat="false" ht="15.75" hidden="false" customHeight="true" outlineLevel="0" collapsed="false">
      <c r="A197" s="37" t="str">
        <f aca="false">IFERROR(__xludf.dummyfunction("""COMPUTED_VALUE"""),"Thực chiến Tiếng Anh")</f>
        <v>Thực chiến Tiếng Anh</v>
      </c>
      <c r="B197" s="37" t="str">
        <f aca="false">IFERROR(__xludf.dummyfunction("""COMPUTED_VALUE"""),"TC_HSA_TA_03")</f>
        <v>TC_HSA_TA_03</v>
      </c>
      <c r="C197" s="59" t="str">
        <f aca="false">IFERROR(__xludf.dummyfunction("""COMPUTED_VALUE"""),"[Bổ trợ]_Chữa bài tập _Tiếng Anh số 03")</f>
        <v>[Bổ trợ]_Chữa bài tập _Tiếng Anh số 03</v>
      </c>
      <c r="D197" s="39" t="str">
        <f aca="false">IFERROR(__xludf.dummyfunction("""COMPUTED_VALUE"""),"Trần Đức Lương")</f>
        <v>Trần Đức Lương</v>
      </c>
      <c r="E197" s="40" t="n">
        <f aca="false">IFERROR(__xludf.dummyfunction("""COMPUTED_VALUE"""),46230)</f>
        <v>46230</v>
      </c>
      <c r="F197" s="41" t="n">
        <f aca="false">IFERROR(__xludf.dummyfunction("""COMPUTED_VALUE"""),2)</f>
        <v>2</v>
      </c>
      <c r="G197" s="37" t="str">
        <f aca="false">IFERROR(__xludf.dummyfunction("""COMPUTED_VALUE"""),"18:00-19:00")</f>
        <v>18:00-19:00</v>
      </c>
      <c r="H197" s="37"/>
      <c r="I197" s="37"/>
      <c r="J197" s="42" t="str">
        <f aca="false">IFERROR(__xludf.dummyfunction("""COMPUTED_VALUE"""),"https://drive.google.com/drive/folders/1RrnRtBbJIW41m5osaG5pDRYod8SgKmhU")</f>
        <v>https://drive.google.com/drive/folders/1RrnRtBbJIW41m5osaG5pDRYod8SgKmhU</v>
      </c>
      <c r="K197" s="68" t="str">
        <f aca="false">IFERROR(__xludf.dummyfunction("""COMPUTED_VALUE"""),"Huyenn2")</f>
        <v>Huyenn2</v>
      </c>
      <c r="L197" s="68" t="str">
        <f aca="false">IFERROR(__xludf.dummyfunction("""COMPUTED_VALUE"""),"HOCMAI")</f>
        <v>HOCMAI</v>
      </c>
      <c r="M197" s="71"/>
      <c r="N197" s="77" t="str">
        <f aca="false">IFERROR(__xludf.dummyfunction("""COMPUTED_VALUE"""),"3140")</f>
        <v>3140</v>
      </c>
      <c r="O197" s="63" t="n">
        <f aca="false">IFERROR(__xludf.dummyfunction("""COMPUTED_VALUE"""),175196)</f>
        <v>175196</v>
      </c>
      <c r="P197" s="60" t="str">
        <f aca="false">IFERROR(__xludf.dummyfunction("""COMPUTED_VALUE"""),"https://hocmai.vn/bai-giang-truc-tuyen/175196/.html")</f>
        <v>https://hocmai.vn/bai-giang-truc-tuyen/175196/.html</v>
      </c>
      <c r="Q197" s="63"/>
      <c r="R197" s="41"/>
      <c r="S197" s="41"/>
      <c r="T197" s="63"/>
      <c r="U197" s="63"/>
      <c r="V197" s="70" t="n">
        <f aca="false">IFERROR(__xludf.dummyfunction("""COMPUTED_VALUE"""),46233)</f>
        <v>46233</v>
      </c>
      <c r="W197" s="39" t="str">
        <f aca="false">IFERROR(__xludf.dummyfunction("""COMPUTED_VALUE"""),"Hoàn thành XB")</f>
        <v>Hoàn thành XB</v>
      </c>
      <c r="X197" s="41" t="str">
        <f aca="false">IFERROR(__xludf.dummyfunction("""COMPUTED_VALUE"""),"Vuta")</f>
        <v>Vuta</v>
      </c>
      <c r="Y197" s="44"/>
      <c r="Z197" s="57"/>
      <c r="AA197" s="57"/>
      <c r="AB197" s="41" t="n">
        <f aca="false">IFERROR(__xludf.dummyfunction("""COMPUTED_VALUE"""),7)</f>
        <v>7</v>
      </c>
      <c r="AC197" s="57" t="str">
        <f aca="false">IFERROR(__xludf.dummyfunction("""COMPUTED_VALUE"""),"ss.hsa01@ctv.hocmai.vn")</f>
        <v>ss.hsa01@ctv.hocmai.vn</v>
      </c>
      <c r="AD197" s="46"/>
      <c r="AE197" s="46"/>
      <c r="AF197" s="47"/>
      <c r="AG197" s="46"/>
      <c r="AH197" s="53" t="b">
        <f aca="false">IFERROR(__xludf.dummyfunction("""COMPUTED_VALUE"""),FALSE())</f>
        <v>0</v>
      </c>
      <c r="AI197" s="53" t="b">
        <f aca="false">IFERROR(__xludf.dummyfunction("""COMPUTED_VALUE"""),FALSE())</f>
        <v>0</v>
      </c>
      <c r="AJ197" s="53" t="b">
        <f aca="false">IFERROR(__xludf.dummyfunction("""COMPUTED_VALUE"""),TRUE())</f>
        <v>1</v>
      </c>
      <c r="AK197" s="53" t="b">
        <f aca="false">IFERROR(__xludf.dummyfunction("""COMPUTED_VALUE"""),TRUE())</f>
        <v>1</v>
      </c>
      <c r="AL197" s="53" t="b">
        <f aca="false">IFERROR(__xludf.dummyfunction("""COMPUTED_VALUE"""),FALSE())</f>
        <v>0</v>
      </c>
      <c r="AM197" s="53" t="b">
        <f aca="false">IFERROR(__xludf.dummyfunction("""COMPUTED_VALUE"""),FALSE())</f>
        <v>0</v>
      </c>
      <c r="AN197" s="53" t="b">
        <f aca="false">IFERROR(__xludf.dummyfunction("""COMPUTED_VALUE"""),FALSE())</f>
        <v>0</v>
      </c>
      <c r="AO197" s="46"/>
    </row>
    <row r="198" customFormat="false" ht="15.75" hidden="false" customHeight="true" outlineLevel="0" collapsed="false">
      <c r="A198" s="37" t="str">
        <f aca="false">IFERROR(__xludf.dummyfunction("""COMPUTED_VALUE"""),"Thực chiến Vật lí")</f>
        <v>Thực chiến Vật lí</v>
      </c>
      <c r="B198" s="37" t="str">
        <f aca="false">IFERROR(__xludf.dummyfunction("""COMPUTED_VALUE"""),"TC_HSA_KH_03")</f>
        <v>TC_HSA_KH_03</v>
      </c>
      <c r="C198" s="59" t="str">
        <f aca="false">IFERROR(__xludf.dummyfunction("""COMPUTED_VALUE"""),"[Bổ trợ]_Chữa bài tập _Vật lí số 03")</f>
        <v>[Bổ trợ]_Chữa bài tập _Vật lí số 03</v>
      </c>
      <c r="D198" s="39" t="str">
        <f aca="false">IFERROR(__xludf.dummyfunction("""COMPUTED_VALUE"""),"Phạm Nguyễn Thủy Hoa")</f>
        <v>Phạm Nguyễn Thủy Hoa</v>
      </c>
      <c r="E198" s="40" t="n">
        <f aca="false">IFERROR(__xludf.dummyfunction("""COMPUTED_VALUE"""),46230)</f>
        <v>46230</v>
      </c>
      <c r="F198" s="41" t="n">
        <f aca="false">IFERROR(__xludf.dummyfunction("""COMPUTED_VALUE"""),2)</f>
        <v>2</v>
      </c>
      <c r="G198" s="37" t="str">
        <f aca="false">IFERROR(__xludf.dummyfunction("""COMPUTED_VALUE"""),"22:00-23:00")</f>
        <v>22:00-23:00</v>
      </c>
      <c r="H198" s="37"/>
      <c r="I198" s="37"/>
      <c r="J198" s="42" t="str">
        <f aca="false">IFERROR(__xludf.dummyfunction("""COMPUTED_VALUE"""),"https://drive.google.com/drive/folders/1SNXw8FMnSVWjl_AGgjHxIPQ4hAGPsSzM?usp=drive_link")</f>
        <v>https://drive.google.com/drive/folders/1SNXw8FMnSVWjl_AGgjHxIPQ4hAGPsSzM?usp=drive_link</v>
      </c>
      <c r="K198" s="68" t="str">
        <f aca="false">IFERROR(__xludf.dummyfunction("""COMPUTED_VALUE"""),"Trangnth2")</f>
        <v>Trangnth2</v>
      </c>
      <c r="L198" s="68" t="str">
        <f aca="false">IFERROR(__xludf.dummyfunction("""COMPUTED_VALUE"""),"HOCMAI")</f>
        <v>HOCMAI</v>
      </c>
      <c r="M198" s="71"/>
      <c r="N198" s="77" t="str">
        <f aca="false">IFERROR(__xludf.dummyfunction("""COMPUTED_VALUE"""),"3119")</f>
        <v>3119</v>
      </c>
      <c r="O198" s="63" t="n">
        <f aca="false">IFERROR(__xludf.dummyfunction("""COMPUTED_VALUE"""),175230)</f>
        <v>175230</v>
      </c>
      <c r="P198" s="60" t="str">
        <f aca="false">IFERROR(__xludf.dummyfunction("""COMPUTED_VALUE"""),"https://hocmai.vn/bai-giang-truc-tuyen/175230/.html")</f>
        <v>https://hocmai.vn/bai-giang-truc-tuyen/175230/.html</v>
      </c>
      <c r="Q198" s="63"/>
      <c r="R198" s="41"/>
      <c r="S198" s="41"/>
      <c r="T198" s="63"/>
      <c r="U198" s="63"/>
      <c r="V198" s="70" t="n">
        <f aca="false">IFERROR(__xludf.dummyfunction("""COMPUTED_VALUE"""),46233)</f>
        <v>46233</v>
      </c>
      <c r="W198" s="39" t="str">
        <f aca="false">IFERROR(__xludf.dummyfunction("""COMPUTED_VALUE"""),"Hoàn thành XB")</f>
        <v>Hoàn thành XB</v>
      </c>
      <c r="X198" s="41" t="str">
        <f aca="false">IFERROR(__xludf.dummyfunction("""COMPUTED_VALUE"""),"Vuta")</f>
        <v>Vuta</v>
      </c>
      <c r="Y198" s="44"/>
      <c r="Z198" s="57"/>
      <c r="AA198" s="57"/>
      <c r="AB198" s="41" t="n">
        <f aca="false">IFERROR(__xludf.dummyfunction("""COMPUTED_VALUE"""),7)</f>
        <v>7</v>
      </c>
      <c r="AC198" s="57" t="str">
        <f aca="false">IFERROR(__xludf.dummyfunction("""COMPUTED_VALUE"""),"phamthuyhoa2008@gmail.com")</f>
        <v>phamthuyhoa2008@gmail.com</v>
      </c>
      <c r="AD198" s="46"/>
      <c r="AE198" s="46"/>
      <c r="AF198" s="47"/>
      <c r="AG198" s="46"/>
      <c r="AH198" s="53" t="b">
        <f aca="false">IFERROR(__xludf.dummyfunction("""COMPUTED_VALUE"""),FALSE())</f>
        <v>0</v>
      </c>
      <c r="AI198" s="53" t="b">
        <f aca="false">IFERROR(__xludf.dummyfunction("""COMPUTED_VALUE"""),FALSE())</f>
        <v>0</v>
      </c>
      <c r="AJ198" s="53" t="b">
        <f aca="false">IFERROR(__xludf.dummyfunction("""COMPUTED_VALUE"""),TRUE())</f>
        <v>1</v>
      </c>
      <c r="AK198" s="53" t="b">
        <f aca="false">IFERROR(__xludf.dummyfunction("""COMPUTED_VALUE"""),TRUE())</f>
        <v>1</v>
      </c>
      <c r="AL198" s="53" t="b">
        <f aca="false">IFERROR(__xludf.dummyfunction("""COMPUTED_VALUE"""),FALSE())</f>
        <v>0</v>
      </c>
      <c r="AM198" s="53" t="b">
        <f aca="false">IFERROR(__xludf.dummyfunction("""COMPUTED_VALUE"""),FALSE())</f>
        <v>0</v>
      </c>
      <c r="AN198" s="53" t="b">
        <f aca="false">IFERROR(__xludf.dummyfunction("""COMPUTED_VALUE"""),FALSE())</f>
        <v>0</v>
      </c>
      <c r="AO198" s="46"/>
    </row>
    <row r="199" customFormat="false" ht="15.75" hidden="false" customHeight="true" outlineLevel="0" collapsed="false">
      <c r="A199" s="37" t="str">
        <f aca="false">IFERROR(__xludf.dummyfunction("""COMPUTED_VALUE"""),"Thực chiến Toán")</f>
        <v>Thực chiến Toán</v>
      </c>
      <c r="B199" s="37" t="str">
        <f aca="false">IFERROR(__xludf.dummyfunction("""COMPUTED_VALUE"""),"TC_V-ACT_T_06")</f>
        <v>TC_V-ACT_T_06</v>
      </c>
      <c r="C199" s="59" t="str">
        <f aca="false">IFERROR(__xludf.dummyfunction("""COMPUTED_VALUE"""),"[Bổ trợ]_Chữa bài tập_V-ACT_Toán số 06")</f>
        <v>[Bổ trợ]_Chữa bài tập_V-ACT_Toán số 06</v>
      </c>
      <c r="D199" s="39" t="str">
        <f aca="false">IFERROR(__xludf.dummyfunction("""COMPUTED_VALUE"""),"Lê Thế Anh")</f>
        <v>Lê Thế Anh</v>
      </c>
      <c r="E199" s="40" t="n">
        <f aca="false">IFERROR(__xludf.dummyfunction("""COMPUTED_VALUE"""),46230)</f>
        <v>46230</v>
      </c>
      <c r="F199" s="41" t="n">
        <f aca="false">IFERROR(__xludf.dummyfunction("""COMPUTED_VALUE"""),2)</f>
        <v>2</v>
      </c>
      <c r="G199" s="37" t="str">
        <f aca="false">IFERROR(__xludf.dummyfunction("""COMPUTED_VALUE"""),"18:45-19:45")</f>
        <v>18:45-19:45</v>
      </c>
      <c r="H199" s="37"/>
      <c r="I199" s="37"/>
      <c r="J199" s="42" t="str">
        <f aca="false">IFERROR(__xludf.dummyfunction("""COMPUTED_VALUE"""),"https://drive.google.com/drive/folders/1YD6epN4Jn-X9Hetb5mye6HzmJeuRcllw?usp=sharing")</f>
        <v>https://drive.google.com/drive/folders/1YD6epN4Jn-X9Hetb5mye6HzmJeuRcllw?usp=sharing</v>
      </c>
      <c r="K199" s="68" t="str">
        <f aca="false">IFERROR(__xludf.dummyfunction("""COMPUTED_VALUE"""),"lent")</f>
        <v>lent</v>
      </c>
      <c r="L199" s="68" t="str">
        <f aca="false">IFERROR(__xludf.dummyfunction("""COMPUTED_VALUE"""),"HOCMAI")</f>
        <v>HOCMAI</v>
      </c>
      <c r="M199" s="71"/>
      <c r="N199" s="77" t="str">
        <f aca="false">IFERROR(__xludf.dummyfunction("""COMPUTED_VALUE"""),"3124")</f>
        <v>3124</v>
      </c>
      <c r="O199" s="63" t="n">
        <f aca="false">IFERROR(__xludf.dummyfunction("""COMPUTED_VALUE"""),175181)</f>
        <v>175181</v>
      </c>
      <c r="P199" s="60" t="str">
        <f aca="false">IFERROR(__xludf.dummyfunction("""COMPUTED_VALUE"""),"https://hocmai.vn/bai-giang-truc-tuyen/175181/.html")</f>
        <v>https://hocmai.vn/bai-giang-truc-tuyen/175181/.html</v>
      </c>
      <c r="Q199" s="63"/>
      <c r="R199" s="41"/>
      <c r="S199" s="41"/>
      <c r="T199" s="63"/>
      <c r="U199" s="63"/>
      <c r="V199" s="70" t="n">
        <f aca="false">IFERROR(__xludf.dummyfunction("""COMPUTED_VALUE"""),46233)</f>
        <v>46233</v>
      </c>
      <c r="W199" s="39" t="str">
        <f aca="false">IFERROR(__xludf.dummyfunction("""COMPUTED_VALUE"""),"Hoàn thành XB")</f>
        <v>Hoàn thành XB</v>
      </c>
      <c r="X199" s="41" t="str">
        <f aca="false">IFERROR(__xludf.dummyfunction("""COMPUTED_VALUE"""),"Vuta")</f>
        <v>Vuta</v>
      </c>
      <c r="Y199" s="44"/>
      <c r="Z199" s="57"/>
      <c r="AA199" s="57"/>
      <c r="AB199" s="41" t="n">
        <f aca="false">IFERROR(__xludf.dummyfunction("""COMPUTED_VALUE"""),7)</f>
        <v>7</v>
      </c>
      <c r="AC199" s="57" t="str">
        <f aca="false">IFERROR(__xludf.dummyfunction("""COMPUTED_VALUE"""),"ss.vact01@ctv.hocmai.vn")</f>
        <v>ss.vact01@ctv.hocmai.vn</v>
      </c>
      <c r="AD199" s="46"/>
      <c r="AE199" s="46"/>
      <c r="AF199" s="47"/>
      <c r="AG199" s="46"/>
      <c r="AH199" s="53" t="b">
        <f aca="false">IFERROR(__xludf.dummyfunction("""COMPUTED_VALUE"""),FALSE())</f>
        <v>0</v>
      </c>
      <c r="AI199" s="53" t="b">
        <f aca="false">IFERROR(__xludf.dummyfunction("""COMPUTED_VALUE"""),FALSE())</f>
        <v>0</v>
      </c>
      <c r="AJ199" s="53" t="b">
        <f aca="false">IFERROR(__xludf.dummyfunction("""COMPUTED_VALUE"""),FALSE())</f>
        <v>0</v>
      </c>
      <c r="AK199" s="53" t="b">
        <f aca="false">IFERROR(__xludf.dummyfunction("""COMPUTED_VALUE"""),FALSE())</f>
        <v>0</v>
      </c>
      <c r="AL199" s="53" t="b">
        <f aca="false">IFERROR(__xludf.dummyfunction("""COMPUTED_VALUE"""),FALSE())</f>
        <v>0</v>
      </c>
      <c r="AM199" s="53" t="b">
        <f aca="false">IFERROR(__xludf.dummyfunction("""COMPUTED_VALUE"""),TRUE())</f>
        <v>1</v>
      </c>
      <c r="AN199" s="53" t="b">
        <f aca="false">IFERROR(__xludf.dummyfunction("""COMPUTED_VALUE"""),TRUE())</f>
        <v>1</v>
      </c>
      <c r="AO199" s="46"/>
    </row>
    <row r="200" customFormat="false" ht="15.75" hidden="false" customHeight="true" outlineLevel="0" collapsed="false">
      <c r="A200" s="37" t="str">
        <f aca="false">IFERROR(__xludf.dummyfunction("""COMPUTED_VALUE"""),"Toán")</f>
        <v>Toán</v>
      </c>
      <c r="B200" s="37" t="str">
        <f aca="false">IFERROR(__xludf.dummyfunction("""COMPUTED_VALUE"""),"TOV_TC_T07")</f>
        <v>TOV_TC_T07</v>
      </c>
      <c r="C200" s="59" t="str">
        <f aca="false">IFERROR(__xludf.dummyfunction("""COMPUTED_VALUE"""),"Kĩ thuật vách ngăn và kĩ thuật tạo khối trong bài toán tổ hợp – xác suất")</f>
        <v>Kĩ thuật vách ngăn và kĩ thuật tạo khối trong bài toán tổ hợp – xác suất</v>
      </c>
      <c r="D200" s="39" t="str">
        <f aca="false">IFERROR(__xludf.dummyfunction("""COMPUTED_VALUE"""),"Nguyễn Thanh Tùng")</f>
        <v>Nguyễn Thanh Tùng</v>
      </c>
      <c r="E200" s="40" t="n">
        <f aca="false">IFERROR(__xludf.dummyfunction("""COMPUTED_VALUE"""),46231)</f>
        <v>46231</v>
      </c>
      <c r="F200" s="41" t="n">
        <f aca="false">IFERROR(__xludf.dummyfunction("""COMPUTED_VALUE"""),3)</f>
        <v>3</v>
      </c>
      <c r="G200" s="37" t="str">
        <f aca="false">IFERROR(__xludf.dummyfunction("""COMPUTED_VALUE"""),"21:00-23:00")</f>
        <v>21:00-23:00</v>
      </c>
      <c r="H200" s="37"/>
      <c r="I200" s="37"/>
      <c r="J200" s="42" t="str">
        <f aca="false">IFERROR(__xludf.dummyfunction("""COMPUTED_VALUE"""),"https://drive.google.com/drive/folders/1thSEJRjX981HLdAGAEVJI06eEqnwEJQa?usp=drive_link")</f>
        <v>https://drive.google.com/drive/folders/1thSEJRjX981HLdAGAEVJI06eEqnwEJQa?usp=drive_link</v>
      </c>
      <c r="K200" s="68" t="str">
        <f aca="false">IFERROR(__xludf.dummyfunction("""COMPUTED_VALUE"""),"Chientd2")</f>
        <v>Chientd2</v>
      </c>
      <c r="L200" s="68" t="str">
        <f aca="false">IFERROR(__xludf.dummyfunction("""COMPUTED_VALUE"""),"Tưởng Thị Huyền Trang")</f>
        <v>Tưởng Thị Huyền Trang</v>
      </c>
      <c r="M200" s="71"/>
      <c r="N200" s="77" t="str">
        <f aca="false">IFERROR(__xludf.dummyfunction("""COMPUTED_VALUE"""),"3108,3117,3315,3127,3314")</f>
        <v>3108,3117,3315,3127,3314</v>
      </c>
      <c r="O200" s="63" t="str">
        <f aca="false">IFERROR(__xludf.dummyfunction("""COMPUTED_VALUE"""),"168367, 168582, 168323, 167465, 167065")</f>
        <v>168367, 168582, 168323, 167465, 167065</v>
      </c>
      <c r="P200" s="63" t="str">
        <f aca="false">IFERROR(__xludf.dummyfunction("""COMPUTED_VALUE"""),"9025,9028,9036,9104,9106,9017,9102")</f>
        <v>9025,9028,9036,9104,9106,9017,9102</v>
      </c>
      <c r="Q200" s="63" t="n">
        <f aca="false">IFERROR(__xludf.dummyfunction("""COMPUTED_VALUE"""),167065)</f>
        <v>167065</v>
      </c>
      <c r="R200" s="41"/>
      <c r="S200" s="41"/>
      <c r="T200" s="63" t="str">
        <f aca="false">IFERROR(__xludf.dummyfunction("""COMPUTED_VALUE"""),"24114, 24115, 24116")</f>
        <v>24114, 24115, 24116</v>
      </c>
      <c r="U200" s="63"/>
      <c r="V200" s="70" t="n">
        <f aca="false">IFERROR(__xludf.dummyfunction("""COMPUTED_VALUE"""),46234)</f>
        <v>46234</v>
      </c>
      <c r="W200" s="39" t="str">
        <f aca="false">IFERROR(__xludf.dummyfunction("""COMPUTED_VALUE"""),"Hoàn thành XB")</f>
        <v>Hoàn thành XB</v>
      </c>
      <c r="X200" s="41" t="str">
        <f aca="false">IFERROR(__xludf.dummyfunction("""COMPUTED_VALUE"""),"Lent")</f>
        <v>Lent</v>
      </c>
      <c r="Y200" s="44" t="str">
        <f aca="false">IFERROR(__xludf.dummyfunction("""COMPUTED_VALUE"""),"done")</f>
        <v>done</v>
      </c>
      <c r="Z200" s="57" t="str">
        <f aca="false">IFERROR(__xludf.dummyfunction("""COMPUTED_VALUE"""),"#N/A")</f>
        <v>#N/A</v>
      </c>
      <c r="AA200" s="57"/>
      <c r="AB200" s="41" t="n">
        <f aca="false">IFERROR(__xludf.dummyfunction("""COMPUTED_VALUE"""),7)</f>
        <v>7</v>
      </c>
      <c r="AC200" s="57" t="str">
        <f aca="false">IFERROR(__xludf.dummyfunction("""COMPUTED_VALUE"""),"gv.tungnt@hocmai.edu.vn ")</f>
        <v>gv.tungnt@hocmai.edu.vn </v>
      </c>
      <c r="AD200" s="46" t="str">
        <f aca="false">IFERROR(__xludf.dummyfunction("""COMPUTED_VALUE"""),"trangcrazy699@gmail.com")</f>
        <v>trangcrazy699@gmail.com</v>
      </c>
      <c r="AE200" s="46"/>
      <c r="AF200" s="47" t="str">
        <f aca="false">IFERROR(__xludf.dummyfunction("""COMPUTED_VALUE"""),"lophoctoan-946231")</f>
        <v>lophoctoan-946231</v>
      </c>
      <c r="AG200" s="46" t="str">
        <f aca="false">IFERROR(__xludf.dummyfunction("""COMPUTED_VALUE"""),"")</f>
        <v/>
      </c>
      <c r="AH200" s="35"/>
      <c r="AI200" s="53" t="b">
        <f aca="false">IFERROR(__xludf.dummyfunction("""COMPUTED_VALUE"""),TRUE())</f>
        <v>1</v>
      </c>
      <c r="AJ200" s="53" t="b">
        <f aca="false">IFERROR(__xludf.dummyfunction("""COMPUTED_VALUE"""),TRUE())</f>
        <v>1</v>
      </c>
      <c r="AK200" s="53" t="b">
        <f aca="false">IFERROR(__xludf.dummyfunction("""COMPUTED_VALUE"""),TRUE())</f>
        <v>1</v>
      </c>
      <c r="AL200" s="53" t="b">
        <f aca="false">IFERROR(__xludf.dummyfunction("""COMPUTED_VALUE"""),TRUE())</f>
        <v>1</v>
      </c>
      <c r="AM200" s="35"/>
      <c r="AN200" s="35"/>
      <c r="AO200" s="46"/>
    </row>
    <row r="201" customFormat="false" ht="15.75" hidden="false" customHeight="true" outlineLevel="0" collapsed="false">
      <c r="A201" s="37" t="str">
        <f aca="false">IFERROR(__xludf.dummyfunction("""COMPUTED_VALUE"""),"Tiếng Việt")</f>
        <v>Tiếng Việt</v>
      </c>
      <c r="B201" s="37" t="str">
        <f aca="false">IFERROR(__xludf.dummyfunction("""COMPUTED_VALUE"""),"TOV_V-ACT_TV05")</f>
        <v>TOV_V-ACT_TV05</v>
      </c>
      <c r="C201" s="59" t="str">
        <f aca="false">IFERROR(__xludf.dummyfunction("""COMPUTED_VALUE"""),"Thi pháp văn học trung đại Việt Nam")</f>
        <v>Thi pháp văn học trung đại Việt Nam</v>
      </c>
      <c r="D201" s="39" t="str">
        <f aca="false">IFERROR(__xludf.dummyfunction("""COMPUTED_VALUE"""),"Văn Trịnh Quỳnh An")</f>
        <v>Văn Trịnh Quỳnh An</v>
      </c>
      <c r="E201" s="40" t="n">
        <f aca="false">IFERROR(__xludf.dummyfunction("""COMPUTED_VALUE"""),46231)</f>
        <v>46231</v>
      </c>
      <c r="F201" s="41" t="n">
        <f aca="false">IFERROR(__xludf.dummyfunction("""COMPUTED_VALUE"""),3)</f>
        <v>3</v>
      </c>
      <c r="G201" s="37" t="str">
        <f aca="false">IFERROR(__xludf.dummyfunction("""COMPUTED_VALUE"""),"20:00-21:30")</f>
        <v>20:00-21:30</v>
      </c>
      <c r="H201" s="37"/>
      <c r="I201" s="37"/>
      <c r="J201" s="42" t="str">
        <f aca="false">IFERROR(__xludf.dummyfunction("""COMPUTED_VALUE"""),"https://drive.google.com/drive/folders/144-x_5rehN3RczTmYQztX8x7AsUWMAkn?usp=sharing")</f>
        <v>https://drive.google.com/drive/folders/144-x_5rehN3RczTmYQztX8x7AsUWMAkn?usp=sharing</v>
      </c>
      <c r="K201" s="68" t="str">
        <f aca="false">IFERROR(__xludf.dummyfunction("""COMPUTED_VALUE"""),"Hangvt3")</f>
        <v>Hangvt3</v>
      </c>
      <c r="L201" s="68" t="str">
        <f aca="false">IFERROR(__xludf.dummyfunction("""COMPUTED_VALUE"""),"Bùi Vĩnh Thọ")</f>
        <v>Bùi Vĩnh Thọ</v>
      </c>
      <c r="M201" s="71"/>
      <c r="N201" s="77" t="str">
        <f aca="false">IFERROR(__xludf.dummyfunction("""COMPUTED_VALUE"""),"3125,3338")</f>
        <v>3125,3338</v>
      </c>
      <c r="O201" s="73" t="n">
        <f aca="false">IFERROR(__xludf.dummyfunction("""COMPUTED_VALUE"""),167357.174772)</f>
        <v>167357.174772</v>
      </c>
      <c r="P201" s="63" t="n">
        <f aca="false">IFERROR(__xludf.dummyfunction("""COMPUTED_VALUE"""),174772)</f>
        <v>174772</v>
      </c>
      <c r="Q201" s="63"/>
      <c r="R201" s="41"/>
      <c r="S201" s="41"/>
      <c r="T201" s="63"/>
      <c r="U201" s="63"/>
      <c r="V201" s="70" t="n">
        <f aca="false">IFERROR(__xludf.dummyfunction("""COMPUTED_VALUE"""),46234)</f>
        <v>46234</v>
      </c>
      <c r="W201" s="39" t="str">
        <f aca="false">IFERROR(__xludf.dummyfunction("""COMPUTED_VALUE"""),"Hoàn thành XB")</f>
        <v>Hoàn thành XB</v>
      </c>
      <c r="X201" s="41" t="str">
        <f aca="false">IFERROR(__xludf.dummyfunction("""COMPUTED_VALUE"""),"Phuongdt")</f>
        <v>Phuongdt</v>
      </c>
      <c r="Y201" s="44" t="str">
        <f aca="false">IFERROR(__xludf.dummyfunction("""COMPUTED_VALUE"""),"done")</f>
        <v>done</v>
      </c>
      <c r="Z201" s="57" t="str">
        <f aca="false">IFERROR(__xludf.dummyfunction("""COMPUTED_VALUE"""),"#N/A")</f>
        <v>#N/A</v>
      </c>
      <c r="AA201" s="57"/>
      <c r="AB201" s="41" t="n">
        <f aca="false">IFERROR(__xludf.dummyfunction("""COMPUTED_VALUE"""),7)</f>
        <v>7</v>
      </c>
      <c r="AC201" s="57" t="str">
        <f aca="false">IFERROR(__xludf.dummyfunction("""COMPUTED_VALUE"""),"gv.anvtq@hocmai.edu.vn ")</f>
        <v>gv.anvtq@hocmai.edu.vn </v>
      </c>
      <c r="AD201" s="46" t="str">
        <f aca="false">IFERROR(__xludf.dummyfunction("""COMPUTED_VALUE"""),"vinhtho0704@gmail.com")</f>
        <v>vinhtho0704@gmail.com</v>
      </c>
      <c r="AE201" s="46"/>
      <c r="AF201" s="74" t="b">
        <f aca="false">IFERROR(__xludf.dummyfunction("""COMPUTED_VALUE"""),FALSE())</f>
        <v>0</v>
      </c>
      <c r="AG201" s="46" t="str">
        <f aca="false">IFERROR(__xludf.dummyfunction("""COMPUTED_VALUE"""),"")</f>
        <v/>
      </c>
      <c r="AH201" s="35"/>
      <c r="AI201" s="35"/>
      <c r="AJ201" s="35"/>
      <c r="AK201" s="35"/>
      <c r="AL201" s="35"/>
      <c r="AM201" s="53" t="b">
        <f aca="false">IFERROR(__xludf.dummyfunction("""COMPUTED_VALUE"""),TRUE())</f>
        <v>1</v>
      </c>
      <c r="AN201" s="53" t="b">
        <f aca="false">IFERROR(__xludf.dummyfunction("""COMPUTED_VALUE"""),TRUE())</f>
        <v>1</v>
      </c>
      <c r="AO201" s="46"/>
    </row>
    <row r="202" customFormat="false" ht="15.75" hidden="false" customHeight="true" outlineLevel="0" collapsed="false">
      <c r="A202" s="37" t="str">
        <f aca="false">IFERROR(__xludf.dummyfunction("""COMPUTED_VALUE"""),"Địa lí")</f>
        <v>Địa lí</v>
      </c>
      <c r="B202" s="37" t="str">
        <f aca="false">IFERROR(__xludf.dummyfunction("""COMPUTED_VALUE"""),"TOV_HSA_ĐL04")</f>
        <v>TOV_HSA_ĐL04</v>
      </c>
      <c r="C202" s="59" t="str">
        <f aca="false">IFERROR(__xludf.dummyfunction("""COMPUTED_VALUE"""),"Địa lí kinh tế – xã hội đại cương (phần 1)")</f>
        <v>Địa lí kinh tế – xã hội đại cương (phần 1)</v>
      </c>
      <c r="D202" s="39" t="str">
        <f aca="false">IFERROR(__xludf.dummyfunction("""COMPUTED_VALUE"""),"Nguyễn Văn Vinh")</f>
        <v>Nguyễn Văn Vinh</v>
      </c>
      <c r="E202" s="40" t="n">
        <f aca="false">IFERROR(__xludf.dummyfunction("""COMPUTED_VALUE"""),46231)</f>
        <v>46231</v>
      </c>
      <c r="F202" s="41" t="n">
        <f aca="false">IFERROR(__xludf.dummyfunction("""COMPUTED_VALUE"""),3)</f>
        <v>3</v>
      </c>
      <c r="G202" s="37" t="str">
        <f aca="false">IFERROR(__xludf.dummyfunction("""COMPUTED_VALUE"""),"18:30-20:30")</f>
        <v>18:30-20:30</v>
      </c>
      <c r="H202" s="37"/>
      <c r="I202" s="37"/>
      <c r="J202" s="42" t="str">
        <f aca="false">IFERROR(__xludf.dummyfunction("""COMPUTED_VALUE"""),"https://drive.google.com/drive/folders/12PmMzRFKNdKQPYAxLBGqJFPeYrAzRepJ")</f>
        <v>https://drive.google.com/drive/folders/12PmMzRFKNdKQPYAxLBGqJFPeYrAzRepJ</v>
      </c>
      <c r="K202" s="68" t="str">
        <f aca="false">IFERROR(__xludf.dummyfunction("""COMPUTED_VALUE"""),"Trinhntt")</f>
        <v>Trinhntt</v>
      </c>
      <c r="L202" s="68" t="str">
        <f aca="false">IFERROR(__xludf.dummyfunction("""COMPUTED_VALUE"""),"Phan Đức Kiên")</f>
        <v>Phan Đức Kiên</v>
      </c>
      <c r="M202" s="71"/>
      <c r="N202" s="77" t="str">
        <f aca="false">IFERROR(__xludf.dummyfunction("""COMPUTED_VALUE"""),"3123")</f>
        <v>3123</v>
      </c>
      <c r="O202" s="63" t="n">
        <f aca="false">IFERROR(__xludf.dummyfunction("""COMPUTED_VALUE"""),174750)</f>
        <v>174750</v>
      </c>
      <c r="P202" s="63"/>
      <c r="Q202" s="63" t="n">
        <f aca="false">IFERROR(__xludf.dummyfunction("""COMPUTED_VALUE"""),174750)</f>
        <v>174750</v>
      </c>
      <c r="R202" s="41"/>
      <c r="S202" s="41"/>
      <c r="T202" s="63"/>
      <c r="U202" s="63"/>
      <c r="V202" s="70" t="n">
        <f aca="false">IFERROR(__xludf.dummyfunction("""COMPUTED_VALUE"""),46234)</f>
        <v>46234</v>
      </c>
      <c r="W202" s="39" t="str">
        <f aca="false">IFERROR(__xludf.dummyfunction("""COMPUTED_VALUE"""),"Hoàn thành XB")</f>
        <v>Hoàn thành XB</v>
      </c>
      <c r="X202" s="41" t="str">
        <f aca="false">IFERROR(__xludf.dummyfunction("""COMPUTED_VALUE"""),"Huent7")</f>
        <v>Huent7</v>
      </c>
      <c r="Y202" s="44"/>
      <c r="Z202" s="57" t="str">
        <f aca="false">IFERROR(__xludf.dummyfunction("""COMPUTED_VALUE"""),"#N/A")</f>
        <v>#N/A</v>
      </c>
      <c r="AA202" s="57"/>
      <c r="AB202" s="41"/>
      <c r="AC202" s="57" t="str">
        <f aca="false">IFERROR(__xludf.dummyfunction("""COMPUTED_VALUE"""),"gv.vinhnv@hocmai.edu.vn")</f>
        <v>gv.vinhnv@hocmai.edu.vn</v>
      </c>
      <c r="AD202" s="46" t="str">
        <f aca="false">IFERROR(__xludf.dummyfunction("""COMPUTED_VALUE"""),"duckien010607@gmail.com")</f>
        <v>duckien010607@gmail.com</v>
      </c>
      <c r="AE202" s="46"/>
      <c r="AF202" s="74" t="b">
        <f aca="false">IFERROR(__xludf.dummyfunction("""COMPUTED_VALUE"""),FALSE())</f>
        <v>0</v>
      </c>
      <c r="AG202" s="46" t="str">
        <f aca="false">IFERROR(__xludf.dummyfunction("""COMPUTED_VALUE"""),"")</f>
        <v/>
      </c>
      <c r="AH202" s="35"/>
      <c r="AI202" s="35"/>
      <c r="AJ202" s="53" t="b">
        <f aca="false">IFERROR(__xludf.dummyfunction("""COMPUTED_VALUE"""),TRUE())</f>
        <v>1</v>
      </c>
      <c r="AK202" s="53" t="b">
        <f aca="false">IFERROR(__xludf.dummyfunction("""COMPUTED_VALUE"""),TRUE())</f>
        <v>1</v>
      </c>
      <c r="AL202" s="35"/>
      <c r="AM202" s="35"/>
      <c r="AN202" s="35"/>
      <c r="AO202" s="46"/>
    </row>
    <row r="203" customFormat="false" ht="15.75" hidden="false" customHeight="true" outlineLevel="0" collapsed="false">
      <c r="A203" s="37" t="str">
        <f aca="false">IFERROR(__xludf.dummyfunction("""COMPUTED_VALUE"""),"Thực chiến Khoa học")</f>
        <v>Thực chiến Khoa học</v>
      </c>
      <c r="B203" s="37" t="str">
        <f aca="false">IFERROR(__xludf.dummyfunction("""COMPUTED_VALUE"""),"TC_TSA_KH_10")</f>
        <v>TC_TSA_KH_10</v>
      </c>
      <c r="C203" s="59" t="str">
        <f aca="false">IFERROR(__xludf.dummyfunction("""COMPUTED_VALUE"""),"[Bổ trợ]_Chữa bài tập TSA_Tư duy Khoa học số 10")</f>
        <v>[Bổ trợ]_Chữa bài tập TSA_Tư duy Khoa học số 10</v>
      </c>
      <c r="D203" s="39" t="str">
        <f aca="false">IFERROR(__xludf.dummyfunction("""COMPUTED_VALUE"""),"Nguyễn Trọng Trường Anh")</f>
        <v>Nguyễn Trọng Trường Anh</v>
      </c>
      <c r="E203" s="40" t="n">
        <f aca="false">IFERROR(__xludf.dummyfunction("""COMPUTED_VALUE"""),46231)</f>
        <v>46231</v>
      </c>
      <c r="F203" s="41" t="n">
        <f aca="false">IFERROR(__xludf.dummyfunction("""COMPUTED_VALUE"""),3)</f>
        <v>3</v>
      </c>
      <c r="G203" s="37" t="str">
        <f aca="false">IFERROR(__xludf.dummyfunction("""COMPUTED_VALUE"""),"19:00-20:00")</f>
        <v>19:00-20:00</v>
      </c>
      <c r="H203" s="37"/>
      <c r="I203" s="37"/>
      <c r="J203" s="42" t="str">
        <f aca="false">IFERROR(__xludf.dummyfunction("""COMPUTED_VALUE"""),"https://drive.google.com/drive/folders/1fcKa9Vb-Qj_QUNeJIo58ZE-GmJQYFCM0?usp=drive_link")</f>
        <v>https://drive.google.com/drive/folders/1fcKa9Vb-Qj_QUNeJIo58ZE-GmJQYFCM0?usp=drive_link</v>
      </c>
      <c r="K203" s="68" t="str">
        <f aca="false">IFERROR(__xludf.dummyfunction("""COMPUTED_VALUE"""),"Trangnth2")</f>
        <v>Trangnth2</v>
      </c>
      <c r="L203" s="68" t="str">
        <f aca="false">IFERROR(__xludf.dummyfunction("""COMPUTED_VALUE"""),"HOCMAI")</f>
        <v>HOCMAI</v>
      </c>
      <c r="M203" s="71"/>
      <c r="N203" s="77" t="str">
        <f aca="false">IFERROR(__xludf.dummyfunction("""COMPUTED_VALUE"""),"3110")</f>
        <v>3110</v>
      </c>
      <c r="O203" s="63" t="n">
        <f aca="false">IFERROR(__xludf.dummyfunction("""COMPUTED_VALUE"""),175133)</f>
        <v>175133</v>
      </c>
      <c r="P203" s="60" t="str">
        <f aca="false">IFERROR(__xludf.dummyfunction("""COMPUTED_VALUE"""),"https://hocmai.vn/bai-giang-truc-tuyen/175133/.html")</f>
        <v>https://hocmai.vn/bai-giang-truc-tuyen/175133/.html</v>
      </c>
      <c r="Q203" s="63"/>
      <c r="R203" s="41"/>
      <c r="S203" s="41"/>
      <c r="T203" s="63"/>
      <c r="U203" s="63"/>
      <c r="V203" s="70" t="n">
        <f aca="false">IFERROR(__xludf.dummyfunction("""COMPUTED_VALUE"""),46234)</f>
        <v>46234</v>
      </c>
      <c r="W203" s="39" t="str">
        <f aca="false">IFERROR(__xludf.dummyfunction("""COMPUTED_VALUE"""),"Hoàn thành XB")</f>
        <v>Hoàn thành XB</v>
      </c>
      <c r="X203" s="41" t="str">
        <f aca="false">IFERROR(__xludf.dummyfunction("""COMPUTED_VALUE"""),"Vuta")</f>
        <v>Vuta</v>
      </c>
      <c r="Y203" s="44"/>
      <c r="Z203" s="57"/>
      <c r="AA203" s="57"/>
      <c r="AB203" s="41" t="n">
        <f aca="false">IFERROR(__xludf.dummyfunction("""COMPUTED_VALUE"""),7)</f>
        <v>7</v>
      </c>
      <c r="AC203" s="57" t="str">
        <f aca="false">IFERROR(__xludf.dummyfunction("""COMPUTED_VALUE"""),"thochi1981@gmail.com")</f>
        <v>thochi1981@gmail.com</v>
      </c>
      <c r="AD203" s="46"/>
      <c r="AE203" s="46"/>
      <c r="AF203" s="47"/>
      <c r="AG203" s="46"/>
      <c r="AH203" s="53" t="b">
        <f aca="false">IFERROR(__xludf.dummyfunction("""COMPUTED_VALUE"""),FALSE())</f>
        <v>0</v>
      </c>
      <c r="AI203" s="53" t="b">
        <f aca="false">IFERROR(__xludf.dummyfunction("""COMPUTED_VALUE"""),TRUE())</f>
        <v>1</v>
      </c>
      <c r="AJ203" s="53" t="b">
        <f aca="false">IFERROR(__xludf.dummyfunction("""COMPUTED_VALUE"""),FALSE())</f>
        <v>0</v>
      </c>
      <c r="AK203" s="53" t="b">
        <f aca="false">IFERROR(__xludf.dummyfunction("""COMPUTED_VALUE"""),FALSE())</f>
        <v>0</v>
      </c>
      <c r="AL203" s="53" t="b">
        <f aca="false">IFERROR(__xludf.dummyfunction("""COMPUTED_VALUE"""),FALSE())</f>
        <v>0</v>
      </c>
      <c r="AM203" s="53" t="b">
        <f aca="false">IFERROR(__xludf.dummyfunction("""COMPUTED_VALUE"""),FALSE())</f>
        <v>0</v>
      </c>
      <c r="AN203" s="53" t="b">
        <f aca="false">IFERROR(__xludf.dummyfunction("""COMPUTED_VALUE"""),FALSE())</f>
        <v>0</v>
      </c>
      <c r="AO203" s="46"/>
    </row>
    <row r="204" customFormat="false" ht="15.75" hidden="false" customHeight="true" outlineLevel="0" collapsed="false">
      <c r="A204" s="37" t="str">
        <f aca="false">IFERROR(__xludf.dummyfunction("""COMPUTED_VALUE"""),"Thực chiến Tiếng Anh")</f>
        <v>Thực chiến Tiếng Anh</v>
      </c>
      <c r="B204" s="37" t="str">
        <f aca="false">IFERROR(__xludf.dummyfunction("""COMPUTED_VALUE"""),"TC_V-ACT_TA_06")</f>
        <v>TC_V-ACT_TA_06</v>
      </c>
      <c r="C204" s="59" t="str">
        <f aca="false">IFERROR(__xludf.dummyfunction("""COMPUTED_VALUE"""),"[Bổ trợ]_Chữa bài tập_V-ACT_Tiếng Anh số 06")</f>
        <v>[Bổ trợ]_Chữa bài tập_V-ACT_Tiếng Anh số 06</v>
      </c>
      <c r="D204" s="39" t="str">
        <f aca="false">IFERROR(__xludf.dummyfunction("""COMPUTED_VALUE"""),"Dung Thành Vinh")</f>
        <v>Dung Thành Vinh</v>
      </c>
      <c r="E204" s="40" t="n">
        <f aca="false">IFERROR(__xludf.dummyfunction("""COMPUTED_VALUE"""),46231)</f>
        <v>46231</v>
      </c>
      <c r="F204" s="41" t="n">
        <f aca="false">IFERROR(__xludf.dummyfunction("""COMPUTED_VALUE"""),3)</f>
        <v>3</v>
      </c>
      <c r="G204" s="37" t="str">
        <f aca="false">IFERROR(__xludf.dummyfunction("""COMPUTED_VALUE"""),"18:00-19:00")</f>
        <v>18:00-19:00</v>
      </c>
      <c r="H204" s="37"/>
      <c r="I204" s="37"/>
      <c r="J204" s="42" t="str">
        <f aca="false">IFERROR(__xludf.dummyfunction("""COMPUTED_VALUE"""),"https://drive.google.com/drive/folders/1ZuS1b2FzGlBADGFKLfJf22H8nkRQLLqI")</f>
        <v>https://drive.google.com/drive/folders/1ZuS1b2FzGlBADGFKLfJf22H8nkRQLLqI</v>
      </c>
      <c r="K204" s="68" t="str">
        <f aca="false">IFERROR(__xludf.dummyfunction("""COMPUTED_VALUE"""),"Huyenn2")</f>
        <v>Huyenn2</v>
      </c>
      <c r="L204" s="68" t="str">
        <f aca="false">IFERROR(__xludf.dummyfunction("""COMPUTED_VALUE"""),"HOCMAI")</f>
        <v>HOCMAI</v>
      </c>
      <c r="M204" s="71"/>
      <c r="N204" s="77" t="str">
        <f aca="false">IFERROR(__xludf.dummyfunction("""COMPUTED_VALUE"""),"3165")</f>
        <v>3165</v>
      </c>
      <c r="O204" s="63" t="n">
        <f aca="false">IFERROR(__xludf.dummyfunction("""COMPUTED_VALUE"""),175202)</f>
        <v>175202</v>
      </c>
      <c r="P204" s="60" t="str">
        <f aca="false">IFERROR(__xludf.dummyfunction("""COMPUTED_VALUE"""),"https://hocmai.vn/bai-giang-truc-tuyen/175202/.html")</f>
        <v>https://hocmai.vn/bai-giang-truc-tuyen/175202/.html</v>
      </c>
      <c r="Q204" s="63"/>
      <c r="R204" s="41"/>
      <c r="S204" s="41"/>
      <c r="T204" s="63"/>
      <c r="U204" s="63"/>
      <c r="V204" s="70" t="n">
        <f aca="false">IFERROR(__xludf.dummyfunction("""COMPUTED_VALUE"""),46234)</f>
        <v>46234</v>
      </c>
      <c r="W204" s="39" t="str">
        <f aca="false">IFERROR(__xludf.dummyfunction("""COMPUTED_VALUE"""),"Hoàn thành XB")</f>
        <v>Hoàn thành XB</v>
      </c>
      <c r="X204" s="41" t="str">
        <f aca="false">IFERROR(__xludf.dummyfunction("""COMPUTED_VALUE"""),"Vuta")</f>
        <v>Vuta</v>
      </c>
      <c r="Y204" s="44"/>
      <c r="Z204" s="57"/>
      <c r="AA204" s="57"/>
      <c r="AB204" s="41" t="n">
        <f aca="false">IFERROR(__xludf.dummyfunction("""COMPUTED_VALUE"""),7)</f>
        <v>7</v>
      </c>
      <c r="AC204" s="57" t="str">
        <f aca="false">IFERROR(__xludf.dummyfunction("""COMPUTED_VALUE"""),"shimlim04@gmail.com")</f>
        <v>shimlim04@gmail.com</v>
      </c>
      <c r="AD204" s="46"/>
      <c r="AE204" s="46"/>
      <c r="AF204" s="47"/>
      <c r="AG204" s="46"/>
      <c r="AH204" s="53" t="b">
        <f aca="false">IFERROR(__xludf.dummyfunction("""COMPUTED_VALUE"""),FALSE())</f>
        <v>0</v>
      </c>
      <c r="AI204" s="53" t="b">
        <f aca="false">IFERROR(__xludf.dummyfunction("""COMPUTED_VALUE"""),FALSE())</f>
        <v>0</v>
      </c>
      <c r="AJ204" s="53" t="b">
        <f aca="false">IFERROR(__xludf.dummyfunction("""COMPUTED_VALUE"""),FALSE())</f>
        <v>0</v>
      </c>
      <c r="AK204" s="53" t="b">
        <f aca="false">IFERROR(__xludf.dummyfunction("""COMPUTED_VALUE"""),FALSE())</f>
        <v>0</v>
      </c>
      <c r="AL204" s="53" t="b">
        <f aca="false">IFERROR(__xludf.dummyfunction("""COMPUTED_VALUE"""),FALSE())</f>
        <v>0</v>
      </c>
      <c r="AM204" s="53" t="b">
        <f aca="false">IFERROR(__xludf.dummyfunction("""COMPUTED_VALUE"""),TRUE())</f>
        <v>1</v>
      </c>
      <c r="AN204" s="53" t="b">
        <f aca="false">IFERROR(__xludf.dummyfunction("""COMPUTED_VALUE"""),TRUE())</f>
        <v>1</v>
      </c>
      <c r="AO204" s="46"/>
    </row>
    <row r="205" customFormat="false" ht="15.75" hidden="false" customHeight="true" outlineLevel="0" collapsed="false">
      <c r="A205" s="37" t="str">
        <f aca="false">IFERROR(__xludf.dummyfunction("""COMPUTED_VALUE"""),"Toán")</f>
        <v>Toán</v>
      </c>
      <c r="B205" s="37" t="str">
        <f aca="false">IFERROR(__xludf.dummyfunction("""COMPUTED_VALUE"""),"NT_N_15_bù")</f>
        <v>NT_N_15_bù</v>
      </c>
      <c r="C205" s="59" t="str">
        <f aca="false">IFERROR(__xludf.dummyfunction("""COMPUTED_VALUE"""),"Vectơ trong không gian")</f>
        <v>Vectơ trong không gian</v>
      </c>
      <c r="D205" s="39" t="str">
        <f aca="false">IFERROR(__xludf.dummyfunction("""COMPUTED_VALUE"""),"Nguyễn Hoài Nam")</f>
        <v>Nguyễn Hoài Nam</v>
      </c>
      <c r="E205" s="40" t="n">
        <f aca="false">IFERROR(__xludf.dummyfunction("""COMPUTED_VALUE"""),46232)</f>
        <v>46232</v>
      </c>
      <c r="F205" s="41" t="n">
        <f aca="false">IFERROR(__xludf.dummyfunction("""COMPUTED_VALUE"""),4)</f>
        <v>4</v>
      </c>
      <c r="G205" s="37" t="str">
        <f aca="false">IFERROR(__xludf.dummyfunction("""COMPUTED_VALUE"""),"19:00-20:30")</f>
        <v>19:00-20:30</v>
      </c>
      <c r="H205" s="42" t="str">
        <f aca="false">IFERROR(__xludf.dummyfunction("""COMPUTED_VALUE"""),"https://hocmai.vn/mod/scorm/view_file.php?inpopup=true&amp;id=183299")</f>
        <v>https://hocmai.vn/mod/scorm/view_file.php?inpopup=true&amp;id=183299</v>
      </c>
      <c r="I205" s="42" t="str">
        <f aca="false">IFERROR(__xludf.dummyfunction("""COMPUTED_VALUE"""),"https://hocmai.vn/mod/scorm/view_file.php?inpopup=true&amp;id=183339")</f>
        <v>https://hocmai.vn/mod/scorm/view_file.php?inpopup=true&amp;id=183339</v>
      </c>
      <c r="J205" s="42" t="str">
        <f aca="false">IFERROR(__xludf.dummyfunction("""COMPUTED_VALUE"""),"https://drive.google.com/drive/folders/1X_q7q9ynwBsqCiYPcdmTPDxhOhzbOd73?usp=sharing")</f>
        <v>https://drive.google.com/drive/folders/1X_q7q9ynwBsqCiYPcdmTPDxhOhzbOd73?usp=sharing</v>
      </c>
      <c r="K205" s="68" t="str">
        <f aca="false">IFERROR(__xludf.dummyfunction("""COMPUTED_VALUE"""),"lent")</f>
        <v>lent</v>
      </c>
      <c r="L205" s="68" t="str">
        <f aca="false">IFERROR(__xludf.dummyfunction("""COMPUTED_VALUE"""),"Tưởng Thị Huyền Trang")</f>
        <v>Tưởng Thị Huyền Trang</v>
      </c>
      <c r="M205" s="69" t="str">
        <f aca="false">IFERROR(__xludf.dummyfunction("""COMPUTED_VALUE"""),"https://hocmai.sharepoint.com/Education_Development/Lists/San_xuat_video/DispForm.aspx?ID=12202")</f>
        <v>https://hocmai.sharepoint.com/Education_Development/Lists/San_xuat_video/DispForm.aspx?ID=12202</v>
      </c>
      <c r="N205" s="78" t="n">
        <f aca="false">IFERROR(__xludf.dummyfunction("""COMPUTED_VALUE"""),3313)</f>
        <v>3313</v>
      </c>
      <c r="O205" s="63" t="n">
        <f aca="false">IFERROR(__xludf.dummyfunction("""COMPUTED_VALUE"""),166640)</f>
        <v>166640</v>
      </c>
      <c r="P205" s="63"/>
      <c r="Q205" s="63" t="n">
        <f aca="false">IFERROR(__xludf.dummyfunction("""COMPUTED_VALUE"""),8027)</f>
        <v>8027</v>
      </c>
      <c r="R205" s="41"/>
      <c r="S205" s="41"/>
      <c r="T205" s="63" t="n">
        <f aca="false">IFERROR(__xludf.dummyfunction("""COMPUTED_VALUE"""),8028)</f>
        <v>8028</v>
      </c>
      <c r="U205" s="63" t="n">
        <f aca="false">IFERROR(__xludf.dummyfunction("""COMPUTED_VALUE"""),24113)</f>
        <v>24113</v>
      </c>
      <c r="V205" s="70" t="n">
        <f aca="false">IFERROR(__xludf.dummyfunction("""COMPUTED_VALUE"""),46231)</f>
        <v>46231</v>
      </c>
      <c r="W205" s="39" t="str">
        <f aca="false">IFERROR(__xludf.dummyfunction("""COMPUTED_VALUE"""),"Hoàn thành BT sau live")</f>
        <v>Hoàn thành BT sau live</v>
      </c>
      <c r="X205" s="41" t="str">
        <f aca="false">IFERROR(__xludf.dummyfunction("""COMPUTED_VALUE"""),"Huent7")</f>
        <v>Huent7</v>
      </c>
      <c r="Y205" s="44"/>
      <c r="Z205" s="57"/>
      <c r="AA205" s="57"/>
      <c r="AB205" s="41" t="n">
        <f aca="false">IFERROR(__xludf.dummyfunction("""COMPUTED_VALUE"""),7)</f>
        <v>7</v>
      </c>
      <c r="AC205" s="57"/>
      <c r="AD205" s="46"/>
      <c r="AE205" s="46"/>
      <c r="AF205" s="47" t="str">
        <f aca="false">IFERROR(__xludf.dummyfunction("""COMPUTED_VALUE"""),"lophoctoan-946232")</f>
        <v>lophoctoan-946232</v>
      </c>
      <c r="AG205" s="46" t="str">
        <f aca="false">IFERROR(__xludf.dummyfunction("""COMPUTED_VALUE"""),"")</f>
        <v/>
      </c>
      <c r="AH205" s="53" t="b">
        <f aca="false">IFERROR(__xludf.dummyfunction("""COMPUTED_VALUE"""),TRUE())</f>
        <v>1</v>
      </c>
      <c r="AI205" s="35"/>
      <c r="AJ205" s="35"/>
      <c r="AK205" s="35"/>
      <c r="AL205" s="35"/>
      <c r="AM205" s="35"/>
      <c r="AN205" s="35"/>
      <c r="AO205" s="46"/>
    </row>
    <row r="206" customFormat="false" ht="15.75" hidden="false" customHeight="true" outlineLevel="0" collapsed="false">
      <c r="A206" s="37" t="str">
        <f aca="false">IFERROR(__xludf.dummyfunction("""COMPUTED_VALUE"""),"Định tính")</f>
        <v>Định tính</v>
      </c>
      <c r="B206" s="37" t="str">
        <f aca="false">IFERROR(__xludf.dummyfunction("""COMPUTED_VALUE"""),"TOV_HSA_DT06")</f>
        <v>TOV_HSA_DT06</v>
      </c>
      <c r="C206" s="59" t="str">
        <f aca="false">IFERROR(__xludf.dummyfunction("""COMPUTED_VALUE"""),"Phong cách ngôn ngữ, phương thức biểu đạt và ngữ cảnh giao tiếp")</f>
        <v>Phong cách ngôn ngữ, phương thức biểu đạt và ngữ cảnh giao tiếp</v>
      </c>
      <c r="D206" s="39" t="str">
        <f aca="false">IFERROR(__xludf.dummyfunction("""COMPUTED_VALUE"""),"Vương Thúy Hằng")</f>
        <v>Vương Thúy Hằng</v>
      </c>
      <c r="E206" s="40" t="n">
        <f aca="false">IFERROR(__xludf.dummyfunction("""COMPUTED_VALUE"""),46232)</f>
        <v>46232</v>
      </c>
      <c r="F206" s="41" t="n">
        <f aca="false">IFERROR(__xludf.dummyfunction("""COMPUTED_VALUE"""),4)</f>
        <v>4</v>
      </c>
      <c r="G206" s="79" t="str">
        <f aca="false">IFERROR(__xludf.dummyfunction("""COMPUTED_VALUE"""),"21:00-23:00")</f>
        <v>21:00-23:00</v>
      </c>
      <c r="H206" s="37"/>
      <c r="I206" s="37"/>
      <c r="J206" s="42" t="str">
        <f aca="false">IFERROR(__xludf.dummyfunction("""COMPUTED_VALUE"""),"https://drive.google.com/file/d/1xYFRBjw9HVisdxWnmwYm5skZGis8dYfn/view?usp=drive_link")</f>
        <v>https://drive.google.com/file/d/1xYFRBjw9HVisdxWnmwYm5skZGis8dYfn/view?usp=drive_link</v>
      </c>
      <c r="K206" s="68" t="str">
        <f aca="false">IFERROR(__xludf.dummyfunction("""COMPUTED_VALUE"""),"Hangvt3")</f>
        <v>Hangvt3</v>
      </c>
      <c r="L206" s="68" t="str">
        <f aca="false">IFERROR(__xludf.dummyfunction("""COMPUTED_VALUE"""),"Kiều Bảo Minh")</f>
        <v>Kiều Bảo Minh</v>
      </c>
      <c r="M206" s="71"/>
      <c r="N206" s="77" t="str">
        <f aca="false">IFERROR(__xludf.dummyfunction("""COMPUTED_VALUE"""),"3118")</f>
        <v>3118</v>
      </c>
      <c r="O206" s="63" t="n">
        <f aca="false">IFERROR(__xludf.dummyfunction("""COMPUTED_VALUE"""),167295)</f>
        <v>167295</v>
      </c>
      <c r="P206" s="63"/>
      <c r="Q206" s="63"/>
      <c r="R206" s="41"/>
      <c r="S206" s="41"/>
      <c r="T206" s="63"/>
      <c r="U206" s="63"/>
      <c r="V206" s="70" t="n">
        <f aca="false">IFERROR(__xludf.dummyfunction("""COMPUTED_VALUE"""),46235)</f>
        <v>46235</v>
      </c>
      <c r="W206" s="39" t="str">
        <f aca="false">IFERROR(__xludf.dummyfunction("""COMPUTED_VALUE"""),"Hoàn thành XB")</f>
        <v>Hoàn thành XB</v>
      </c>
      <c r="X206" s="41" t="str">
        <f aca="false">IFERROR(__xludf.dummyfunction("""COMPUTED_VALUE"""),"Phuongdt")</f>
        <v>Phuongdt</v>
      </c>
      <c r="Y206" s="44" t="str">
        <f aca="false">IFERROR(__xludf.dummyfunction("""COMPUTED_VALUE"""),"done")</f>
        <v>done</v>
      </c>
      <c r="Z206" s="57" t="str">
        <f aca="false">IFERROR(__xludf.dummyfunction("""COMPUTED_VALUE"""),"#N/A")</f>
        <v>#N/A</v>
      </c>
      <c r="AA206" s="57"/>
      <c r="AB206" s="41" t="n">
        <f aca="false">IFERROR(__xludf.dummyfunction("""COMPUTED_VALUE"""),7)</f>
        <v>7</v>
      </c>
      <c r="AC206" s="57" t="str">
        <f aca="false">IFERROR(__xludf.dummyfunction("""COMPUTED_VALUE"""),"gv.hangvt@hocmai.edu.vn ")</f>
        <v>gv.hangvt@hocmai.edu.vn </v>
      </c>
      <c r="AD206" s="46" t="str">
        <f aca="false">IFERROR(__xludf.dummyfunction("""COMPUTED_VALUE"""),"mkieu2662@gmail.com")</f>
        <v>mkieu2662@gmail.com</v>
      </c>
      <c r="AE206" s="46"/>
      <c r="AF206" s="74" t="b">
        <f aca="false">IFERROR(__xludf.dummyfunction("""COMPUTED_VALUE"""),FALSE())</f>
        <v>0</v>
      </c>
      <c r="AG206" s="46" t="str">
        <f aca="false">IFERROR(__xludf.dummyfunction("""COMPUTED_VALUE"""),"")</f>
        <v/>
      </c>
      <c r="AH206" s="35"/>
      <c r="AI206" s="35"/>
      <c r="AJ206" s="53" t="b">
        <f aca="false">IFERROR(__xludf.dummyfunction("""COMPUTED_VALUE"""),TRUE())</f>
        <v>1</v>
      </c>
      <c r="AK206" s="53" t="b">
        <f aca="false">IFERROR(__xludf.dummyfunction("""COMPUTED_VALUE"""),TRUE())</f>
        <v>1</v>
      </c>
      <c r="AL206" s="35"/>
      <c r="AM206" s="35"/>
      <c r="AN206" s="35"/>
      <c r="AO206" s="46"/>
    </row>
    <row r="207" customFormat="false" ht="15.75" hidden="false" customHeight="true" outlineLevel="0" collapsed="false">
      <c r="A207" s="37" t="str">
        <f aca="false">IFERROR(__xludf.dummyfunction("""COMPUTED_VALUE"""),"Thực chiến Toán")</f>
        <v>Thực chiến Toán</v>
      </c>
      <c r="B207" s="37" t="str">
        <f aca="false">IFERROR(__xludf.dummyfunction("""COMPUTED_VALUE"""),"TC_TSA_T_11")</f>
        <v>TC_TSA_T_11</v>
      </c>
      <c r="C207" s="59" t="str">
        <f aca="false">IFERROR(__xludf.dummyfunction("""COMPUTED_VALUE"""),"[Bổ trợ]_Chữa bài tập TSA_Tư duy Toán học số 11")</f>
        <v>[Bổ trợ]_Chữa bài tập TSA_Tư duy Toán học số 11</v>
      </c>
      <c r="D207" s="39" t="str">
        <f aca="false">IFERROR(__xludf.dummyfunction("""COMPUTED_VALUE"""),"Phạm Huy Hoàng")</f>
        <v>Phạm Huy Hoàng</v>
      </c>
      <c r="E207" s="40" t="n">
        <f aca="false">IFERROR(__xludf.dummyfunction("""COMPUTED_VALUE"""),46232)</f>
        <v>46232</v>
      </c>
      <c r="F207" s="41" t="n">
        <f aca="false">IFERROR(__xludf.dummyfunction("""COMPUTED_VALUE"""),4)</f>
        <v>4</v>
      </c>
      <c r="G207" s="37" t="str">
        <f aca="false">IFERROR(__xludf.dummyfunction("""COMPUTED_VALUE"""),"18:00-19:00")</f>
        <v>18:00-19:00</v>
      </c>
      <c r="H207" s="37"/>
      <c r="I207" s="37"/>
      <c r="J207" s="42" t="str">
        <f aca="false">IFERROR(__xludf.dummyfunction("""COMPUTED_VALUE"""),"https://drive.google.com/drive/folders/17JvudBHLEBpqJmZlcuKoOIUiV1xNAn4n?usp=drive_link")</f>
        <v>https://drive.google.com/drive/folders/17JvudBHLEBpqJmZlcuKoOIUiV1xNAn4n?usp=drive_link</v>
      </c>
      <c r="K207" s="68" t="str">
        <f aca="false">IFERROR(__xludf.dummyfunction("""COMPUTED_VALUE"""),"Locdd")</f>
        <v>Locdd</v>
      </c>
      <c r="L207" s="68" t="str">
        <f aca="false">IFERROR(__xludf.dummyfunction("""COMPUTED_VALUE"""),"HOCMAI")</f>
        <v>HOCMAI</v>
      </c>
      <c r="M207" s="71"/>
      <c r="N207" s="77" t="str">
        <f aca="false">IFERROR(__xludf.dummyfunction("""COMPUTED_VALUE"""),"3108")</f>
        <v>3108</v>
      </c>
      <c r="O207" s="63" t="n">
        <f aca="false">IFERROR(__xludf.dummyfunction("""COMPUTED_VALUE"""),175123)</f>
        <v>175123</v>
      </c>
      <c r="P207" s="60" t="str">
        <f aca="false">IFERROR(__xludf.dummyfunction("""COMPUTED_VALUE"""),"https://hocmai.vn/bai-giang-truc-tuyen/175123/.html")</f>
        <v>https://hocmai.vn/bai-giang-truc-tuyen/175123/.html</v>
      </c>
      <c r="Q207" s="63"/>
      <c r="R207" s="41"/>
      <c r="S207" s="41"/>
      <c r="T207" s="63"/>
      <c r="U207" s="63"/>
      <c r="V207" s="70" t="n">
        <f aca="false">IFERROR(__xludf.dummyfunction("""COMPUTED_VALUE"""),46235)</f>
        <v>46235</v>
      </c>
      <c r="W207" s="39" t="str">
        <f aca="false">IFERROR(__xludf.dummyfunction("""COMPUTED_VALUE"""),"Hoàn thành TL live")</f>
        <v>Hoàn thành TL live</v>
      </c>
      <c r="X207" s="41" t="str">
        <f aca="false">IFERROR(__xludf.dummyfunction("""COMPUTED_VALUE"""),"Vuta")</f>
        <v>Vuta</v>
      </c>
      <c r="Y207" s="44"/>
      <c r="Z207" s="57"/>
      <c r="AA207" s="57"/>
      <c r="AB207" s="41" t="n">
        <f aca="false">IFERROR(__xludf.dummyfunction("""COMPUTED_VALUE"""),7)</f>
        <v>7</v>
      </c>
      <c r="AC207" s="57" t="str">
        <f aca="false">IFERROR(__xludf.dummyfunction("""COMPUTED_VALUE"""),"0376611308")</f>
        <v>0376611308</v>
      </c>
      <c r="AD207" s="46"/>
      <c r="AE207" s="46"/>
      <c r="AF207" s="47"/>
      <c r="AG207" s="46"/>
      <c r="AH207" s="53" t="b">
        <f aca="false">IFERROR(__xludf.dummyfunction("""COMPUTED_VALUE"""),FALSE())</f>
        <v>0</v>
      </c>
      <c r="AI207" s="53" t="b">
        <f aca="false">IFERROR(__xludf.dummyfunction("""COMPUTED_VALUE"""),TRUE())</f>
        <v>1</v>
      </c>
      <c r="AJ207" s="53" t="b">
        <f aca="false">IFERROR(__xludf.dummyfunction("""COMPUTED_VALUE"""),FALSE())</f>
        <v>0</v>
      </c>
      <c r="AK207" s="53" t="b">
        <f aca="false">IFERROR(__xludf.dummyfunction("""COMPUTED_VALUE"""),FALSE())</f>
        <v>0</v>
      </c>
      <c r="AL207" s="53" t="b">
        <f aca="false">IFERROR(__xludf.dummyfunction("""COMPUTED_VALUE"""),FALSE())</f>
        <v>0</v>
      </c>
      <c r="AM207" s="53" t="b">
        <f aca="false">IFERROR(__xludf.dummyfunction("""COMPUTED_VALUE"""),FALSE())</f>
        <v>0</v>
      </c>
      <c r="AN207" s="53" t="b">
        <f aca="false">IFERROR(__xludf.dummyfunction("""COMPUTED_VALUE"""),FALSE())</f>
        <v>0</v>
      </c>
      <c r="AO207" s="46"/>
    </row>
    <row r="208" customFormat="false" ht="15.75" hidden="false" customHeight="true" outlineLevel="0" collapsed="false">
      <c r="A208" s="37" t="str">
        <f aca="false">IFERROR(__xludf.dummyfunction("""COMPUTED_VALUE"""),"Thực chiến Tiếng Việt")</f>
        <v>Thực chiến Tiếng Việt</v>
      </c>
      <c r="B208" s="37" t="str">
        <f aca="false">IFERROR(__xludf.dummyfunction("""COMPUTED_VALUE"""),"TC_V-ACT_TV_05")</f>
        <v>TC_V-ACT_TV_05</v>
      </c>
      <c r="C208" s="59" t="str">
        <f aca="false">IFERROR(__xludf.dummyfunction("""COMPUTED_VALUE"""),"[Bổ trợ]_Chữa bài tập_V-ACT_Tiếng Việt số 05")</f>
        <v>[Bổ trợ]_Chữa bài tập_V-ACT_Tiếng Việt số 05</v>
      </c>
      <c r="D208" s="39" t="str">
        <f aca="false">IFERROR(__xludf.dummyfunction("""COMPUTED_VALUE"""),"Nguyễn Thị Khánh Ly")</f>
        <v>Nguyễn Thị Khánh Ly</v>
      </c>
      <c r="E208" s="40" t="n">
        <f aca="false">IFERROR(__xludf.dummyfunction("""COMPUTED_VALUE"""),46232)</f>
        <v>46232</v>
      </c>
      <c r="F208" s="41" t="n">
        <f aca="false">IFERROR(__xludf.dummyfunction("""COMPUTED_VALUE"""),4)</f>
        <v>4</v>
      </c>
      <c r="G208" s="79" t="str">
        <f aca="false">IFERROR(__xludf.dummyfunction("""COMPUTED_VALUE"""),"21:15-22:15")</f>
        <v>21:15-22:15</v>
      </c>
      <c r="H208" s="37"/>
      <c r="I208" s="37"/>
      <c r="J208" s="42" t="str">
        <f aca="false">IFERROR(__xludf.dummyfunction("""COMPUTED_VALUE"""),"https://drive.google.com/open?id=1NXDvbsYDGKb6RKxOyCFE2f1NKbwC1JY6&amp;usp=drive_fs")</f>
        <v>https://drive.google.com/open?id=1NXDvbsYDGKb6RKxOyCFE2f1NKbwC1JY6&amp;usp=drive_fs</v>
      </c>
      <c r="K208" s="68" t="str">
        <f aca="false">IFERROR(__xludf.dummyfunction("""COMPUTED_VALUE"""),"Hoantt")</f>
        <v>Hoantt</v>
      </c>
      <c r="L208" s="68" t="str">
        <f aca="false">IFERROR(__xludf.dummyfunction("""COMPUTED_VALUE"""),"HOCMAI")</f>
        <v>HOCMAI</v>
      </c>
      <c r="M208" s="71"/>
      <c r="N208" s="77" t="str">
        <f aca="false">IFERROR(__xludf.dummyfunction("""COMPUTED_VALUE"""),"3125")</f>
        <v>3125</v>
      </c>
      <c r="O208" s="63" t="n">
        <f aca="false">IFERROR(__xludf.dummyfunction("""COMPUTED_VALUE"""),175189)</f>
        <v>175189</v>
      </c>
      <c r="P208" s="60" t="str">
        <f aca="false">IFERROR(__xludf.dummyfunction("""COMPUTED_VALUE"""),"https://hocmai.vn/bai-giang-truc-tuyen/175189/.html")</f>
        <v>https://hocmai.vn/bai-giang-truc-tuyen/175189/.html</v>
      </c>
      <c r="Q208" s="63"/>
      <c r="R208" s="41"/>
      <c r="S208" s="41"/>
      <c r="T208" s="63"/>
      <c r="U208" s="63"/>
      <c r="V208" s="70" t="n">
        <f aca="false">IFERROR(__xludf.dummyfunction("""COMPUTED_VALUE"""),46235)</f>
        <v>46235</v>
      </c>
      <c r="W208" s="39" t="str">
        <f aca="false">IFERROR(__xludf.dummyfunction("""COMPUTED_VALUE"""),"Hoàn thành TL live")</f>
        <v>Hoàn thành TL live</v>
      </c>
      <c r="X208" s="41" t="str">
        <f aca="false">IFERROR(__xludf.dummyfunction("""COMPUTED_VALUE"""),"Vuta")</f>
        <v>Vuta</v>
      </c>
      <c r="Y208" s="44"/>
      <c r="Z208" s="57"/>
      <c r="AA208" s="57"/>
      <c r="AB208" s="41" t="n">
        <f aca="false">IFERROR(__xludf.dummyfunction("""COMPUTED_VALUE"""),7)</f>
        <v>7</v>
      </c>
      <c r="AC208" s="57" t="str">
        <f aca="false">IFERROR(__xludf.dummyfunction("""COMPUTED_VALUE"""),"khanhly16092003@gmail.com")</f>
        <v>khanhly16092003@gmail.com</v>
      </c>
      <c r="AD208" s="46"/>
      <c r="AE208" s="46"/>
      <c r="AF208" s="47"/>
      <c r="AG208" s="46"/>
      <c r="AH208" s="53" t="b">
        <f aca="false">IFERROR(__xludf.dummyfunction("""COMPUTED_VALUE"""),FALSE())</f>
        <v>0</v>
      </c>
      <c r="AI208" s="53" t="b">
        <f aca="false">IFERROR(__xludf.dummyfunction("""COMPUTED_VALUE"""),FALSE())</f>
        <v>0</v>
      </c>
      <c r="AJ208" s="53" t="b">
        <f aca="false">IFERROR(__xludf.dummyfunction("""COMPUTED_VALUE"""),FALSE())</f>
        <v>0</v>
      </c>
      <c r="AK208" s="53" t="b">
        <f aca="false">IFERROR(__xludf.dummyfunction("""COMPUTED_VALUE"""),FALSE())</f>
        <v>0</v>
      </c>
      <c r="AL208" s="53" t="b">
        <f aca="false">IFERROR(__xludf.dummyfunction("""COMPUTED_VALUE"""),FALSE())</f>
        <v>0</v>
      </c>
      <c r="AM208" s="53" t="b">
        <f aca="false">IFERROR(__xludf.dummyfunction("""COMPUTED_VALUE"""),TRUE())</f>
        <v>1</v>
      </c>
      <c r="AN208" s="53" t="b">
        <f aca="false">IFERROR(__xludf.dummyfunction("""COMPUTED_VALUE"""),TRUE())</f>
        <v>1</v>
      </c>
      <c r="AO208" s="46"/>
    </row>
    <row r="209" customFormat="false" ht="15.75" hidden="false" customHeight="true" outlineLevel="0" collapsed="false">
      <c r="A209" s="37" t="str">
        <f aca="false">IFERROR(__xludf.dummyfunction("""COMPUTED_VALUE"""),"Thực chiến Khoa học")</f>
        <v>Thực chiến Khoa học</v>
      </c>
      <c r="B209" s="37" t="str">
        <f aca="false">IFERROR(__xludf.dummyfunction("""COMPUTED_VALUE"""),"TC_V-ACT_KH_03")</f>
        <v>TC_V-ACT_KH_03</v>
      </c>
      <c r="C209" s="59" t="str">
        <f aca="false">IFERROR(__xludf.dummyfunction("""COMPUTED_VALUE"""),"[Bổ trợ]_Chữa bài tập_V-ACT_Tư duy khoa học số 03")</f>
        <v>[Bổ trợ]_Chữa bài tập_V-ACT_Tư duy khoa học số 03</v>
      </c>
      <c r="D209" s="39" t="str">
        <f aca="false">IFERROR(__xludf.dummyfunction("""COMPUTED_VALUE"""),"Lê Thế Anh")</f>
        <v>Lê Thế Anh</v>
      </c>
      <c r="E209" s="40" t="n">
        <f aca="false">IFERROR(__xludf.dummyfunction("""COMPUTED_VALUE"""),46232)</f>
        <v>46232</v>
      </c>
      <c r="F209" s="41" t="n">
        <f aca="false">IFERROR(__xludf.dummyfunction("""COMPUTED_VALUE"""),4)</f>
        <v>4</v>
      </c>
      <c r="G209" s="37" t="str">
        <f aca="false">IFERROR(__xludf.dummyfunction("""COMPUTED_VALUE"""),"18:00-19:00")</f>
        <v>18:00-19:00</v>
      </c>
      <c r="H209" s="37"/>
      <c r="I209" s="37"/>
      <c r="J209" s="42" t="str">
        <f aca="false">IFERROR(__xludf.dummyfunction("""COMPUTED_VALUE"""),"https://drive.google.com/drive/folders/1-gzV_TWjQeqKI1QhubhNphkt1F0lcG34?usp=drive_link")</f>
        <v>https://drive.google.com/drive/folders/1-gzV_TWjQeqKI1QhubhNphkt1F0lcG34?usp=drive_link</v>
      </c>
      <c r="K209" s="68" t="str">
        <f aca="false">IFERROR(__xludf.dummyfunction("""COMPUTED_VALUE"""),"Trangnth2")</f>
        <v>Trangnth2</v>
      </c>
      <c r="L209" s="68" t="str">
        <f aca="false">IFERROR(__xludf.dummyfunction("""COMPUTED_VALUE"""),"HOCMAI")</f>
        <v>HOCMAI</v>
      </c>
      <c r="M209" s="71"/>
      <c r="N209" s="77" t="str">
        <f aca="false">IFERROR(__xludf.dummyfunction("""COMPUTED_VALUE"""),"3126")</f>
        <v>3126</v>
      </c>
      <c r="O209" s="63" t="n">
        <f aca="false">IFERROR(__xludf.dummyfunction("""COMPUTED_VALUE"""),175193)</f>
        <v>175193</v>
      </c>
      <c r="P209" s="60" t="str">
        <f aca="false">IFERROR(__xludf.dummyfunction("""COMPUTED_VALUE"""),"https://hocmai.vn/bai-giang-truc-tuyen/175193/.html")</f>
        <v>https://hocmai.vn/bai-giang-truc-tuyen/175193/.html</v>
      </c>
      <c r="Q209" s="63"/>
      <c r="R209" s="41"/>
      <c r="S209" s="41"/>
      <c r="T209" s="63"/>
      <c r="U209" s="63"/>
      <c r="V209" s="70" t="n">
        <f aca="false">IFERROR(__xludf.dummyfunction("""COMPUTED_VALUE"""),46235)</f>
        <v>46235</v>
      </c>
      <c r="W209" s="39" t="str">
        <f aca="false">IFERROR(__xludf.dummyfunction("""COMPUTED_VALUE"""),"Hoàn thành TL live")</f>
        <v>Hoàn thành TL live</v>
      </c>
      <c r="X209" s="41" t="str">
        <f aca="false">IFERROR(__xludf.dummyfunction("""COMPUTED_VALUE"""),"Vuta")</f>
        <v>Vuta</v>
      </c>
      <c r="Y209" s="44"/>
      <c r="Z209" s="57"/>
      <c r="AA209" s="57"/>
      <c r="AB209" s="41" t="n">
        <f aca="false">IFERROR(__xludf.dummyfunction("""COMPUTED_VALUE"""),7)</f>
        <v>7</v>
      </c>
      <c r="AC209" s="57" t="str">
        <f aca="false">IFERROR(__xludf.dummyfunction("""COMPUTED_VALUE"""),"ss.vact01@ctv.hocmai.vn")</f>
        <v>ss.vact01@ctv.hocmai.vn</v>
      </c>
      <c r="AD209" s="46"/>
      <c r="AE209" s="46"/>
      <c r="AF209" s="47"/>
      <c r="AG209" s="46"/>
      <c r="AH209" s="53" t="b">
        <f aca="false">IFERROR(__xludf.dummyfunction("""COMPUTED_VALUE"""),FALSE())</f>
        <v>0</v>
      </c>
      <c r="AI209" s="53" t="b">
        <f aca="false">IFERROR(__xludf.dummyfunction("""COMPUTED_VALUE"""),FALSE())</f>
        <v>0</v>
      </c>
      <c r="AJ209" s="53" t="b">
        <f aca="false">IFERROR(__xludf.dummyfunction("""COMPUTED_VALUE"""),FALSE())</f>
        <v>0</v>
      </c>
      <c r="AK209" s="53" t="b">
        <f aca="false">IFERROR(__xludf.dummyfunction("""COMPUTED_VALUE"""),FALSE())</f>
        <v>0</v>
      </c>
      <c r="AL209" s="53" t="b">
        <f aca="false">IFERROR(__xludf.dummyfunction("""COMPUTED_VALUE"""),FALSE())</f>
        <v>0</v>
      </c>
      <c r="AM209" s="53" t="b">
        <f aca="false">IFERROR(__xludf.dummyfunction("""COMPUTED_VALUE"""),TRUE())</f>
        <v>1</v>
      </c>
      <c r="AN209" s="53" t="b">
        <f aca="false">IFERROR(__xludf.dummyfunction("""COMPUTED_VALUE"""),TRUE())</f>
        <v>1</v>
      </c>
      <c r="AO209" s="46"/>
    </row>
    <row r="210" customFormat="false" ht="15.75" hidden="false" customHeight="true" outlineLevel="0" collapsed="false">
      <c r="A210" s="37" t="str">
        <f aca="false">IFERROR(__xludf.dummyfunction("""COMPUTED_VALUE"""),"Vật lí")</f>
        <v>Vật lí</v>
      </c>
      <c r="B210" s="37" t="str">
        <f aca="false">IFERROR(__xludf.dummyfunction("""COMPUTED_VALUE"""),"TOV_TSA_L07")</f>
        <v>TOV_TSA_L07</v>
      </c>
      <c r="C210" s="59" t="str">
        <f aca="false">IFERROR(__xludf.dummyfunction("""COMPUTED_VALUE"""),"Dao động cơ và các quy luật biến đổi theo thời gian")</f>
        <v>Dao động cơ và các quy luật biến đổi theo thời gian</v>
      </c>
      <c r="D210" s="39" t="str">
        <f aca="false">IFERROR(__xludf.dummyfunction("""COMPUTED_VALUE"""),"Thiều Thị Dung")</f>
        <v>Thiều Thị Dung</v>
      </c>
      <c r="E210" s="40" t="n">
        <f aca="false">IFERROR(__xludf.dummyfunction("""COMPUTED_VALUE"""),46233)</f>
        <v>46233</v>
      </c>
      <c r="F210" s="41" t="n">
        <f aca="false">IFERROR(__xludf.dummyfunction("""COMPUTED_VALUE"""),5)</f>
        <v>5</v>
      </c>
      <c r="G210" s="37" t="str">
        <f aca="false">IFERROR(__xludf.dummyfunction("""COMPUTED_VALUE"""),"21:00-23:00")</f>
        <v>21:00-23:00</v>
      </c>
      <c r="H210" s="42" t="str">
        <f aca="false">IFERROR(__xludf.dummyfunction("""COMPUTED_VALUE"""),"https://hocmai.vn/file.php/3110/Nam_hoc_2026_-_2027/VAT_LI/TAI_LIEU_HOC_SINH/TLHS_TOV_TSA_07._Dao_dong_co_va_cac_quy_luat_bien_doi_theo_thoi_gian.pdf")</f>
        <v>https://hocmai.vn/file.php/3110/Nam_hoc_2026_-_2027/VAT_LI/TAI_LIEU_HOC_SINH/TLHS_TOV_TSA_07._Dao_dong_co_va_cac_quy_luat_bien_doi_theo_thoi_gian.pdf</v>
      </c>
      <c r="I210" s="42" t="str">
        <f aca="false">IFERROR(__xludf.dummyfunction("""COMPUTED_VALUE"""),"https://hocmai.vn/file.php/3110/Nam_hoc_2026_-_2027/VAT_LI/BTTL/BTTL_TOV_TSA_L07._Dao_dong_co_va_cac_quy_luat_bien_doi_theo_thoi_gian.pdf")</f>
        <v>https://hocmai.vn/file.php/3110/Nam_hoc_2026_-_2027/VAT_LI/BTTL/BTTL_TOV_TSA_L07._Dao_dong_co_va_cac_quy_luat_bien_doi_theo_thoi_gian.pdf</v>
      </c>
      <c r="J210" s="42" t="str">
        <f aca="false">IFERROR(__xludf.dummyfunction("""COMPUTED_VALUE"""),"https://drive.google.com/drive/folders/172XelCoBR5y1Z_vRLFFoUc02PAd51fN3")</f>
        <v>https://drive.google.com/drive/folders/172XelCoBR5y1Z_vRLFFoUc02PAd51fN3</v>
      </c>
      <c r="K210" s="68" t="str">
        <f aca="false">IFERROR(__xludf.dummyfunction("""COMPUTED_VALUE"""),"Trangnth2")</f>
        <v>Trangnth2</v>
      </c>
      <c r="L210" s="68" t="str">
        <f aca="false">IFERROR(__xludf.dummyfunction("""COMPUTED_VALUE"""),"Trần Đức Lương")</f>
        <v>Trần Đức Lương</v>
      </c>
      <c r="M210" s="71"/>
      <c r="N210" s="77" t="str">
        <f aca="false">IFERROR(__xludf.dummyfunction("""COMPUTED_VALUE"""),"3110")</f>
        <v>3110</v>
      </c>
      <c r="O210" s="63" t="n">
        <f aca="false">IFERROR(__xludf.dummyfunction("""COMPUTED_VALUE"""),167258)</f>
        <v>167258</v>
      </c>
      <c r="P210" s="63"/>
      <c r="Q210" s="63"/>
      <c r="R210" s="41"/>
      <c r="S210" s="41"/>
      <c r="T210" s="63"/>
      <c r="U210" s="63"/>
      <c r="V210" s="70" t="n">
        <f aca="false">IFERROR(__xludf.dummyfunction("""COMPUTED_VALUE"""),46236)</f>
        <v>46236</v>
      </c>
      <c r="W210" s="39" t="str">
        <f aca="false">IFERROR(__xludf.dummyfunction("""COMPUTED_VALUE"""),"Hoàn thành BT sau live")</f>
        <v>Hoàn thành BT sau live</v>
      </c>
      <c r="X210" s="41" t="str">
        <f aca="false">IFERROR(__xludf.dummyfunction("""COMPUTED_VALUE"""),"Trangnth2")</f>
        <v>Trangnth2</v>
      </c>
      <c r="Y210" s="44" t="str">
        <f aca="false">IFERROR(__xludf.dummyfunction("""COMPUTED_VALUE"""),"done")</f>
        <v>done</v>
      </c>
      <c r="Z210" s="57" t="str">
        <f aca="false">IFERROR(__xludf.dummyfunction("""COMPUTED_VALUE"""),"#N/A")</f>
        <v>#N/A</v>
      </c>
      <c r="AA210" s="57"/>
      <c r="AB210" s="41" t="n">
        <f aca="false">IFERROR(__xludf.dummyfunction("""COMPUTED_VALUE"""),7)</f>
        <v>7</v>
      </c>
      <c r="AC210" s="57" t="str">
        <f aca="false">IFERROR(__xludf.dummyfunction("""COMPUTED_VALUE"""),"dungtt2@hocmai.vn                ")</f>
        <v>dungtt2@hocmai.vn                </v>
      </c>
      <c r="AD210" s="46" t="str">
        <f aca="false">IFERROR(__xludf.dummyfunction("""COMPUTED_VALUE"""),"ss.hsa01@ctv.hocmai.vn")</f>
        <v>ss.hsa01@ctv.hocmai.vn</v>
      </c>
      <c r="AE210" s="46"/>
      <c r="AF210" s="74" t="b">
        <f aca="false">IFERROR(__xludf.dummyfunction("""COMPUTED_VALUE"""),FALSE())</f>
        <v>0</v>
      </c>
      <c r="AG210" s="46" t="str">
        <f aca="false">IFERROR(__xludf.dummyfunction("""COMPUTED_VALUE"""),"")</f>
        <v/>
      </c>
      <c r="AH210" s="35"/>
      <c r="AI210" s="53" t="b">
        <f aca="false">IFERROR(__xludf.dummyfunction("""COMPUTED_VALUE"""),TRUE())</f>
        <v>1</v>
      </c>
      <c r="AJ210" s="35"/>
      <c r="AK210" s="35"/>
      <c r="AL210" s="35"/>
      <c r="AM210" s="35"/>
      <c r="AN210" s="35"/>
      <c r="AO210" s="46"/>
    </row>
    <row r="211" customFormat="false" ht="15.75" hidden="false" customHeight="true" outlineLevel="0" collapsed="false">
      <c r="A211" s="37" t="str">
        <f aca="false">IFERROR(__xludf.dummyfunction("""COMPUTED_VALUE"""),"Toán")</f>
        <v>Toán</v>
      </c>
      <c r="B211" s="37" t="str">
        <f aca="false">IFERROR(__xludf.dummyfunction("""COMPUTED_VALUE"""),"TOV_HSA_DL07")</f>
        <v>TOV_HSA_DL07</v>
      </c>
      <c r="C211" s="59" t="str">
        <f aca="false">IFERROR(__xludf.dummyfunction("""COMPUTED_VALUE"""),"Bài toán tìm số")</f>
        <v>Bài toán tìm số</v>
      </c>
      <c r="D211" s="39" t="str">
        <f aca="false">IFERROR(__xludf.dummyfunction("""COMPUTED_VALUE"""),"Nguyễn Thanh Tùng")</f>
        <v>Nguyễn Thanh Tùng</v>
      </c>
      <c r="E211" s="40" t="n">
        <f aca="false">IFERROR(__xludf.dummyfunction("""COMPUTED_VALUE"""),46233)</f>
        <v>46233</v>
      </c>
      <c r="F211" s="41" t="n">
        <f aca="false">IFERROR(__xludf.dummyfunction("""COMPUTED_VALUE"""),5)</f>
        <v>5</v>
      </c>
      <c r="G211" s="37" t="str">
        <f aca="false">IFERROR(__xludf.dummyfunction("""COMPUTED_VALUE"""),"18:00-20:00")</f>
        <v>18:00-20:00</v>
      </c>
      <c r="H211" s="37"/>
      <c r="I211" s="37"/>
      <c r="J211" s="42" t="str">
        <f aca="false">IFERROR(__xludf.dummyfunction("""COMPUTED_VALUE"""),"https://drive.google.com/drive/folders/16h7Rk6txMVtNLDIjH424s4jVK8jmTRY9?usp=drive_link")</f>
        <v>https://drive.google.com/drive/folders/16h7Rk6txMVtNLDIjH424s4jVK8jmTRY9?usp=drive_link</v>
      </c>
      <c r="K211" s="68" t="str">
        <f aca="false">IFERROR(__xludf.dummyfunction("""COMPUTED_VALUE"""),"Locdd")</f>
        <v>Locdd</v>
      </c>
      <c r="L211" s="68" t="str">
        <f aca="false">IFERROR(__xludf.dummyfunction("""COMPUTED_VALUE"""),"Nguyễn Lê Thụy Quyên")</f>
        <v>Nguyễn Lê Thụy Quyên</v>
      </c>
      <c r="M211" s="71"/>
      <c r="N211" s="77" t="str">
        <f aca="false">IFERROR(__xludf.dummyfunction("""COMPUTED_VALUE"""),"3117,3315")</f>
        <v>3117,3315</v>
      </c>
      <c r="O211" s="73" t="n">
        <f aca="false">IFERROR(__xludf.dummyfunction("""COMPUTED_VALUE"""),168583.168324)</f>
        <v>168583.168324</v>
      </c>
      <c r="P211" s="63" t="str">
        <f aca="false">IFERROR(__xludf.dummyfunction("""COMPUTED_VALUE"""),"9028,9036,9104,9106")</f>
        <v>9028,9036,9104,9106</v>
      </c>
      <c r="Q211" s="63" t="n">
        <f aca="false">IFERROR(__xludf.dummyfunction("""COMPUTED_VALUE"""),168324)</f>
        <v>168324</v>
      </c>
      <c r="R211" s="41"/>
      <c r="S211" s="41"/>
      <c r="T211" s="63"/>
      <c r="U211" s="63"/>
      <c r="V211" s="70" t="n">
        <f aca="false">IFERROR(__xludf.dummyfunction("""COMPUTED_VALUE"""),46236)</f>
        <v>46236</v>
      </c>
      <c r="W211" s="39"/>
      <c r="X211" s="41" t="str">
        <f aca="false">IFERROR(__xludf.dummyfunction("""COMPUTED_VALUE"""),"Locdd")</f>
        <v>Locdd</v>
      </c>
      <c r="Y211" s="44" t="str">
        <f aca="false">IFERROR(__xludf.dummyfunction("""COMPUTED_VALUE"""),"done")</f>
        <v>done</v>
      </c>
      <c r="Z211" s="57" t="str">
        <f aca="false">IFERROR(__xludf.dummyfunction("""COMPUTED_VALUE"""),"#N/A")</f>
        <v>#N/A</v>
      </c>
      <c r="AA211" s="57"/>
      <c r="AB211" s="41" t="n">
        <f aca="false">IFERROR(__xludf.dummyfunction("""COMPUTED_VALUE"""),7)</f>
        <v>7</v>
      </c>
      <c r="AC211" s="57" t="str">
        <f aca="false">IFERROR(__xludf.dummyfunction("""COMPUTED_VALUE"""),"gv.tungnt@hocmai.edu.vn ")</f>
        <v>gv.tungnt@hocmai.edu.vn </v>
      </c>
      <c r="AD211" s="46" t="str">
        <f aca="false">IFERROR(__xludf.dummyfunction("""COMPUTED_VALUE"""),"nguyenlethuyquyencp@gmail.com")</f>
        <v>nguyenlethuyquyencp@gmail.com</v>
      </c>
      <c r="AE211" s="46"/>
      <c r="AF211" s="47" t="str">
        <f aca="false">IFERROR(__xludf.dummyfunction("""COMPUTED_VALUE"""),"lophoctoan-946233")</f>
        <v>lophoctoan-946233</v>
      </c>
      <c r="AG211" s="46" t="str">
        <f aca="false">IFERROR(__xludf.dummyfunction("""COMPUTED_VALUE"""),"")</f>
        <v/>
      </c>
      <c r="AH211" s="35"/>
      <c r="AI211" s="35"/>
      <c r="AJ211" s="53" t="b">
        <f aca="false">IFERROR(__xludf.dummyfunction("""COMPUTED_VALUE"""),TRUE())</f>
        <v>1</v>
      </c>
      <c r="AK211" s="53" t="b">
        <f aca="false">IFERROR(__xludf.dummyfunction("""COMPUTED_VALUE"""),TRUE())</f>
        <v>1</v>
      </c>
      <c r="AL211" s="35"/>
      <c r="AM211" s="35"/>
      <c r="AN211" s="35"/>
      <c r="AO211" s="46"/>
    </row>
    <row r="212" customFormat="false" ht="15.75" hidden="false" customHeight="true" outlineLevel="0" collapsed="false">
      <c r="A212" s="37" t="str">
        <f aca="false">IFERROR(__xludf.dummyfunction("""COMPUTED_VALUE"""),"Vật lí")</f>
        <v>Vật lí</v>
      </c>
      <c r="B212" s="37" t="str">
        <f aca="false">IFERROR(__xludf.dummyfunction("""COMPUTED_VALUE"""),"TOV_HSA_VL07")</f>
        <v>TOV_HSA_VL07</v>
      </c>
      <c r="C212" s="59" t="str">
        <f aca="false">IFERROR(__xludf.dummyfunction("""COMPUTED_VALUE"""),"Sóng")</f>
        <v>Sóng</v>
      </c>
      <c r="D212" s="39" t="str">
        <f aca="false">IFERROR(__xludf.dummyfunction("""COMPUTED_VALUE"""),"Nguyễn Hữu Tình")</f>
        <v>Nguyễn Hữu Tình</v>
      </c>
      <c r="E212" s="40" t="n">
        <f aca="false">IFERROR(__xludf.dummyfunction("""COMPUTED_VALUE"""),46233)</f>
        <v>46233</v>
      </c>
      <c r="F212" s="41" t="n">
        <f aca="false">IFERROR(__xludf.dummyfunction("""COMPUTED_VALUE"""),5)</f>
        <v>5</v>
      </c>
      <c r="G212" s="37" t="str">
        <f aca="false">IFERROR(__xludf.dummyfunction("""COMPUTED_VALUE"""),"21:00-23:00")</f>
        <v>21:00-23:00</v>
      </c>
      <c r="H212" s="42" t="str">
        <f aca="false">IFERROR(__xludf.dummyfunction("""COMPUTED_VALUE"""),"https://hocmai.vn/file.php/3119/NAM_HOC_2026_-_2027/Tai_lieu_live/TLHS_TOV_HSA_VL07._Song.pdf")</f>
        <v>https://hocmai.vn/file.php/3119/NAM_HOC_2026_-_2027/Tai_lieu_live/TLHS_TOV_HSA_VL07._Song.pdf</v>
      </c>
      <c r="I212" s="42" t="str">
        <f aca="false">IFERROR(__xludf.dummyfunction("""COMPUTED_VALUE"""),"https://hocmai.vn/file.php/3119/NAM_HOC_2026_-_2027/BTTL/BTTL_TOV_HSA_VL07._Song.pdf")</f>
        <v>https://hocmai.vn/file.php/3119/NAM_HOC_2026_-_2027/BTTL/BTTL_TOV_HSA_VL07._Song.pdf</v>
      </c>
      <c r="J212" s="42" t="str">
        <f aca="false">IFERROR(__xludf.dummyfunction("""COMPUTED_VALUE"""),"https://drive.google.com/drive/folders/1iFI5mfngI0qR66ElDDdt08hl_IvKkIN-?usp=drive_link")</f>
        <v>https://drive.google.com/drive/folders/1iFI5mfngI0qR66ElDDdt08hl_IvKkIN-?usp=drive_link</v>
      </c>
      <c r="K212" s="68" t="str">
        <f aca="false">IFERROR(__xludf.dummyfunction("""COMPUTED_VALUE"""),"Trangnth2")</f>
        <v>Trangnth2</v>
      </c>
      <c r="L212" s="68" t="str">
        <f aca="false">IFERROR(__xludf.dummyfunction("""COMPUTED_VALUE"""),"Kiều Bảo Minh")</f>
        <v>Kiều Bảo Minh</v>
      </c>
      <c r="M212" s="71"/>
      <c r="N212" s="76" t="str">
        <f aca="false">IFERROR(__xludf.dummyfunction("""COMPUTED_VALUE"""),"3119")</f>
        <v>3119</v>
      </c>
      <c r="O212" s="63" t="n">
        <f aca="false">IFERROR(__xludf.dummyfunction("""COMPUTED_VALUE"""),167522)</f>
        <v>167522</v>
      </c>
      <c r="P212" s="63"/>
      <c r="Q212" s="63"/>
      <c r="R212" s="41"/>
      <c r="S212" s="41"/>
      <c r="T212" s="63"/>
      <c r="U212" s="63" t="n">
        <f aca="false">IFERROR(__xludf.dummyfunction("""COMPUTED_VALUE"""),10463)</f>
        <v>10463</v>
      </c>
      <c r="V212" s="70" t="n">
        <f aca="false">IFERROR(__xludf.dummyfunction("""COMPUTED_VALUE"""),46236)</f>
        <v>46236</v>
      </c>
      <c r="W212" s="39" t="str">
        <f aca="false">IFERROR(__xludf.dummyfunction("""COMPUTED_VALUE"""),"Hoàn thành BT sau live")</f>
        <v>Hoàn thành BT sau live</v>
      </c>
      <c r="X212" s="41" t="str">
        <f aca="false">IFERROR(__xludf.dummyfunction("""COMPUTED_VALUE"""),"Trangnth2")</f>
        <v>Trangnth2</v>
      </c>
      <c r="Y212" s="44" t="str">
        <f aca="false">IFERROR(__xludf.dummyfunction("""COMPUTED_VALUE"""),"done")</f>
        <v>done</v>
      </c>
      <c r="Z212" s="57" t="str">
        <f aca="false">IFERROR(__xludf.dummyfunction("""COMPUTED_VALUE"""),"#N/A")</f>
        <v>#N/A</v>
      </c>
      <c r="AA212" s="57"/>
      <c r="AB212" s="41" t="n">
        <f aca="false">IFERROR(__xludf.dummyfunction("""COMPUTED_VALUE"""),7)</f>
        <v>7</v>
      </c>
      <c r="AC212" s="57" t="str">
        <f aca="false">IFERROR(__xludf.dummyfunction("""COMPUTED_VALUE"""),"gv.tinhnh@hocmai.edu.vn ")</f>
        <v>gv.tinhnh@hocmai.edu.vn </v>
      </c>
      <c r="AD212" s="46" t="str">
        <f aca="false">IFERROR(__xludf.dummyfunction("""COMPUTED_VALUE"""),"mkieu2662@gmail.com")</f>
        <v>mkieu2662@gmail.com</v>
      </c>
      <c r="AE212" s="46"/>
      <c r="AF212" s="74" t="b">
        <f aca="false">IFERROR(__xludf.dummyfunction("""COMPUTED_VALUE"""),FALSE())</f>
        <v>0</v>
      </c>
      <c r="AG212" s="46" t="str">
        <f aca="false">IFERROR(__xludf.dummyfunction("""COMPUTED_VALUE"""),"")</f>
        <v/>
      </c>
      <c r="AH212" s="35"/>
      <c r="AI212" s="35"/>
      <c r="AJ212" s="53" t="b">
        <f aca="false">IFERROR(__xludf.dummyfunction("""COMPUTED_VALUE"""),TRUE())</f>
        <v>1</v>
      </c>
      <c r="AK212" s="53" t="b">
        <f aca="false">IFERROR(__xludf.dummyfunction("""COMPUTED_VALUE"""),TRUE())</f>
        <v>1</v>
      </c>
      <c r="AL212" s="35"/>
      <c r="AM212" s="35"/>
      <c r="AN212" s="35"/>
      <c r="AO212" s="46"/>
    </row>
    <row r="213" customFormat="false" ht="15.75" hidden="false" customHeight="true" outlineLevel="0" collapsed="false">
      <c r="A213" s="37" t="str">
        <f aca="false">IFERROR(__xludf.dummyfunction("""COMPUTED_VALUE"""),"Toán")</f>
        <v>Toán</v>
      </c>
      <c r="B213" s="37" t="str">
        <f aca="false">IFERROR(__xludf.dummyfunction("""COMPUTED_VALUE"""),"TOA_V-ACT_T07")</f>
        <v>TOA_V-ACT_T07</v>
      </c>
      <c r="C213" s="59" t="str">
        <f aca="false">IFERROR(__xludf.dummyfunction("""COMPUTED_VALUE"""),"Phương pháp và kĩ năng xử lí bài toán dãy số, cấp số cộng, cấp số nhân (P2)")</f>
        <v>Phương pháp và kĩ năng xử lí bài toán dãy số, cấp số cộng, cấp số nhân (P2)</v>
      </c>
      <c r="D213" s="39" t="str">
        <f aca="false">IFERROR(__xludf.dummyfunction("""COMPUTED_VALUE"""),"Nguyễn Hoài Nam")</f>
        <v>Nguyễn Hoài Nam</v>
      </c>
      <c r="E213" s="40" t="n">
        <f aca="false">IFERROR(__xludf.dummyfunction("""COMPUTED_VALUE"""),46233)</f>
        <v>46233</v>
      </c>
      <c r="F213" s="41" t="n">
        <f aca="false">IFERROR(__xludf.dummyfunction("""COMPUTED_VALUE"""),5)</f>
        <v>5</v>
      </c>
      <c r="G213" s="37" t="str">
        <f aca="false">IFERROR(__xludf.dummyfunction("""COMPUTED_VALUE"""),"21:00-22:30")</f>
        <v>21:00-22:30</v>
      </c>
      <c r="H213" s="37"/>
      <c r="I213" s="37"/>
      <c r="J213" s="42" t="str">
        <f aca="false">IFERROR(__xludf.dummyfunction("""COMPUTED_VALUE"""),"https://drive.google.com/drive/folders/1ys1_ZbIKI67YwNVI1T8qAFQsinUOeRvR?usp=sharing")</f>
        <v>https://drive.google.com/drive/folders/1ys1_ZbIKI67YwNVI1T8qAFQsinUOeRvR?usp=sharing</v>
      </c>
      <c r="K213" s="68" t="str">
        <f aca="false">IFERROR(__xludf.dummyfunction("""COMPUTED_VALUE"""),"Lent")</f>
        <v>Lent</v>
      </c>
      <c r="L213" s="68" t="str">
        <f aca="false">IFERROR(__xludf.dummyfunction("""COMPUTED_VALUE"""),"Lường Nhật Nam")</f>
        <v>Lường Nhật Nam</v>
      </c>
      <c r="M213" s="71"/>
      <c r="N213" s="77" t="str">
        <f aca="false">IFERROR(__xludf.dummyfunction("""COMPUTED_VALUE"""),"3124,3316")</f>
        <v>3124,3316</v>
      </c>
      <c r="O213" s="73" t="n">
        <f aca="false">IFERROR(__xludf.dummyfunction("""COMPUTED_VALUE"""),167192.166861)</f>
        <v>167192.166861</v>
      </c>
      <c r="P213" s="63" t="n">
        <f aca="false">IFERROR(__xludf.dummyfunction("""COMPUTED_VALUE"""),9044.9108)</f>
        <v>9044.9108</v>
      </c>
      <c r="Q213" s="63" t="n">
        <f aca="false">IFERROR(__xludf.dummyfunction("""COMPUTED_VALUE"""),167192)</f>
        <v>167192</v>
      </c>
      <c r="R213" s="41" t="n">
        <f aca="false">IFERROR(__xludf.dummyfunction("""COMPUTED_VALUE"""),166861)</f>
        <v>166861</v>
      </c>
      <c r="S213" s="41"/>
      <c r="T213" s="63"/>
      <c r="U213" s="63"/>
      <c r="V213" s="70" t="n">
        <f aca="false">IFERROR(__xludf.dummyfunction("""COMPUTED_VALUE"""),46236)</f>
        <v>46236</v>
      </c>
      <c r="W213" s="39" t="str">
        <f aca="false">IFERROR(__xludf.dummyfunction("""COMPUTED_VALUE"""),"Hoàn thành BT sau live")</f>
        <v>Hoàn thành BT sau live</v>
      </c>
      <c r="X213" s="41" t="str">
        <f aca="false">IFERROR(__xludf.dummyfunction("""COMPUTED_VALUE"""),"Lent")</f>
        <v>Lent</v>
      </c>
      <c r="Y213" s="44" t="str">
        <f aca="false">IFERROR(__xludf.dummyfunction("""COMPUTED_VALUE"""),"done")</f>
        <v>done</v>
      </c>
      <c r="Z213" s="57" t="str">
        <f aca="false">IFERROR(__xludf.dummyfunction("""COMPUTED_VALUE"""),"#N/A")</f>
        <v>#N/A</v>
      </c>
      <c r="AA213" s="57"/>
      <c r="AB213" s="41" t="n">
        <f aca="false">IFERROR(__xludf.dummyfunction("""COMPUTED_VALUE"""),7)</f>
        <v>7</v>
      </c>
      <c r="AC213" s="57" t="str">
        <f aca="false">IFERROR(__xludf.dummyfunction("""COMPUTED_VALUE"""),"gv.namnh@hocmai.edu.vn ")</f>
        <v>gv.namnh@hocmai.edu.vn </v>
      </c>
      <c r="AD213" s="46" t="str">
        <f aca="false">IFERROR(__xludf.dummyfunction("""COMPUTED_VALUE"""),"nhatnam1092@gmail.com")</f>
        <v>nhatnam1092@gmail.com</v>
      </c>
      <c r="AE213" s="46"/>
      <c r="AF213" s="47" t="str">
        <f aca="false">IFERROR(__xludf.dummyfunction("""COMPUTED_VALUE"""),"lophoctoan-946233")</f>
        <v>lophoctoan-946233</v>
      </c>
      <c r="AG213" s="46" t="str">
        <f aca="false">IFERROR(__xludf.dummyfunction("""COMPUTED_VALUE"""),"")</f>
        <v/>
      </c>
      <c r="AH213" s="35"/>
      <c r="AI213" s="35"/>
      <c r="AJ213" s="35"/>
      <c r="AK213" s="35"/>
      <c r="AL213" s="35"/>
      <c r="AM213" s="53" t="b">
        <f aca="false">IFERROR(__xludf.dummyfunction("""COMPUTED_VALUE"""),TRUE())</f>
        <v>1</v>
      </c>
      <c r="AN213" s="53" t="b">
        <f aca="false">IFERROR(__xludf.dummyfunction("""COMPUTED_VALUE"""),TRUE())</f>
        <v>1</v>
      </c>
      <c r="AO213" s="46"/>
    </row>
    <row r="214" customFormat="false" ht="15.75" hidden="false" customHeight="true" outlineLevel="0" collapsed="false">
      <c r="A214" s="37" t="str">
        <f aca="false">IFERROR(__xludf.dummyfunction("""COMPUTED_VALUE"""),"Thực chiến Khoa học")</f>
        <v>Thực chiến Khoa học</v>
      </c>
      <c r="B214" s="37" t="str">
        <f aca="false">IFERROR(__xludf.dummyfunction("""COMPUTED_VALUE"""),"TC_TSA_KH_11")</f>
        <v>TC_TSA_KH_11</v>
      </c>
      <c r="C214" s="59" t="str">
        <f aca="false">IFERROR(__xludf.dummyfunction("""COMPUTED_VALUE"""),"[Bổ trợ]_Chữa bài tập TSA_Tư duy Khoa học số 11")</f>
        <v>[Bổ trợ]_Chữa bài tập TSA_Tư duy Khoa học số 11</v>
      </c>
      <c r="D214" s="39" t="str">
        <f aca="false">IFERROR(__xludf.dummyfunction("""COMPUTED_VALUE"""),"Phạm Huy Hoàng")</f>
        <v>Phạm Huy Hoàng</v>
      </c>
      <c r="E214" s="40" t="n">
        <f aca="false">IFERROR(__xludf.dummyfunction("""COMPUTED_VALUE"""),46233)</f>
        <v>46233</v>
      </c>
      <c r="F214" s="41" t="n">
        <f aca="false">IFERROR(__xludf.dummyfunction("""COMPUTED_VALUE"""),5)</f>
        <v>5</v>
      </c>
      <c r="G214" s="37" t="str">
        <f aca="false">IFERROR(__xludf.dummyfunction("""COMPUTED_VALUE"""),"20:00-21:00")</f>
        <v>20:00-21:00</v>
      </c>
      <c r="H214" s="37"/>
      <c r="I214" s="37"/>
      <c r="J214" s="42" t="str">
        <f aca="false">IFERROR(__xludf.dummyfunction("""COMPUTED_VALUE"""),"https://drive.google.com/drive/folders/1nntpAx65r6hh_8hUyeJuHb-cJ2LThouy?usp=drive_link")</f>
        <v>https://drive.google.com/drive/folders/1nntpAx65r6hh_8hUyeJuHb-cJ2LThouy?usp=drive_link</v>
      </c>
      <c r="K214" s="68" t="str">
        <f aca="false">IFERROR(__xludf.dummyfunction("""COMPUTED_VALUE"""),"Trangnth2")</f>
        <v>Trangnth2</v>
      </c>
      <c r="L214" s="68" t="str">
        <f aca="false">IFERROR(__xludf.dummyfunction("""COMPUTED_VALUE"""),"HOCMAI")</f>
        <v>HOCMAI</v>
      </c>
      <c r="M214" s="71"/>
      <c r="N214" s="77" t="str">
        <f aca="false">IFERROR(__xludf.dummyfunction("""COMPUTED_VALUE"""),"3110")</f>
        <v>3110</v>
      </c>
      <c r="O214" s="63" t="n">
        <f aca="false">IFERROR(__xludf.dummyfunction("""COMPUTED_VALUE"""),175134)</f>
        <v>175134</v>
      </c>
      <c r="P214" s="60" t="str">
        <f aca="false">IFERROR(__xludf.dummyfunction("""COMPUTED_VALUE"""),"https://hocmai.vn/bai-giang-truc-tuyen/175134/.html")</f>
        <v>https://hocmai.vn/bai-giang-truc-tuyen/175134/.html</v>
      </c>
      <c r="Q214" s="63"/>
      <c r="R214" s="41"/>
      <c r="S214" s="41"/>
      <c r="T214" s="63"/>
      <c r="U214" s="63"/>
      <c r="V214" s="70" t="n">
        <f aca="false">IFERROR(__xludf.dummyfunction("""COMPUTED_VALUE"""),46236)</f>
        <v>46236</v>
      </c>
      <c r="W214" s="39" t="str">
        <f aca="false">IFERROR(__xludf.dummyfunction("""COMPUTED_VALUE"""),"Hoàn thành TL live")</f>
        <v>Hoàn thành TL live</v>
      </c>
      <c r="X214" s="41" t="str">
        <f aca="false">IFERROR(__xludf.dummyfunction("""COMPUTED_VALUE"""),"Vuta")</f>
        <v>Vuta</v>
      </c>
      <c r="Y214" s="44"/>
      <c r="Z214" s="57"/>
      <c r="AA214" s="57"/>
      <c r="AB214" s="41" t="n">
        <f aca="false">IFERROR(__xludf.dummyfunction("""COMPUTED_VALUE"""),7)</f>
        <v>7</v>
      </c>
      <c r="AC214" s="57" t="str">
        <f aca="false">IFERROR(__xludf.dummyfunction("""COMPUTED_VALUE"""),"0376611308")</f>
        <v>0376611308</v>
      </c>
      <c r="AD214" s="46"/>
      <c r="AE214" s="46"/>
      <c r="AF214" s="47"/>
      <c r="AG214" s="46"/>
      <c r="AH214" s="53" t="b">
        <f aca="false">IFERROR(__xludf.dummyfunction("""COMPUTED_VALUE"""),FALSE())</f>
        <v>0</v>
      </c>
      <c r="AI214" s="53" t="b">
        <f aca="false">IFERROR(__xludf.dummyfunction("""COMPUTED_VALUE"""),TRUE())</f>
        <v>1</v>
      </c>
      <c r="AJ214" s="53" t="b">
        <f aca="false">IFERROR(__xludf.dummyfunction("""COMPUTED_VALUE"""),FALSE())</f>
        <v>0</v>
      </c>
      <c r="AK214" s="53" t="b">
        <f aca="false">IFERROR(__xludf.dummyfunction("""COMPUTED_VALUE"""),FALSE())</f>
        <v>0</v>
      </c>
      <c r="AL214" s="53" t="b">
        <f aca="false">IFERROR(__xludf.dummyfunction("""COMPUTED_VALUE"""),FALSE())</f>
        <v>0</v>
      </c>
      <c r="AM214" s="53" t="b">
        <f aca="false">IFERROR(__xludf.dummyfunction("""COMPUTED_VALUE"""),FALSE())</f>
        <v>0</v>
      </c>
      <c r="AN214" s="53" t="b">
        <f aca="false">IFERROR(__xludf.dummyfunction("""COMPUTED_VALUE"""),FALSE())</f>
        <v>0</v>
      </c>
      <c r="AO214" s="46"/>
    </row>
    <row r="215" customFormat="false" ht="15.75" hidden="false" customHeight="true" outlineLevel="0" collapsed="false">
      <c r="A215" s="37" t="str">
        <f aca="false">IFERROR(__xludf.dummyfunction("""COMPUTED_VALUE"""),"Toán")</f>
        <v>Toán</v>
      </c>
      <c r="B215" s="37" t="str">
        <f aca="false">IFERROR(__xludf.dummyfunction("""COMPUTED_VALUE"""),"TOV_TSA_T07")</f>
        <v>TOV_TSA_T07</v>
      </c>
      <c r="C215" s="59" t="str">
        <f aca="false">IFERROR(__xludf.dummyfunction("""COMPUTED_VALUE"""),"Hoán vị lặp và các ứng dụng")</f>
        <v>Hoán vị lặp và các ứng dụng</v>
      </c>
      <c r="D215" s="39" t="str">
        <f aca="false">IFERROR(__xludf.dummyfunction("""COMPUTED_VALUE"""),"Nguyễn Thanh Tùng")</f>
        <v>Nguyễn Thanh Tùng</v>
      </c>
      <c r="E215" s="40" t="n">
        <f aca="false">IFERROR(__xludf.dummyfunction("""COMPUTED_VALUE"""),46234)</f>
        <v>46234</v>
      </c>
      <c r="F215" s="41" t="n">
        <f aca="false">IFERROR(__xludf.dummyfunction("""COMPUTED_VALUE"""),6)</f>
        <v>6</v>
      </c>
      <c r="G215" s="37" t="str">
        <f aca="false">IFERROR(__xludf.dummyfunction("""COMPUTED_VALUE"""),"18:00-20:00")</f>
        <v>18:00-20:00</v>
      </c>
      <c r="H215" s="37"/>
      <c r="I215" s="37"/>
      <c r="J215" s="37"/>
      <c r="K215" s="68" t="str">
        <f aca="false">IFERROR(__xludf.dummyfunction("""COMPUTED_VALUE"""),"Locdd")</f>
        <v>Locdd</v>
      </c>
      <c r="L215" s="68" t="str">
        <f aca="false">IFERROR(__xludf.dummyfunction("""COMPUTED_VALUE"""),"Tưởng Thị Huyền Trang")</f>
        <v>Tưởng Thị Huyền Trang</v>
      </c>
      <c r="M215" s="71"/>
      <c r="N215" s="77" t="str">
        <f aca="false">IFERROR(__xludf.dummyfunction("""COMPUTED_VALUE"""),"3108")</f>
        <v>3108</v>
      </c>
      <c r="O215" s="63" t="n">
        <f aca="false">IFERROR(__xludf.dummyfunction("""COMPUTED_VALUE"""),168368)</f>
        <v>168368</v>
      </c>
      <c r="P215" s="63"/>
      <c r="Q215" s="63"/>
      <c r="R215" s="41"/>
      <c r="S215" s="41"/>
      <c r="T215" s="63"/>
      <c r="U215" s="63"/>
      <c r="V215" s="70" t="n">
        <f aca="false">IFERROR(__xludf.dummyfunction("""COMPUTED_VALUE"""),46237)</f>
        <v>46237</v>
      </c>
      <c r="W215" s="39"/>
      <c r="X215" s="41" t="str">
        <f aca="false">IFERROR(__xludf.dummyfunction("""COMPUTED_VALUE"""),"Locdd")</f>
        <v>Locdd</v>
      </c>
      <c r="Y215" s="44" t="str">
        <f aca="false">IFERROR(__xludf.dummyfunction("""COMPUTED_VALUE"""),"done")</f>
        <v>done</v>
      </c>
      <c r="Z215" s="57" t="str">
        <f aca="false">IFERROR(__xludf.dummyfunction("""COMPUTED_VALUE"""),"#N/A")</f>
        <v>#N/A</v>
      </c>
      <c r="AA215" s="57"/>
      <c r="AB215" s="41" t="n">
        <f aca="false">IFERROR(__xludf.dummyfunction("""COMPUTED_VALUE"""),7)</f>
        <v>7</v>
      </c>
      <c r="AC215" s="57" t="str">
        <f aca="false">IFERROR(__xludf.dummyfunction("""COMPUTED_VALUE"""),"gv.tungnt@hocmai.edu.vn ")</f>
        <v>gv.tungnt@hocmai.edu.vn </v>
      </c>
      <c r="AD215" s="46" t="str">
        <f aca="false">IFERROR(__xludf.dummyfunction("""COMPUTED_VALUE"""),"trangcrazy699@gmail.com")</f>
        <v>trangcrazy699@gmail.com</v>
      </c>
      <c r="AE215" s="46"/>
      <c r="AF215" s="47" t="str">
        <f aca="false">IFERROR(__xludf.dummyfunction("""COMPUTED_VALUE"""),"lophoctoan-946234")</f>
        <v>lophoctoan-946234</v>
      </c>
      <c r="AG215" s="46" t="str">
        <f aca="false">IFERROR(__xludf.dummyfunction("""COMPUTED_VALUE"""),"")</f>
        <v/>
      </c>
      <c r="AH215" s="35"/>
      <c r="AI215" s="53" t="b">
        <f aca="false">IFERROR(__xludf.dummyfunction("""COMPUTED_VALUE"""),TRUE())</f>
        <v>1</v>
      </c>
      <c r="AJ215" s="35"/>
      <c r="AK215" s="35"/>
      <c r="AL215" s="35"/>
      <c r="AM215" s="35"/>
      <c r="AN215" s="35"/>
      <c r="AO215" s="46"/>
    </row>
    <row r="216" customFormat="false" ht="15.75" hidden="false" customHeight="true" outlineLevel="0" collapsed="false">
      <c r="A216" s="37" t="str">
        <f aca="false">IFERROR(__xludf.dummyfunction("""COMPUTED_VALUE"""),"Sinh học")</f>
        <v>Sinh học</v>
      </c>
      <c r="B216" s="37" t="str">
        <f aca="false">IFERROR(__xludf.dummyfunction("""COMPUTED_VALUE"""),"TOV_HSA_SH07")</f>
        <v>TOV_HSA_SH07</v>
      </c>
      <c r="C216" s="59" t="str">
        <f aca="false">IFERROR(__xludf.dummyfunction("""COMPUTED_VALUE"""),"Sinh lí thực vật I: Nước – Khoáng – Nitơ – Vận chuyển")</f>
        <v>Sinh lí thực vật I: Nước – Khoáng – Nitơ – Vận chuyển</v>
      </c>
      <c r="D216" s="39" t="str">
        <f aca="false">IFERROR(__xludf.dummyfunction("""COMPUTED_VALUE"""),"Nguyễn Dương Ánh Hồng")</f>
        <v>Nguyễn Dương Ánh Hồng</v>
      </c>
      <c r="E216" s="40" t="n">
        <f aca="false">IFERROR(__xludf.dummyfunction("""COMPUTED_VALUE"""),46234)</f>
        <v>46234</v>
      </c>
      <c r="F216" s="41" t="n">
        <f aca="false">IFERROR(__xludf.dummyfunction("""COMPUTED_VALUE"""),6)</f>
        <v>6</v>
      </c>
      <c r="G216" s="37" t="str">
        <f aca="false">IFERROR(__xludf.dummyfunction("""COMPUTED_VALUE"""),"19:30-21:30")</f>
        <v>19:30-21:30</v>
      </c>
      <c r="H216" s="37"/>
      <c r="I216" s="37"/>
      <c r="J216" s="42" t="str">
        <f aca="false">IFERROR(__xludf.dummyfunction("""COMPUTED_VALUE"""),"https://drive.google.com/drive/folders/1Qb7nXYmxRs-45KBAnbxq0BeNyw10kM6c?usp=sharing")</f>
        <v>https://drive.google.com/drive/folders/1Qb7nXYmxRs-45KBAnbxq0BeNyw10kM6c?usp=sharing</v>
      </c>
      <c r="K216" s="68" t="str">
        <f aca="false">IFERROR(__xludf.dummyfunction("""COMPUTED_VALUE"""),"Phuongdt")</f>
        <v>Phuongdt</v>
      </c>
      <c r="L216" s="68" t="str">
        <f aca="false">IFERROR(__xludf.dummyfunction("""COMPUTED_VALUE"""),"Phan Đức Kiên")</f>
        <v>Phan Đức Kiên</v>
      </c>
      <c r="M216" s="71"/>
      <c r="N216" s="77" t="str">
        <f aca="false">IFERROR(__xludf.dummyfunction("""COMPUTED_VALUE"""),"3121")</f>
        <v>3121</v>
      </c>
      <c r="O216" s="63" t="n">
        <f aca="false">IFERROR(__xludf.dummyfunction("""COMPUTED_VALUE"""),167324)</f>
        <v>167324</v>
      </c>
      <c r="P216" s="63"/>
      <c r="Q216" s="63"/>
      <c r="R216" s="41"/>
      <c r="S216" s="41"/>
      <c r="T216" s="63" t="n">
        <f aca="false">IFERROR(__xludf.dummyfunction("""COMPUTED_VALUE"""),23733)</f>
        <v>23733</v>
      </c>
      <c r="U216" s="63"/>
      <c r="V216" s="70" t="n">
        <f aca="false">IFERROR(__xludf.dummyfunction("""COMPUTED_VALUE"""),46237)</f>
        <v>46237</v>
      </c>
      <c r="W216" s="39" t="str">
        <f aca="false">IFERROR(__xludf.dummyfunction("""COMPUTED_VALUE"""),"Hoàn thành TL live")</f>
        <v>Hoàn thành TL live</v>
      </c>
      <c r="X216" s="41" t="str">
        <f aca="false">IFERROR(__xludf.dummyfunction("""COMPUTED_VALUE"""),"Phuongdt")</f>
        <v>Phuongdt</v>
      </c>
      <c r="Y216" s="44" t="str">
        <f aca="false">IFERROR(__xludf.dummyfunction("""COMPUTED_VALUE"""),"done")</f>
        <v>done</v>
      </c>
      <c r="Z216" s="57" t="str">
        <f aca="false">IFERROR(__xludf.dummyfunction("""COMPUTED_VALUE"""),"#N/A")</f>
        <v>#N/A</v>
      </c>
      <c r="AA216" s="57"/>
      <c r="AB216" s="41" t="n">
        <f aca="false">IFERROR(__xludf.dummyfunction("""COMPUTED_VALUE"""),7)</f>
        <v>7</v>
      </c>
      <c r="AC216" s="57" t="str">
        <f aca="false">IFERROR(__xludf.dummyfunction("""COMPUTED_VALUE"""),"gv.hongnda@hocmai.edu.vn ")</f>
        <v>gv.hongnda@hocmai.edu.vn </v>
      </c>
      <c r="AD216" s="46" t="str">
        <f aca="false">IFERROR(__xludf.dummyfunction("""COMPUTED_VALUE"""),"duckien010607@gmail.com")</f>
        <v>duckien010607@gmail.com</v>
      </c>
      <c r="AE216" s="46"/>
      <c r="AF216" s="74" t="b">
        <f aca="false">IFERROR(__xludf.dummyfunction("""COMPUTED_VALUE"""),FALSE())</f>
        <v>0</v>
      </c>
      <c r="AG216" s="46" t="str">
        <f aca="false">IFERROR(__xludf.dummyfunction("""COMPUTED_VALUE"""),"")</f>
        <v/>
      </c>
      <c r="AH216" s="35"/>
      <c r="AI216" s="35"/>
      <c r="AJ216" s="53" t="b">
        <f aca="false">IFERROR(__xludf.dummyfunction("""COMPUTED_VALUE"""),TRUE())</f>
        <v>1</v>
      </c>
      <c r="AK216" s="53" t="b">
        <f aca="false">IFERROR(__xludf.dummyfunction("""COMPUTED_VALUE"""),TRUE())</f>
        <v>1</v>
      </c>
      <c r="AL216" s="35"/>
      <c r="AM216" s="35"/>
      <c r="AN216" s="35"/>
      <c r="AO216" s="46"/>
    </row>
    <row r="217" customFormat="false" ht="15.75" hidden="false" customHeight="true" outlineLevel="0" collapsed="false">
      <c r="A217" s="37" t="str">
        <f aca="false">IFERROR(__xludf.dummyfunction("""COMPUTED_VALUE"""),"Lịch sử")</f>
        <v>Lịch sử</v>
      </c>
      <c r="B217" s="37" t="str">
        <f aca="false">IFERROR(__xludf.dummyfunction("""COMPUTED_VALUE"""),"TOV_HSA_LS05")</f>
        <v>TOV_HSA_LS05</v>
      </c>
      <c r="C217" s="59" t="str">
        <f aca="false">IFERROR(__xludf.dummyfunction("""COMPUTED_VALUE"""),"Cách mạng tư sản và sự phát triển của chủ nghĩa tư bản")</f>
        <v>Cách mạng tư sản và sự phát triển của chủ nghĩa tư bản</v>
      </c>
      <c r="D217" s="39" t="str">
        <f aca="false">IFERROR(__xludf.dummyfunction("""COMPUTED_VALUE"""),"Dương Thị Huyền")</f>
        <v>Dương Thị Huyền</v>
      </c>
      <c r="E217" s="40" t="n">
        <f aca="false">IFERROR(__xludf.dummyfunction("""COMPUTED_VALUE"""),46234)</f>
        <v>46234</v>
      </c>
      <c r="F217" s="41" t="n">
        <f aca="false">IFERROR(__xludf.dummyfunction("""COMPUTED_VALUE"""),6)</f>
        <v>6</v>
      </c>
      <c r="G217" s="37" t="str">
        <f aca="false">IFERROR(__xludf.dummyfunction("""COMPUTED_VALUE"""),"21:30-23:30")</f>
        <v>21:30-23:30</v>
      </c>
      <c r="H217" s="37"/>
      <c r="I217" s="37"/>
      <c r="J217" s="42" t="str">
        <f aca="false">IFERROR(__xludf.dummyfunction("""COMPUTED_VALUE"""),"https://drive.google.com/drive/folders/1QLraGWjJKNQW_wY7jTKmHXByx1Y8uij9")</f>
        <v>https://drive.google.com/drive/folders/1QLraGWjJKNQW_wY7jTKmHXByx1Y8uij9</v>
      </c>
      <c r="K217" s="68" t="str">
        <f aca="false">IFERROR(__xludf.dummyfunction("""COMPUTED_VALUE"""),"Trinhntt")</f>
        <v>Trinhntt</v>
      </c>
      <c r="L217" s="68" t="str">
        <f aca="false">IFERROR(__xludf.dummyfunction("""COMPUTED_VALUE"""),"Phan Đức Kiên")</f>
        <v>Phan Đức Kiên</v>
      </c>
      <c r="M217" s="71"/>
      <c r="N217" s="77" t="str">
        <f aca="false">IFERROR(__xludf.dummyfunction("""COMPUTED_VALUE"""),"3122")</f>
        <v>3122</v>
      </c>
      <c r="O217" s="63" t="n">
        <f aca="false">IFERROR(__xludf.dummyfunction("""COMPUTED_VALUE"""),174732)</f>
        <v>174732</v>
      </c>
      <c r="P217" s="63"/>
      <c r="Q217" s="63"/>
      <c r="R217" s="41"/>
      <c r="S217" s="41"/>
      <c r="T217" s="63"/>
      <c r="U217" s="63"/>
      <c r="V217" s="70" t="n">
        <f aca="false">IFERROR(__xludf.dummyfunction("""COMPUTED_VALUE"""),46237)</f>
        <v>46237</v>
      </c>
      <c r="W217" s="39" t="str">
        <f aca="false">IFERROR(__xludf.dummyfunction("""COMPUTED_VALUE"""),"Hoàn thành BT sau live")</f>
        <v>Hoàn thành BT sau live</v>
      </c>
      <c r="X217" s="41" t="str">
        <f aca="false">IFERROR(__xludf.dummyfunction("""COMPUTED_VALUE"""),"Huent7")</f>
        <v>Huent7</v>
      </c>
      <c r="Y217" s="44"/>
      <c r="Z217" s="57" t="str">
        <f aca="false">IFERROR(__xludf.dummyfunction("""COMPUTED_VALUE"""),"#N/A")</f>
        <v>#N/A</v>
      </c>
      <c r="AA217" s="57"/>
      <c r="AB217" s="41"/>
      <c r="AC217" s="57" t="str">
        <f aca="false">IFERROR(__xludf.dummyfunction("""COMPUTED_VALUE"""),"gv.huyendt2@hocmai.edu.vn")</f>
        <v>gv.huyendt2@hocmai.edu.vn</v>
      </c>
      <c r="AD217" s="46" t="str">
        <f aca="false">IFERROR(__xludf.dummyfunction("""COMPUTED_VALUE"""),"duckien010607@gmail.com")</f>
        <v>duckien010607@gmail.com</v>
      </c>
      <c r="AE217" s="46"/>
      <c r="AF217" s="74" t="b">
        <f aca="false">IFERROR(__xludf.dummyfunction("""COMPUTED_VALUE"""),FALSE())</f>
        <v>0</v>
      </c>
      <c r="AG217" s="46" t="str">
        <f aca="false">IFERROR(__xludf.dummyfunction("""COMPUTED_VALUE"""),"")</f>
        <v/>
      </c>
      <c r="AH217" s="35"/>
      <c r="AI217" s="35"/>
      <c r="AJ217" s="53" t="b">
        <f aca="false">IFERROR(__xludf.dummyfunction("""COMPUTED_VALUE"""),TRUE())</f>
        <v>1</v>
      </c>
      <c r="AK217" s="53" t="b">
        <f aca="false">IFERROR(__xludf.dummyfunction("""COMPUTED_VALUE"""),TRUE())</f>
        <v>1</v>
      </c>
      <c r="AL217" s="35"/>
      <c r="AM217" s="35"/>
      <c r="AN217" s="35"/>
      <c r="AO217" s="46"/>
    </row>
    <row r="218" customFormat="false" ht="15.75" hidden="false" customHeight="true" outlineLevel="0" collapsed="false">
      <c r="A218" s="37" t="str">
        <f aca="false">IFERROR(__xludf.dummyfunction("""COMPUTED_VALUE"""),"Thực chiến Toán")</f>
        <v>Thực chiến Toán</v>
      </c>
      <c r="B218" s="37" t="str">
        <f aca="false">IFERROR(__xludf.dummyfunction("""COMPUTED_VALUE"""),"TC_V-ACT_T_07")</f>
        <v>TC_V-ACT_T_07</v>
      </c>
      <c r="C218" s="59" t="str">
        <f aca="false">IFERROR(__xludf.dummyfunction("""COMPUTED_VALUE"""),"[Bổ trợ]_Chữa bài tập_V-ACT_Toán số 07")</f>
        <v>[Bổ trợ]_Chữa bài tập_V-ACT_Toán số 07</v>
      </c>
      <c r="D218" s="39" t="str">
        <f aca="false">IFERROR(__xludf.dummyfunction("""COMPUTED_VALUE"""),"Lê Thế Anh")</f>
        <v>Lê Thế Anh</v>
      </c>
      <c r="E218" s="40" t="n">
        <f aca="false">IFERROR(__xludf.dummyfunction("""COMPUTED_VALUE"""),46234)</f>
        <v>46234</v>
      </c>
      <c r="F218" s="41" t="n">
        <f aca="false">IFERROR(__xludf.dummyfunction("""COMPUTED_VALUE"""),6)</f>
        <v>6</v>
      </c>
      <c r="G218" s="37" t="str">
        <f aca="false">IFERROR(__xludf.dummyfunction("""COMPUTED_VALUE"""),"18:45-19:45")</f>
        <v>18:45-19:45</v>
      </c>
      <c r="H218" s="37"/>
      <c r="I218" s="37"/>
      <c r="J218" s="42" t="str">
        <f aca="false">IFERROR(__xludf.dummyfunction("""COMPUTED_VALUE"""),"https://drive.google.com/drive/folders/1O8N4ZM0SGnHsQoldEf6VosXutJN3bfPn?usp=sharing")</f>
        <v>https://drive.google.com/drive/folders/1O8N4ZM0SGnHsQoldEf6VosXutJN3bfPn?usp=sharing</v>
      </c>
      <c r="K218" s="68" t="str">
        <f aca="false">IFERROR(__xludf.dummyfunction("""COMPUTED_VALUE"""),"lent")</f>
        <v>lent</v>
      </c>
      <c r="L218" s="68" t="str">
        <f aca="false">IFERROR(__xludf.dummyfunction("""COMPUTED_VALUE"""),"HOCMAI")</f>
        <v>HOCMAI</v>
      </c>
      <c r="M218" s="71"/>
      <c r="N218" s="77" t="str">
        <f aca="false">IFERROR(__xludf.dummyfunction("""COMPUTED_VALUE"""),"3124")</f>
        <v>3124</v>
      </c>
      <c r="O218" s="63" t="n">
        <f aca="false">IFERROR(__xludf.dummyfunction("""COMPUTED_VALUE"""),175182)</f>
        <v>175182</v>
      </c>
      <c r="P218" s="60" t="str">
        <f aca="false">IFERROR(__xludf.dummyfunction("""COMPUTED_VALUE"""),"https://hocmai.vn/bai-giang-truc-tuyen/175182/.html")</f>
        <v>https://hocmai.vn/bai-giang-truc-tuyen/175182/.html</v>
      </c>
      <c r="Q218" s="63"/>
      <c r="R218" s="41"/>
      <c r="S218" s="41"/>
      <c r="T218" s="63"/>
      <c r="U218" s="63"/>
      <c r="V218" s="70" t="n">
        <f aca="false">IFERROR(__xludf.dummyfunction("""COMPUTED_VALUE"""),46237)</f>
        <v>46237</v>
      </c>
      <c r="W218" s="39" t="str">
        <f aca="false">IFERROR(__xludf.dummyfunction("""COMPUTED_VALUE"""),"Hoàn thành TL live")</f>
        <v>Hoàn thành TL live</v>
      </c>
      <c r="X218" s="41" t="str">
        <f aca="false">IFERROR(__xludf.dummyfunction("""COMPUTED_VALUE"""),"Vuta")</f>
        <v>Vuta</v>
      </c>
      <c r="Y218" s="44"/>
      <c r="Z218" s="57"/>
      <c r="AA218" s="57"/>
      <c r="AB218" s="41" t="n">
        <f aca="false">IFERROR(__xludf.dummyfunction("""COMPUTED_VALUE"""),7)</f>
        <v>7</v>
      </c>
      <c r="AC218" s="57" t="str">
        <f aca="false">IFERROR(__xludf.dummyfunction("""COMPUTED_VALUE"""),"ss.vact01@ctv.hocmai.vn")</f>
        <v>ss.vact01@ctv.hocmai.vn</v>
      </c>
      <c r="AD218" s="46"/>
      <c r="AE218" s="46"/>
      <c r="AF218" s="47"/>
      <c r="AG218" s="46"/>
      <c r="AH218" s="53" t="b">
        <f aca="false">IFERROR(__xludf.dummyfunction("""COMPUTED_VALUE"""),FALSE())</f>
        <v>0</v>
      </c>
      <c r="AI218" s="53" t="b">
        <f aca="false">IFERROR(__xludf.dummyfunction("""COMPUTED_VALUE"""),FALSE())</f>
        <v>0</v>
      </c>
      <c r="AJ218" s="53" t="b">
        <f aca="false">IFERROR(__xludf.dummyfunction("""COMPUTED_VALUE"""),FALSE())</f>
        <v>0</v>
      </c>
      <c r="AK218" s="53" t="b">
        <f aca="false">IFERROR(__xludf.dummyfunction("""COMPUTED_VALUE"""),FALSE())</f>
        <v>0</v>
      </c>
      <c r="AL218" s="53" t="b">
        <f aca="false">IFERROR(__xludf.dummyfunction("""COMPUTED_VALUE"""),FALSE())</f>
        <v>0</v>
      </c>
      <c r="AM218" s="53" t="b">
        <f aca="false">IFERROR(__xludf.dummyfunction("""COMPUTED_VALUE"""),TRUE())</f>
        <v>1</v>
      </c>
      <c r="AN218" s="53" t="b">
        <f aca="false">IFERROR(__xludf.dummyfunction("""COMPUTED_VALUE"""),TRUE())</f>
        <v>1</v>
      </c>
      <c r="AO218" s="46"/>
    </row>
    <row r="219" customFormat="false" ht="15.75" hidden="false" customHeight="true" outlineLevel="0" collapsed="false">
      <c r="A219" s="37" t="str">
        <f aca="false">IFERROR(__xludf.dummyfunction("""COMPUTED_VALUE"""),"Thực chiến Tiếng Anh")</f>
        <v>Thực chiến Tiếng Anh</v>
      </c>
      <c r="B219" s="37" t="str">
        <f aca="false">IFERROR(__xludf.dummyfunction("""COMPUTED_VALUE"""),"TC_V-ACT_TA_07")</f>
        <v>TC_V-ACT_TA_07</v>
      </c>
      <c r="C219" s="59" t="str">
        <f aca="false">IFERROR(__xludf.dummyfunction("""COMPUTED_VALUE"""),"[Bổ trợ]_Chữa bài tập_V-ACT_Tiếng Anh số 07")</f>
        <v>[Bổ trợ]_Chữa bài tập_V-ACT_Tiếng Anh số 07</v>
      </c>
      <c r="D219" s="39" t="str">
        <f aca="false">IFERROR(__xludf.dummyfunction("""COMPUTED_VALUE"""),"Dung Thành Vinh")</f>
        <v>Dung Thành Vinh</v>
      </c>
      <c r="E219" s="40" t="n">
        <f aca="false">IFERROR(__xludf.dummyfunction("""COMPUTED_VALUE"""),46234)</f>
        <v>46234</v>
      </c>
      <c r="F219" s="41" t="n">
        <f aca="false">IFERROR(__xludf.dummyfunction("""COMPUTED_VALUE"""),6)</f>
        <v>6</v>
      </c>
      <c r="G219" s="37" t="str">
        <f aca="false">IFERROR(__xludf.dummyfunction("""COMPUTED_VALUE"""),"20:00-21:00")</f>
        <v>20:00-21:00</v>
      </c>
      <c r="H219" s="37"/>
      <c r="I219" s="37"/>
      <c r="J219" s="42" t="str">
        <f aca="false">IFERROR(__xludf.dummyfunction("""COMPUTED_VALUE"""),"https://drive.google.com/drive/folders/1AVAJOzfjUI9r1dLky7Hp5WfkcC1LwwG_")</f>
        <v>https://drive.google.com/drive/folders/1AVAJOzfjUI9r1dLky7Hp5WfkcC1LwwG_</v>
      </c>
      <c r="K219" s="68" t="str">
        <f aca="false">IFERROR(__xludf.dummyfunction("""COMPUTED_VALUE"""),"Huyenn2")</f>
        <v>Huyenn2</v>
      </c>
      <c r="L219" s="68" t="str">
        <f aca="false">IFERROR(__xludf.dummyfunction("""COMPUTED_VALUE"""),"HOCMAI")</f>
        <v>HOCMAI</v>
      </c>
      <c r="M219" s="71"/>
      <c r="N219" s="77" t="str">
        <f aca="false">IFERROR(__xludf.dummyfunction("""COMPUTED_VALUE"""),"3165")</f>
        <v>3165</v>
      </c>
      <c r="O219" s="63" t="n">
        <f aca="false">IFERROR(__xludf.dummyfunction("""COMPUTED_VALUE"""),175568)</f>
        <v>175568</v>
      </c>
      <c r="P219" s="60" t="str">
        <f aca="false">IFERROR(__xludf.dummyfunction("""COMPUTED_VALUE"""),"https://hocmai.vn/bai-giang-truc-tuyen/175568/.html")</f>
        <v>https://hocmai.vn/bai-giang-truc-tuyen/175568/.html</v>
      </c>
      <c r="Q219" s="63"/>
      <c r="R219" s="41"/>
      <c r="S219" s="41"/>
      <c r="T219" s="63"/>
      <c r="U219" s="63"/>
      <c r="V219" s="70" t="n">
        <f aca="false">IFERROR(__xludf.dummyfunction("""COMPUTED_VALUE"""),46237)</f>
        <v>46237</v>
      </c>
      <c r="W219" s="39" t="str">
        <f aca="false">IFERROR(__xludf.dummyfunction("""COMPUTED_VALUE"""),"Hoàn thành TL live")</f>
        <v>Hoàn thành TL live</v>
      </c>
      <c r="X219" s="41" t="str">
        <f aca="false">IFERROR(__xludf.dummyfunction("""COMPUTED_VALUE"""),"Vuta")</f>
        <v>Vuta</v>
      </c>
      <c r="Y219" s="44"/>
      <c r="Z219" s="57"/>
      <c r="AA219" s="57"/>
      <c r="AB219" s="41" t="n">
        <f aca="false">IFERROR(__xludf.dummyfunction("""COMPUTED_VALUE"""),7)</f>
        <v>7</v>
      </c>
      <c r="AC219" s="57" t="str">
        <f aca="false">IFERROR(__xludf.dummyfunction("""COMPUTED_VALUE"""),"shimlim04@gmail.com")</f>
        <v>shimlim04@gmail.com</v>
      </c>
      <c r="AD219" s="46"/>
      <c r="AE219" s="46"/>
      <c r="AF219" s="47"/>
      <c r="AG219" s="46"/>
      <c r="AH219" s="53" t="b">
        <f aca="false">IFERROR(__xludf.dummyfunction("""COMPUTED_VALUE"""),FALSE())</f>
        <v>0</v>
      </c>
      <c r="AI219" s="53" t="b">
        <f aca="false">IFERROR(__xludf.dummyfunction("""COMPUTED_VALUE"""),FALSE())</f>
        <v>0</v>
      </c>
      <c r="AJ219" s="53" t="b">
        <f aca="false">IFERROR(__xludf.dummyfunction("""COMPUTED_VALUE"""),FALSE())</f>
        <v>0</v>
      </c>
      <c r="AK219" s="53" t="b">
        <f aca="false">IFERROR(__xludf.dummyfunction("""COMPUTED_VALUE"""),FALSE())</f>
        <v>0</v>
      </c>
      <c r="AL219" s="53" t="b">
        <f aca="false">IFERROR(__xludf.dummyfunction("""COMPUTED_VALUE"""),FALSE())</f>
        <v>0</v>
      </c>
      <c r="AM219" s="53" t="b">
        <f aca="false">IFERROR(__xludf.dummyfunction("""COMPUTED_VALUE"""),TRUE())</f>
        <v>1</v>
      </c>
      <c r="AN219" s="53" t="b">
        <f aca="false">IFERROR(__xludf.dummyfunction("""COMPUTED_VALUE"""),TRUE())</f>
        <v>1</v>
      </c>
      <c r="AO219" s="46"/>
    </row>
    <row r="220" customFormat="false" ht="15.75" hidden="false" customHeight="true" outlineLevel="0" collapsed="false">
      <c r="A220" s="37" t="str">
        <f aca="false">IFERROR(__xludf.dummyfunction("""COMPUTED_VALUE"""),"Hóa học")</f>
        <v>Hóa học</v>
      </c>
      <c r="B220" s="37" t="str">
        <f aca="false">IFERROR(__xludf.dummyfunction("""COMPUTED_VALUE"""),"TOV_TSA_H04")</f>
        <v>TOV_TSA_H04</v>
      </c>
      <c r="C220" s="59" t="str">
        <f aca="false">IFERROR(__xludf.dummyfunction("""COMPUTED_VALUE"""),"Động lực học và Năng lượng hóa học")</f>
        <v>Động lực học và Năng lượng hóa học</v>
      </c>
      <c r="D220" s="39" t="str">
        <f aca="false">IFERROR(__xludf.dummyfunction("""COMPUTED_VALUE"""),"Vũ Khắc Ngọc")</f>
        <v>Vũ Khắc Ngọc</v>
      </c>
      <c r="E220" s="40" t="n">
        <f aca="false">IFERROR(__xludf.dummyfunction("""COMPUTED_VALUE"""),46235)</f>
        <v>46235</v>
      </c>
      <c r="F220" s="41" t="n">
        <f aca="false">IFERROR(__xludf.dummyfunction("""COMPUTED_VALUE"""),7)</f>
        <v>7</v>
      </c>
      <c r="G220" s="37" t="str">
        <f aca="false">IFERROR(__xludf.dummyfunction("""COMPUTED_VALUE"""),"21:30-23:30")</f>
        <v>21:30-23:30</v>
      </c>
      <c r="H220" s="42" t="str">
        <f aca="false">IFERROR(__xludf.dummyfunction("""COMPUTED_VALUE"""),"https://hocmai.vn/mod/scorm/view_file.php?id=183801")</f>
        <v>https://hocmai.vn/mod/scorm/view_file.php?id=183801</v>
      </c>
      <c r="I220" s="37"/>
      <c r="J220" s="37"/>
      <c r="K220" s="68" t="str">
        <f aca="false">IFERROR(__xludf.dummyfunction("""COMPUTED_VALUE"""),"Huebt")</f>
        <v>Huebt</v>
      </c>
      <c r="L220" s="68" t="str">
        <f aca="false">IFERROR(__xludf.dummyfunction("""COMPUTED_VALUE"""),"Bùi Vĩnh Thọ")</f>
        <v>Bùi Vĩnh Thọ</v>
      </c>
      <c r="M220" s="71"/>
      <c r="N220" s="77" t="str">
        <f aca="false">IFERROR(__xludf.dummyfunction("""COMPUTED_VALUE"""),"3110")</f>
        <v>3110</v>
      </c>
      <c r="O220" s="63" t="n">
        <f aca="false">IFERROR(__xludf.dummyfunction("""COMPUTED_VALUE"""),167259)</f>
        <v>167259</v>
      </c>
      <c r="P220" s="63"/>
      <c r="Q220" s="63"/>
      <c r="R220" s="41"/>
      <c r="S220" s="41"/>
      <c r="T220" s="63"/>
      <c r="U220" s="63" t="n">
        <f aca="false">IFERROR(__xludf.dummyfunction("""COMPUTED_VALUE"""),10602)</f>
        <v>10602</v>
      </c>
      <c r="V220" s="70" t="n">
        <f aca="false">IFERROR(__xludf.dummyfunction("""COMPUTED_VALUE"""),46238)</f>
        <v>46238</v>
      </c>
      <c r="W220" s="39" t="str">
        <f aca="false">IFERROR(__xludf.dummyfunction("""COMPUTED_VALUE"""),"Hoàn thành TL live")</f>
        <v>Hoàn thành TL live</v>
      </c>
      <c r="X220" s="41" t="str">
        <f aca="false">IFERROR(__xludf.dummyfunction("""COMPUTED_VALUE"""),"Huebt")</f>
        <v>Huebt</v>
      </c>
      <c r="Y220" s="44" t="str">
        <f aca="false">IFERROR(__xludf.dummyfunction("""COMPUTED_VALUE"""),"done")</f>
        <v>done</v>
      </c>
      <c r="Z220" s="57" t="str">
        <f aca="false">IFERROR(__xludf.dummyfunction("""COMPUTED_VALUE"""),"#N/A")</f>
        <v>#N/A</v>
      </c>
      <c r="AA220" s="57"/>
      <c r="AB220" s="41" t="n">
        <f aca="false">IFERROR(__xludf.dummyfunction("""COMPUTED_VALUE"""),8)</f>
        <v>8</v>
      </c>
      <c r="AC220" s="57" t="str">
        <f aca="false">IFERROR(__xludf.dummyfunction("""COMPUTED_VALUE"""),"gv.ngocvk@hocmai.edu.vn")</f>
        <v>gv.ngocvk@hocmai.edu.vn</v>
      </c>
      <c r="AD220" s="46" t="str">
        <f aca="false">IFERROR(__xludf.dummyfunction("""COMPUTED_VALUE"""),"vinhtho0704@gmail.com")</f>
        <v>vinhtho0704@gmail.com</v>
      </c>
      <c r="AE220" s="46"/>
      <c r="AF220" s="74" t="b">
        <f aca="false">IFERROR(__xludf.dummyfunction("""COMPUTED_VALUE"""),FALSE())</f>
        <v>0</v>
      </c>
      <c r="AG220" s="46" t="str">
        <f aca="false">IFERROR(__xludf.dummyfunction("""COMPUTED_VALUE"""),"")</f>
        <v/>
      </c>
      <c r="AH220" s="35"/>
      <c r="AI220" s="53" t="b">
        <f aca="false">IFERROR(__xludf.dummyfunction("""COMPUTED_VALUE"""),TRUE())</f>
        <v>1</v>
      </c>
      <c r="AJ220" s="35"/>
      <c r="AK220" s="35"/>
      <c r="AL220" s="35"/>
      <c r="AM220" s="35"/>
      <c r="AN220" s="35"/>
      <c r="AO220" s="46"/>
    </row>
    <row r="221" customFormat="false" ht="15.75" hidden="false" customHeight="true" outlineLevel="0" collapsed="false">
      <c r="A221" s="37" t="str">
        <f aca="false">IFERROR(__xludf.dummyfunction("""COMPUTED_VALUE"""),"Khoa học")</f>
        <v>Khoa học</v>
      </c>
      <c r="B221" s="37" t="str">
        <f aca="false">IFERROR(__xludf.dummyfunction("""COMPUTED_VALUE"""),"TOS_V-ACT_KH07")</f>
        <v>TOS_V-ACT_KH07</v>
      </c>
      <c r="C221" s="59" t="str">
        <f aca="false">IFERROR(__xludf.dummyfunction("""COMPUTED_VALUE"""),"Thực hành phân tích công thức và biểu đồ trong văn bản khoa học (P2).")</f>
        <v>Thực hành phân tích công thức và biểu đồ trong văn bản khoa học (P2).</v>
      </c>
      <c r="D221" s="39" t="str">
        <f aca="false">IFERROR(__xludf.dummyfunction("""COMPUTED_VALUE"""),"Lê Văn Minh")</f>
        <v>Lê Văn Minh</v>
      </c>
      <c r="E221" s="40" t="n">
        <f aca="false">IFERROR(__xludf.dummyfunction("""COMPUTED_VALUE"""),46235)</f>
        <v>46235</v>
      </c>
      <c r="F221" s="41" t="n">
        <f aca="false">IFERROR(__xludf.dummyfunction("""COMPUTED_VALUE"""),7)</f>
        <v>7</v>
      </c>
      <c r="G221" s="37" t="str">
        <f aca="false">IFERROR(__xludf.dummyfunction("""COMPUTED_VALUE"""),"20:30-22:00")</f>
        <v>20:30-22:00</v>
      </c>
      <c r="H221" s="42" t="str">
        <f aca="false">IFERROR(__xludf.dummyfunction("""COMPUTED_VALUE"""),"https://hocmai.vn/file.php/3340/Tai_lieu_bai_giang/26-27/TLHS_TOS_V-ACT_KH07.pdf")</f>
        <v>https://hocmai.vn/file.php/3340/Tai_lieu_bai_giang/26-27/TLHS_TOS_V-ACT_KH07.pdf</v>
      </c>
      <c r="I221" s="42" t="str">
        <f aca="false">IFERROR(__xludf.dummyfunction("""COMPUTED_VALUE"""),"https://hocmai.vn/file.php/3340/Bai_tap_tu_luyen/26-27/NVHT_TOV_V-ACT_KH07.pdf")</f>
        <v>https://hocmai.vn/file.php/3340/Bai_tap_tu_luyen/26-27/NVHT_TOV_V-ACT_KH07.pdf</v>
      </c>
      <c r="J221" s="42" t="str">
        <f aca="false">IFERROR(__xludf.dummyfunction("""COMPUTED_VALUE"""),"https://drive.google.com/drive/folders/10ss9Gh1D3hScOzijI-rEvylKev-PS3OI?usp=drive_link")</f>
        <v>https://drive.google.com/drive/folders/10ss9Gh1D3hScOzijI-rEvylKev-PS3OI?usp=drive_link</v>
      </c>
      <c r="K221" s="68" t="str">
        <f aca="false">IFERROR(__xludf.dummyfunction("""COMPUTED_VALUE"""),"Kimnq")</f>
        <v>Kimnq</v>
      </c>
      <c r="L221" s="68" t="str">
        <f aca="false">IFERROR(__xludf.dummyfunction("""COMPUTED_VALUE"""),"Lê Quốc Việt")</f>
        <v>Lê Quốc Việt</v>
      </c>
      <c r="M221" s="71"/>
      <c r="N221" s="77" t="str">
        <f aca="false">IFERROR(__xludf.dummyfunction("""COMPUTED_VALUE"""),"3340,3126")</f>
        <v>3340,3126</v>
      </c>
      <c r="O221" s="73" t="n">
        <f aca="false">IFERROR(__xludf.dummyfunction("""COMPUTED_VALUE"""),167498.167385)</f>
        <v>167498.167385</v>
      </c>
      <c r="P221" s="63"/>
      <c r="Q221" s="63"/>
      <c r="R221" s="41"/>
      <c r="S221" s="41"/>
      <c r="T221" s="63"/>
      <c r="U221" s="63"/>
      <c r="V221" s="70" t="n">
        <f aca="false">IFERROR(__xludf.dummyfunction("""COMPUTED_VALUE"""),46238)</f>
        <v>46238</v>
      </c>
      <c r="W221" s="39" t="str">
        <f aca="false">IFERROR(__xludf.dummyfunction("""COMPUTED_VALUE"""),"Hoàn thành BT sau live")</f>
        <v>Hoàn thành BT sau live</v>
      </c>
      <c r="X221" s="41" t="str">
        <f aca="false">IFERROR(__xludf.dummyfunction("""COMPUTED_VALUE"""),"Kimnq")</f>
        <v>Kimnq</v>
      </c>
      <c r="Y221" s="44" t="str">
        <f aca="false">IFERROR(__xludf.dummyfunction("""COMPUTED_VALUE"""),"done")</f>
        <v>done</v>
      </c>
      <c r="Z221" s="57" t="str">
        <f aca="false">IFERROR(__xludf.dummyfunction("""COMPUTED_VALUE"""),"#N/A")</f>
        <v>#N/A</v>
      </c>
      <c r="AA221" s="57"/>
      <c r="AB221" s="41" t="n">
        <f aca="false">IFERROR(__xludf.dummyfunction("""COMPUTED_VALUE"""),8)</f>
        <v>8</v>
      </c>
      <c r="AC221" s="57" t="str">
        <f aca="false">IFERROR(__xludf.dummyfunction("""COMPUTED_VALUE"""),"gv.minhlv@hocmai.edu.vn		")</f>
        <v>gv.minhlv@hocmai.edu.vn		</v>
      </c>
      <c r="AD221" s="46" t="str">
        <f aca="false">IFERROR(__xludf.dummyfunction("""COMPUTED_VALUE"""),"Ralph02091@gmail.com")</f>
        <v>Ralph02091@gmail.com</v>
      </c>
      <c r="AE221" s="46"/>
      <c r="AF221" s="47" t="str">
        <f aca="false">IFERROR(__xludf.dummyfunction("""COMPUTED_VALUE"""),"lophoctoan-946235")</f>
        <v>lophoctoan-946235</v>
      </c>
      <c r="AG221" s="46" t="str">
        <f aca="false">IFERROR(__xludf.dummyfunction("""COMPUTED_VALUE"""),"")</f>
        <v/>
      </c>
      <c r="AH221" s="35"/>
      <c r="AI221" s="35"/>
      <c r="AJ221" s="35"/>
      <c r="AK221" s="35"/>
      <c r="AL221" s="35"/>
      <c r="AM221" s="53" t="b">
        <f aca="false">IFERROR(__xludf.dummyfunction("""COMPUTED_VALUE"""),TRUE())</f>
        <v>1</v>
      </c>
      <c r="AN221" s="53" t="b">
        <f aca="false">IFERROR(__xludf.dummyfunction("""COMPUTED_VALUE"""),TRUE())</f>
        <v>1</v>
      </c>
      <c r="AO221" s="46"/>
    </row>
    <row r="222" customFormat="false" ht="15.75" hidden="false" customHeight="true" outlineLevel="0" collapsed="false">
      <c r="A222" s="37" t="str">
        <f aca="false">IFERROR(__xludf.dummyfunction("""COMPUTED_VALUE"""),"Thực chiến Khoa học")</f>
        <v>Thực chiến Khoa học</v>
      </c>
      <c r="B222" s="37" t="str">
        <f aca="false">IFERROR(__xludf.dummyfunction("""COMPUTED_VALUE"""),"TC_TSA_KH_12")</f>
        <v>TC_TSA_KH_12</v>
      </c>
      <c r="C222" s="59" t="str">
        <f aca="false">IFERROR(__xludf.dummyfunction("""COMPUTED_VALUE"""),"[Bổ trợ]_Chữa bài tập TSA_Tư duy Khoa học số 12")</f>
        <v>[Bổ trợ]_Chữa bài tập TSA_Tư duy Khoa học số 12</v>
      </c>
      <c r="D222" s="39" t="str">
        <f aca="false">IFERROR(__xludf.dummyfunction("""COMPUTED_VALUE"""),"Nguyễn Trọng Trường Anh")</f>
        <v>Nguyễn Trọng Trường Anh</v>
      </c>
      <c r="E222" s="40" t="n">
        <f aca="false">IFERROR(__xludf.dummyfunction("""COMPUTED_VALUE"""),46235)</f>
        <v>46235</v>
      </c>
      <c r="F222" s="41" t="n">
        <f aca="false">IFERROR(__xludf.dummyfunction("""COMPUTED_VALUE"""),7)</f>
        <v>7</v>
      </c>
      <c r="G222" s="37" t="str">
        <f aca="false">IFERROR(__xludf.dummyfunction("""COMPUTED_VALUE"""),"19:00-20:00")</f>
        <v>19:00-20:00</v>
      </c>
      <c r="H222" s="37"/>
      <c r="I222" s="37"/>
      <c r="J222" s="42" t="str">
        <f aca="false">IFERROR(__xludf.dummyfunction("""COMPUTED_VALUE"""),"https://drive.google.com/drive/folders/1Q9j4Do44uo0CrfwW25rIHE4XOzmNgGxM?usp=drive_link")</f>
        <v>https://drive.google.com/drive/folders/1Q9j4Do44uo0CrfwW25rIHE4XOzmNgGxM?usp=drive_link</v>
      </c>
      <c r="K222" s="68" t="str">
        <f aca="false">IFERROR(__xludf.dummyfunction("""COMPUTED_VALUE"""),"Trangnth2")</f>
        <v>Trangnth2</v>
      </c>
      <c r="L222" s="68" t="str">
        <f aca="false">IFERROR(__xludf.dummyfunction("""COMPUTED_VALUE"""),"HOCMAI")</f>
        <v>HOCMAI</v>
      </c>
      <c r="M222" s="71"/>
      <c r="N222" s="77" t="str">
        <f aca="false">IFERROR(__xludf.dummyfunction("""COMPUTED_VALUE"""),"3110")</f>
        <v>3110</v>
      </c>
      <c r="O222" s="63" t="n">
        <f aca="false">IFERROR(__xludf.dummyfunction("""COMPUTED_VALUE"""),176065)</f>
        <v>176065</v>
      </c>
      <c r="P222" s="60" t="str">
        <f aca="false">IFERROR(__xludf.dummyfunction("""COMPUTED_VALUE"""),"https://hocmai.vn/bai-giang-truc-tuyen/176065/.html")</f>
        <v>https://hocmai.vn/bai-giang-truc-tuyen/176065/.html</v>
      </c>
      <c r="Q222" s="63"/>
      <c r="R222" s="41"/>
      <c r="S222" s="41"/>
      <c r="T222" s="63"/>
      <c r="U222" s="63"/>
      <c r="V222" s="70" t="n">
        <f aca="false">IFERROR(__xludf.dummyfunction("""COMPUTED_VALUE"""),46238)</f>
        <v>46238</v>
      </c>
      <c r="W222" s="39" t="str">
        <f aca="false">IFERROR(__xludf.dummyfunction("""COMPUTED_VALUE"""),"Hoàn thành TL live")</f>
        <v>Hoàn thành TL live</v>
      </c>
      <c r="X222" s="41" t="str">
        <f aca="false">IFERROR(__xludf.dummyfunction("""COMPUTED_VALUE"""),"Vuta")</f>
        <v>Vuta</v>
      </c>
      <c r="Y222" s="44"/>
      <c r="Z222" s="57"/>
      <c r="AA222" s="57"/>
      <c r="AB222" s="41" t="n">
        <f aca="false">IFERROR(__xludf.dummyfunction("""COMPUTED_VALUE"""),8)</f>
        <v>8</v>
      </c>
      <c r="AC222" s="57" t="str">
        <f aca="false">IFERROR(__xludf.dummyfunction("""COMPUTED_VALUE"""),"thochi1981@gmail.com")</f>
        <v>thochi1981@gmail.com</v>
      </c>
      <c r="AD222" s="46"/>
      <c r="AE222" s="46"/>
      <c r="AF222" s="47"/>
      <c r="AG222" s="46"/>
      <c r="AH222" s="53" t="b">
        <f aca="false">IFERROR(__xludf.dummyfunction("""COMPUTED_VALUE"""),FALSE())</f>
        <v>0</v>
      </c>
      <c r="AI222" s="53" t="b">
        <f aca="false">IFERROR(__xludf.dummyfunction("""COMPUTED_VALUE"""),TRUE())</f>
        <v>1</v>
      </c>
      <c r="AJ222" s="53" t="b">
        <f aca="false">IFERROR(__xludf.dummyfunction("""COMPUTED_VALUE"""),FALSE())</f>
        <v>0</v>
      </c>
      <c r="AK222" s="53" t="b">
        <f aca="false">IFERROR(__xludf.dummyfunction("""COMPUTED_VALUE"""),FALSE())</f>
        <v>0</v>
      </c>
      <c r="AL222" s="53" t="b">
        <f aca="false">IFERROR(__xludf.dummyfunction("""COMPUTED_VALUE"""),FALSE())</f>
        <v>0</v>
      </c>
      <c r="AM222" s="53" t="b">
        <f aca="false">IFERROR(__xludf.dummyfunction("""COMPUTED_VALUE"""),FALSE())</f>
        <v>0</v>
      </c>
      <c r="AN222" s="53" t="b">
        <f aca="false">IFERROR(__xludf.dummyfunction("""COMPUTED_VALUE"""),FALSE())</f>
        <v>0</v>
      </c>
      <c r="AO222" s="46"/>
    </row>
    <row r="223" customFormat="false" ht="15.75" hidden="false" customHeight="true" outlineLevel="0" collapsed="false">
      <c r="A223" s="37" t="str">
        <f aca="false">IFERROR(__xludf.dummyfunction("""COMPUTED_VALUE"""),"Toán")</f>
        <v>Toán</v>
      </c>
      <c r="B223" s="37" t="str">
        <f aca="false">IFERROR(__xludf.dummyfunction("""COMPUTED_VALUE"""),"NT_N_16")</f>
        <v>NT_N_16</v>
      </c>
      <c r="C223" s="59" t="str">
        <f aca="false">IFERROR(__xludf.dummyfunction("""COMPUTED_VALUE"""),"Hệ trục tọa độ Oxyz")</f>
        <v>Hệ trục tọa độ Oxyz</v>
      </c>
      <c r="D223" s="39" t="str">
        <f aca="false">IFERROR(__xludf.dummyfunction("""COMPUTED_VALUE"""),"Nguyễn Hoài Nam")</f>
        <v>Nguyễn Hoài Nam</v>
      </c>
      <c r="E223" s="40" t="n">
        <f aca="false">IFERROR(__xludf.dummyfunction("""COMPUTED_VALUE"""),46236)</f>
        <v>46236</v>
      </c>
      <c r="F223" s="41" t="str">
        <f aca="false">IFERROR(__xludf.dummyfunction("""COMPUTED_VALUE"""),"CN")</f>
        <v>CN</v>
      </c>
      <c r="G223" s="37" t="str">
        <f aca="false">IFERROR(__xludf.dummyfunction("""COMPUTED_VALUE"""),"21:00-22:30")</f>
        <v>21:00-22:30</v>
      </c>
      <c r="H223" s="42" t="str">
        <f aca="false">IFERROR(__xludf.dummyfunction("""COMPUTED_VALUE"""),"https://hocmai.vn/mod/scorm/view_file.php?inpopup=true&amp;id=183896")</f>
        <v>https://hocmai.vn/mod/scorm/view_file.php?inpopup=true&amp;id=183896</v>
      </c>
      <c r="I223" s="42" t="str">
        <f aca="false">IFERROR(__xludf.dummyfunction("""COMPUTED_VALUE"""),"https://hocmai.vn/mod/scorm/view_file.php?inpopup=true&amp;id=183911")</f>
        <v>https://hocmai.vn/mod/scorm/view_file.php?inpopup=true&amp;id=183911</v>
      </c>
      <c r="J223" s="42" t="str">
        <f aca="false">IFERROR(__xludf.dummyfunction("""COMPUTED_VALUE"""),"https://drive.google.com/drive/folders/1whYY1PDPUEKpfEY1sKURbJXNUEi1tuBK?usp=drive_link")</f>
        <v>https://drive.google.com/drive/folders/1whYY1PDPUEKpfEY1sKURbJXNUEi1tuBK?usp=drive_link</v>
      </c>
      <c r="K223" s="68" t="str">
        <f aca="false">IFERROR(__xludf.dummyfunction("""COMPUTED_VALUE"""),"lent")</f>
        <v>lent</v>
      </c>
      <c r="L223" s="68" t="str">
        <f aca="false">IFERROR(__xludf.dummyfunction("""COMPUTED_VALUE"""),"Tưởng Thị Huyền Trang")</f>
        <v>Tưởng Thị Huyền Trang</v>
      </c>
      <c r="M223" s="69" t="str">
        <f aca="false">IFERROR(__xludf.dummyfunction("""COMPUTED_VALUE"""),"https://hocmai.sharepoint.com/Education_Development/Lists/San_xuat_video/DispForm.aspx?ID=12203")</f>
        <v>https://hocmai.sharepoint.com/Education_Development/Lists/San_xuat_video/DispForm.aspx?ID=12203</v>
      </c>
      <c r="N223" s="78" t="n">
        <f aca="false">IFERROR(__xludf.dummyfunction("""COMPUTED_VALUE"""),3313)</f>
        <v>3313</v>
      </c>
      <c r="O223" s="63" t="n">
        <f aca="false">IFERROR(__xludf.dummyfunction("""COMPUTED_VALUE"""),166641)</f>
        <v>166641</v>
      </c>
      <c r="P223" s="63"/>
      <c r="Q223" s="63" t="n">
        <f aca="false">IFERROR(__xludf.dummyfunction("""COMPUTED_VALUE"""),8029)</f>
        <v>8029</v>
      </c>
      <c r="R223" s="41"/>
      <c r="S223" s="41"/>
      <c r="T223" s="63" t="n">
        <f aca="false">IFERROR(__xludf.dummyfunction("""COMPUTED_VALUE"""),8030)</f>
        <v>8030</v>
      </c>
      <c r="U223" s="63" t="n">
        <f aca="false">IFERROR(__xludf.dummyfunction("""COMPUTED_VALUE"""),24176)</f>
        <v>24176</v>
      </c>
      <c r="V223" s="70" t="n">
        <f aca="false">IFERROR(__xludf.dummyfunction("""COMPUTED_VALUE"""),46238)</f>
        <v>46238</v>
      </c>
      <c r="W223" s="39" t="str">
        <f aca="false">IFERROR(__xludf.dummyfunction("""COMPUTED_VALUE"""),"Hoàn thành BT sau live")</f>
        <v>Hoàn thành BT sau live</v>
      </c>
      <c r="X223" s="41" t="str">
        <f aca="false">IFERROR(__xludf.dummyfunction("""COMPUTED_VALUE"""),"Huent7")</f>
        <v>Huent7</v>
      </c>
      <c r="Y223" s="44"/>
      <c r="Z223" s="57"/>
      <c r="AA223" s="57"/>
      <c r="AB223" s="41" t="n">
        <f aca="false">IFERROR(__xludf.dummyfunction("""COMPUTED_VALUE"""),8)</f>
        <v>8</v>
      </c>
      <c r="AC223" s="57"/>
      <c r="AD223" s="46"/>
      <c r="AE223" s="46"/>
      <c r="AF223" s="47" t="str">
        <f aca="false">IFERROR(__xludf.dummyfunction("""COMPUTED_VALUE"""),"lophoctoan-946236")</f>
        <v>lophoctoan-946236</v>
      </c>
      <c r="AG223" s="46" t="str">
        <f aca="false">IFERROR(__xludf.dummyfunction("""COMPUTED_VALUE"""),"")</f>
        <v/>
      </c>
      <c r="AH223" s="53" t="b">
        <f aca="false">IFERROR(__xludf.dummyfunction("""COMPUTED_VALUE"""),TRUE())</f>
        <v>1</v>
      </c>
      <c r="AI223" s="35"/>
      <c r="AJ223" s="35"/>
      <c r="AK223" s="35"/>
      <c r="AL223" s="35"/>
      <c r="AM223" s="35"/>
      <c r="AN223" s="35"/>
      <c r="AO223" s="46"/>
    </row>
    <row r="224" customFormat="false" ht="15.75" hidden="false" customHeight="true" outlineLevel="0" collapsed="false">
      <c r="A224" s="37" t="str">
        <f aca="false">IFERROR(__xludf.dummyfunction("""COMPUTED_VALUE"""),"Toán")</f>
        <v>Toán</v>
      </c>
      <c r="B224" s="37" t="str">
        <f aca="false">IFERROR(__xludf.dummyfunction("""COMPUTED_VALUE"""),"NT_T_32")</f>
        <v>NT_T_32</v>
      </c>
      <c r="C224" s="59" t="str">
        <f aca="false">IFERROR(__xludf.dummyfunction("""COMPUTED_VALUE"""),"Các bài toán thực tế tính diện tích hình phẳng")</f>
        <v>Các bài toán thực tế tính diện tích hình phẳng</v>
      </c>
      <c r="D224" s="39" t="str">
        <f aca="false">IFERROR(__xludf.dummyfunction("""COMPUTED_VALUE"""),"Nguyễn Thanh Tùng")</f>
        <v>Nguyễn Thanh Tùng</v>
      </c>
      <c r="E224" s="40" t="n">
        <f aca="false">IFERROR(__xludf.dummyfunction("""COMPUTED_VALUE"""),46236)</f>
        <v>46236</v>
      </c>
      <c r="F224" s="41" t="str">
        <f aca="false">IFERROR(__xludf.dummyfunction("""COMPUTED_VALUE"""),"CN")</f>
        <v>CN</v>
      </c>
      <c r="G224" s="37" t="str">
        <f aca="false">IFERROR(__xludf.dummyfunction("""COMPUTED_VALUE"""),"18:00-20:00")</f>
        <v>18:00-20:00</v>
      </c>
      <c r="H224" s="42" t="str">
        <f aca="false">IFERROR(__xludf.dummyfunction("""COMPUTED_VALUE"""),"https://hocmai.vn/file.php/3312/Tai_lieu_live/Topuni_26_27_Nen_tang_Buoi_32_CAC_BAI_TOAN_THUC_TE_TINH_DIEN_TICH_HINH_PHANG_TLBG.pdf")</f>
        <v>https://hocmai.vn/file.php/3312/Tai_lieu_live/Topuni_26_27_Nen_tang_Buoi_32_CAC_BAI_TOAN_THUC_TE_TINH_DIEN_TICH_HINH_PHANG_TLBG.pdf</v>
      </c>
      <c r="I224" s="42" t="str">
        <f aca="false">IFERROR(__xludf.dummyfunction("""COMPUTED_VALUE"""),"https://hocmai.vn/file.php/3312/De_luyen/Topuni_26_27_Nen_tang_Buoi_32_CAC_BAI_TOAN_THUC_TE_TINH_DIEN_TICH_HINH_PHANG_De_luyen.pdf")</f>
        <v>https://hocmai.vn/file.php/3312/De_luyen/Topuni_26_27_Nen_tang_Buoi_32_CAC_BAI_TOAN_THUC_TE_TINH_DIEN_TICH_HINH_PHANG_De_luyen.pdf</v>
      </c>
      <c r="J224" s="42" t="str">
        <f aca="false">IFERROR(__xludf.dummyfunction("""COMPUTED_VALUE"""),"https://drive.google.com/file/d/1hM_-FtG445oDQ-ofgpespOimIzajnZNO/view?usp=drive_link")</f>
        <v>https://drive.google.com/file/d/1hM_-FtG445oDQ-ofgpespOimIzajnZNO/view?usp=drive_link</v>
      </c>
      <c r="K224" s="68" t="str">
        <f aca="false">IFERROR(__xludf.dummyfunction("""COMPUTED_VALUE"""),"Khanhnl")</f>
        <v>Khanhnl</v>
      </c>
      <c r="L224" s="68" t="str">
        <f aca="false">IFERROR(__xludf.dummyfunction("""COMPUTED_VALUE"""),"Tưởng Thị Huyền Trang")</f>
        <v>Tưởng Thị Huyền Trang</v>
      </c>
      <c r="M224" s="69" t="str">
        <f aca="false">IFERROR(__xludf.dummyfunction("""COMPUTED_VALUE"""),"https://hocmai.sharepoint.com/Education_Development/Lists/San_xuat_video/DispForm.aspx?ID=12171")</f>
        <v>https://hocmai.sharepoint.com/Education_Development/Lists/San_xuat_video/DispForm.aspx?ID=12171</v>
      </c>
      <c r="N224" s="63" t="n">
        <f aca="false">IFERROR(__xludf.dummyfunction("""COMPUTED_VALUE"""),3312)</f>
        <v>3312</v>
      </c>
      <c r="O224" s="63" t="n">
        <f aca="false">IFERROR(__xludf.dummyfunction("""COMPUTED_VALUE"""),166565)</f>
        <v>166565</v>
      </c>
      <c r="P224" s="63"/>
      <c r="Q224" s="63" t="n">
        <f aca="false">IFERROR(__xludf.dummyfunction("""COMPUTED_VALUE"""),7946)</f>
        <v>7946</v>
      </c>
      <c r="R224" s="41"/>
      <c r="S224" s="41"/>
      <c r="T224" s="63" t="n">
        <f aca="false">IFERROR(__xludf.dummyfunction("""COMPUTED_VALUE"""),7947)</f>
        <v>7947</v>
      </c>
      <c r="U224" s="63" t="n">
        <f aca="false">IFERROR(__xludf.dummyfunction("""COMPUTED_VALUE"""),24171)</f>
        <v>24171</v>
      </c>
      <c r="V224" s="70" t="n">
        <f aca="false">IFERROR(__xludf.dummyfunction("""COMPUTED_VALUE"""),46239)</f>
        <v>46239</v>
      </c>
      <c r="W224" s="39" t="str">
        <f aca="false">IFERROR(__xludf.dummyfunction("""COMPUTED_VALUE"""),"Hoàn thành BT sau live")</f>
        <v>Hoàn thành BT sau live</v>
      </c>
      <c r="X224" s="41" t="str">
        <f aca="false">IFERROR(__xludf.dummyfunction("""COMPUTED_VALUE"""),"Huent7")</f>
        <v>Huent7</v>
      </c>
      <c r="Y224" s="44"/>
      <c r="Z224" s="57"/>
      <c r="AA224" s="57"/>
      <c r="AB224" s="41" t="n">
        <f aca="false">IFERROR(__xludf.dummyfunction("""COMPUTED_VALUE"""),8)</f>
        <v>8</v>
      </c>
      <c r="AC224" s="57"/>
      <c r="AD224" s="46"/>
      <c r="AE224" s="46"/>
      <c r="AF224" s="47" t="str">
        <f aca="false">IFERROR(__xludf.dummyfunction("""COMPUTED_VALUE"""),"lophoctoan-946236")</f>
        <v>lophoctoan-946236</v>
      </c>
      <c r="AG224" s="46" t="str">
        <f aca="false">IFERROR(__xludf.dummyfunction("""COMPUTED_VALUE"""),"")</f>
        <v/>
      </c>
      <c r="AH224" s="53" t="b">
        <f aca="false">IFERROR(__xludf.dummyfunction("""COMPUTED_VALUE"""),TRUE())</f>
        <v>1</v>
      </c>
      <c r="AI224" s="35"/>
      <c r="AJ224" s="35"/>
      <c r="AK224" s="35"/>
      <c r="AL224" s="35"/>
      <c r="AM224" s="35"/>
      <c r="AN224" s="35"/>
      <c r="AO224" s="46"/>
    </row>
    <row r="225" customFormat="false" ht="15.75" hidden="false" customHeight="true" outlineLevel="0" collapsed="false">
      <c r="A225" s="37" t="str">
        <f aca="false">IFERROR(__xludf.dummyfunction("""COMPUTED_VALUE"""),"Thực chiến Toán")</f>
        <v>Thực chiến Toán</v>
      </c>
      <c r="B225" s="37" t="str">
        <f aca="false">IFERROR(__xludf.dummyfunction("""COMPUTED_VALUE"""),"TC_TSA_T_12")</f>
        <v>TC_TSA_T_12</v>
      </c>
      <c r="C225" s="59" t="str">
        <f aca="false">IFERROR(__xludf.dummyfunction("""COMPUTED_VALUE"""),"[Bổ trợ]_Chữa bài tập TSA_Tư duy Toán học số 12")</f>
        <v>[Bổ trợ]_Chữa bài tập TSA_Tư duy Toán học số 12</v>
      </c>
      <c r="D225" s="39" t="str">
        <f aca="false">IFERROR(__xludf.dummyfunction("""COMPUTED_VALUE"""),"Phạm Huy Hoàng")</f>
        <v>Phạm Huy Hoàng</v>
      </c>
      <c r="E225" s="40" t="n">
        <f aca="false">IFERROR(__xludf.dummyfunction("""COMPUTED_VALUE"""),46236)</f>
        <v>46236</v>
      </c>
      <c r="F225" s="41" t="str">
        <f aca="false">IFERROR(__xludf.dummyfunction("""COMPUTED_VALUE"""),"CN")</f>
        <v>CN</v>
      </c>
      <c r="G225" s="37" t="str">
        <f aca="false">IFERROR(__xludf.dummyfunction("""COMPUTED_VALUE"""),"15:00-16:00")</f>
        <v>15:00-16:00</v>
      </c>
      <c r="H225" s="37"/>
      <c r="I225" s="37"/>
      <c r="J225" s="37"/>
      <c r="K225" s="68" t="str">
        <f aca="false">IFERROR(__xludf.dummyfunction("""COMPUTED_VALUE"""),"Locdd")</f>
        <v>Locdd</v>
      </c>
      <c r="L225" s="68" t="str">
        <f aca="false">IFERROR(__xludf.dummyfunction("""COMPUTED_VALUE"""),"HOCMAI")</f>
        <v>HOCMAI</v>
      </c>
      <c r="M225" s="71"/>
      <c r="N225" s="77" t="str">
        <f aca="false">IFERROR(__xludf.dummyfunction("""COMPUTED_VALUE"""),"3108")</f>
        <v>3108</v>
      </c>
      <c r="O225" s="63" t="n">
        <f aca="false">IFERROR(__xludf.dummyfunction("""COMPUTED_VALUE"""),175166)</f>
        <v>175166</v>
      </c>
      <c r="P225" s="60" t="str">
        <f aca="false">IFERROR(__xludf.dummyfunction("""COMPUTED_VALUE"""),"https://hocmai.vn/bai-giang-truc-tuyen/175166/.html")</f>
        <v>https://hocmai.vn/bai-giang-truc-tuyen/175166/.html</v>
      </c>
      <c r="Q225" s="63"/>
      <c r="R225" s="41"/>
      <c r="S225" s="41"/>
      <c r="T225" s="63"/>
      <c r="U225" s="63"/>
      <c r="V225" s="70" t="n">
        <f aca="false">IFERROR(__xludf.dummyfunction("""COMPUTED_VALUE"""),46239)</f>
        <v>46239</v>
      </c>
      <c r="W225" s="39"/>
      <c r="X225" s="41" t="str">
        <f aca="false">IFERROR(__xludf.dummyfunction("""COMPUTED_VALUE"""),"Vuta")</f>
        <v>Vuta</v>
      </c>
      <c r="Y225" s="44"/>
      <c r="Z225" s="57"/>
      <c r="AA225" s="57"/>
      <c r="AB225" s="41" t="n">
        <f aca="false">IFERROR(__xludf.dummyfunction("""COMPUTED_VALUE"""),8)</f>
        <v>8</v>
      </c>
      <c r="AC225" s="57" t="str">
        <f aca="false">IFERROR(__xludf.dummyfunction("""COMPUTED_VALUE"""),"0376611308")</f>
        <v>0376611308</v>
      </c>
      <c r="AD225" s="46"/>
      <c r="AE225" s="46"/>
      <c r="AF225" s="47"/>
      <c r="AG225" s="46"/>
      <c r="AH225" s="53" t="b">
        <f aca="false">IFERROR(__xludf.dummyfunction("""COMPUTED_VALUE"""),FALSE())</f>
        <v>0</v>
      </c>
      <c r="AI225" s="53" t="b">
        <f aca="false">IFERROR(__xludf.dummyfunction("""COMPUTED_VALUE"""),TRUE())</f>
        <v>1</v>
      </c>
      <c r="AJ225" s="53" t="b">
        <f aca="false">IFERROR(__xludf.dummyfunction("""COMPUTED_VALUE"""),FALSE())</f>
        <v>0</v>
      </c>
      <c r="AK225" s="53" t="b">
        <f aca="false">IFERROR(__xludf.dummyfunction("""COMPUTED_VALUE"""),FALSE())</f>
        <v>0</v>
      </c>
      <c r="AL225" s="53" t="b">
        <f aca="false">IFERROR(__xludf.dummyfunction("""COMPUTED_VALUE"""),FALSE())</f>
        <v>0</v>
      </c>
      <c r="AM225" s="53" t="b">
        <f aca="false">IFERROR(__xludf.dummyfunction("""COMPUTED_VALUE"""),FALSE())</f>
        <v>0</v>
      </c>
      <c r="AN225" s="53" t="b">
        <f aca="false">IFERROR(__xludf.dummyfunction("""COMPUTED_VALUE"""),FALSE())</f>
        <v>0</v>
      </c>
      <c r="AO225" s="46"/>
    </row>
    <row r="226" customFormat="false" ht="15.75" hidden="false" customHeight="true" outlineLevel="0" collapsed="false">
      <c r="A226" s="37" t="str">
        <f aca="false">IFERROR(__xludf.dummyfunction("""COMPUTED_VALUE"""),"Thực chiến Đọc hiểu")</f>
        <v>Thực chiến Đọc hiểu</v>
      </c>
      <c r="B226" s="37" t="str">
        <f aca="false">IFERROR(__xludf.dummyfunction("""COMPUTED_VALUE"""),"TC_TSA_DH_04")</f>
        <v>TC_TSA_DH_04</v>
      </c>
      <c r="C226" s="59" t="str">
        <f aca="false">IFERROR(__xludf.dummyfunction("""COMPUTED_VALUE"""),"[Bổ trợ]_Chữa bài tập TSA_Tư duy Đọc hiểu số 04")</f>
        <v>[Bổ trợ]_Chữa bài tập TSA_Tư duy Đọc hiểu số 04</v>
      </c>
      <c r="D226" s="39" t="str">
        <f aca="false">IFERROR(__xludf.dummyfunction("""COMPUTED_VALUE"""),"Đào Hồng Phúc")</f>
        <v>Đào Hồng Phúc</v>
      </c>
      <c r="E226" s="40" t="n">
        <f aca="false">IFERROR(__xludf.dummyfunction("""COMPUTED_VALUE"""),46236)</f>
        <v>46236</v>
      </c>
      <c r="F226" s="41" t="str">
        <f aca="false">IFERROR(__xludf.dummyfunction("""COMPUTED_VALUE"""),"CN")</f>
        <v>CN</v>
      </c>
      <c r="G226" s="37" t="str">
        <f aca="false">IFERROR(__xludf.dummyfunction("""COMPUTED_VALUE"""),"10:00-11:00")</f>
        <v>10:00-11:00</v>
      </c>
      <c r="H226" s="37"/>
      <c r="I226" s="37"/>
      <c r="J226" s="42" t="str">
        <f aca="false">IFERROR(__xludf.dummyfunction("""COMPUTED_VALUE"""),"https://drive.google.com/drive/folders/1ie5go0DCXyXRS7FGtzOSLjAb-3QZxLjk?usp=drive_link")</f>
        <v>https://drive.google.com/drive/folders/1ie5go0DCXyXRS7FGtzOSLjAb-3QZxLjk?usp=drive_link</v>
      </c>
      <c r="K226" s="68" t="str">
        <f aca="false">IFERROR(__xludf.dummyfunction("""COMPUTED_VALUE"""),"Hangvt3")</f>
        <v>Hangvt3</v>
      </c>
      <c r="L226" s="68" t="str">
        <f aca="false">IFERROR(__xludf.dummyfunction("""COMPUTED_VALUE"""),"HOCMAI")</f>
        <v>HOCMAI</v>
      </c>
      <c r="M226" s="71"/>
      <c r="N226" s="77" t="str">
        <f aca="false">IFERROR(__xludf.dummyfunction("""COMPUTED_VALUE"""),"3109")</f>
        <v>3109</v>
      </c>
      <c r="O226" s="63" t="n">
        <f aca="false">IFERROR(__xludf.dummyfunction("""COMPUTED_VALUE"""),176059)</f>
        <v>176059</v>
      </c>
      <c r="P226" s="60" t="str">
        <f aca="false">IFERROR(__xludf.dummyfunction("""COMPUTED_VALUE"""),"https://hocmai.vn/bai-giang-truc-tuyen/176059/.html")</f>
        <v>https://hocmai.vn/bai-giang-truc-tuyen/176059/.html</v>
      </c>
      <c r="Q226" s="63"/>
      <c r="R226" s="41"/>
      <c r="S226" s="41"/>
      <c r="T226" s="63"/>
      <c r="U226" s="63"/>
      <c r="V226" s="70" t="n">
        <f aca="false">IFERROR(__xludf.dummyfunction("""COMPUTED_VALUE"""),46239)</f>
        <v>46239</v>
      </c>
      <c r="W226" s="39" t="str">
        <f aca="false">IFERROR(__xludf.dummyfunction("""COMPUTED_VALUE"""),"Hoàn thành TL live")</f>
        <v>Hoàn thành TL live</v>
      </c>
      <c r="X226" s="41" t="str">
        <f aca="false">IFERROR(__xludf.dummyfunction("""COMPUTED_VALUE"""),"Vuta")</f>
        <v>Vuta</v>
      </c>
      <c r="Y226" s="44"/>
      <c r="Z226" s="57"/>
      <c r="AA226" s="57"/>
      <c r="AB226" s="41" t="n">
        <f aca="false">IFERROR(__xludf.dummyfunction("""COMPUTED_VALUE"""),8)</f>
        <v>8</v>
      </c>
      <c r="AC226" s="57" t="str">
        <f aca="false">IFERROR(__xludf.dummyfunction("""COMPUTED_VALUE"""),"0987781413")</f>
        <v>0987781413</v>
      </c>
      <c r="AD226" s="46"/>
      <c r="AE226" s="46"/>
      <c r="AF226" s="47"/>
      <c r="AG226" s="46"/>
      <c r="AH226" s="53" t="b">
        <f aca="false">IFERROR(__xludf.dummyfunction("""COMPUTED_VALUE"""),FALSE())</f>
        <v>0</v>
      </c>
      <c r="AI226" s="53" t="b">
        <f aca="false">IFERROR(__xludf.dummyfunction("""COMPUTED_VALUE"""),TRUE())</f>
        <v>1</v>
      </c>
      <c r="AJ226" s="53" t="b">
        <f aca="false">IFERROR(__xludf.dummyfunction("""COMPUTED_VALUE"""),FALSE())</f>
        <v>0</v>
      </c>
      <c r="AK226" s="53" t="b">
        <f aca="false">IFERROR(__xludf.dummyfunction("""COMPUTED_VALUE"""),FALSE())</f>
        <v>0</v>
      </c>
      <c r="AL226" s="53" t="b">
        <f aca="false">IFERROR(__xludf.dummyfunction("""COMPUTED_VALUE"""),FALSE())</f>
        <v>0</v>
      </c>
      <c r="AM226" s="53" t="b">
        <f aca="false">IFERROR(__xludf.dummyfunction("""COMPUTED_VALUE"""),FALSE())</f>
        <v>0</v>
      </c>
      <c r="AN226" s="53" t="b">
        <f aca="false">IFERROR(__xludf.dummyfunction("""COMPUTED_VALUE"""),FALSE())</f>
        <v>0</v>
      </c>
      <c r="AO226" s="46"/>
    </row>
    <row r="227" customFormat="false" ht="15.75" hidden="false" customHeight="true" outlineLevel="0" collapsed="false">
      <c r="A227" s="37" t="str">
        <f aca="false">IFERROR(__xludf.dummyfunction("""COMPUTED_VALUE"""),"Thực chiến Định tính")</f>
        <v>Thực chiến Định tính</v>
      </c>
      <c r="B227" s="37" t="str">
        <f aca="false">IFERROR(__xludf.dummyfunction("""COMPUTED_VALUE"""),"TC_HSA_ĐT_03")</f>
        <v>TC_HSA_ĐT_03</v>
      </c>
      <c r="C227" s="59" t="str">
        <f aca="false">IFERROR(__xludf.dummyfunction("""COMPUTED_VALUE"""),"[Bổ trợ]_Chữa bài tập _Tư duy Định tính số 03")</f>
        <v>[Bổ trợ]_Chữa bài tập _Tư duy Định tính số 03</v>
      </c>
      <c r="D227" s="39" t="str">
        <f aca="false">IFERROR(__xludf.dummyfunction("""COMPUTED_VALUE"""),"Nguyễn Thị Thanh Hoa")</f>
        <v>Nguyễn Thị Thanh Hoa</v>
      </c>
      <c r="E227" s="40" t="n">
        <f aca="false">IFERROR(__xludf.dummyfunction("""COMPUTED_VALUE"""),46236)</f>
        <v>46236</v>
      </c>
      <c r="F227" s="41" t="str">
        <f aca="false">IFERROR(__xludf.dummyfunction("""COMPUTED_VALUE"""),"CN")</f>
        <v>CN</v>
      </c>
      <c r="G227" s="37" t="str">
        <f aca="false">IFERROR(__xludf.dummyfunction("""COMPUTED_VALUE"""),"17:00-18:00")</f>
        <v>17:00-18:00</v>
      </c>
      <c r="H227" s="37"/>
      <c r="I227" s="37"/>
      <c r="J227" s="42" t="str">
        <f aca="false">IFERROR(__xludf.dummyfunction("""COMPUTED_VALUE"""),"https://drive.google.com/open?id=1BfohvqmUbFS5pePVszdntO_WJHOqgu0x&amp;usp=drive_fs")</f>
        <v>https://drive.google.com/open?id=1BfohvqmUbFS5pePVszdntO_WJHOqgu0x&amp;usp=drive_fs</v>
      </c>
      <c r="K227" s="68" t="str">
        <f aca="false">IFERROR(__xludf.dummyfunction("""COMPUTED_VALUE"""),"Hoantt")</f>
        <v>Hoantt</v>
      </c>
      <c r="L227" s="68" t="str">
        <f aca="false">IFERROR(__xludf.dummyfunction("""COMPUTED_VALUE"""),"HOCMAI")</f>
        <v>HOCMAI</v>
      </c>
      <c r="M227" s="71"/>
      <c r="N227" s="77" t="str">
        <f aca="false">IFERROR(__xludf.dummyfunction("""COMPUTED_VALUE"""),"3118")</f>
        <v>3118</v>
      </c>
      <c r="O227" s="63" t="n">
        <f aca="false">IFERROR(__xludf.dummyfunction("""COMPUTED_VALUE"""),175162)</f>
        <v>175162</v>
      </c>
      <c r="P227" s="60" t="str">
        <f aca="false">IFERROR(__xludf.dummyfunction("""COMPUTED_VALUE"""),"https://hocmai.vn/bai-giang-truc-tuyen/175162/.html")</f>
        <v>https://hocmai.vn/bai-giang-truc-tuyen/175162/.html</v>
      </c>
      <c r="Q227" s="63"/>
      <c r="R227" s="41"/>
      <c r="S227" s="41"/>
      <c r="T227" s="63"/>
      <c r="U227" s="63"/>
      <c r="V227" s="70" t="n">
        <f aca="false">IFERROR(__xludf.dummyfunction("""COMPUTED_VALUE"""),46239)</f>
        <v>46239</v>
      </c>
      <c r="W227" s="39" t="str">
        <f aca="false">IFERROR(__xludf.dummyfunction("""COMPUTED_VALUE"""),"Hoàn thành TL live")</f>
        <v>Hoàn thành TL live</v>
      </c>
      <c r="X227" s="41" t="str">
        <f aca="false">IFERROR(__xludf.dummyfunction("""COMPUTED_VALUE"""),"Vuta")</f>
        <v>Vuta</v>
      </c>
      <c r="Y227" s="44"/>
      <c r="Z227" s="57"/>
      <c r="AA227" s="57"/>
      <c r="AB227" s="41" t="n">
        <f aca="false">IFERROR(__xludf.dummyfunction("""COMPUTED_VALUE"""),8)</f>
        <v>8</v>
      </c>
      <c r="AC227" s="57" t="str">
        <f aca="false">IFERROR(__xludf.dummyfunction("""COMPUTED_VALUE"""),"hoantt@hocmai.vn")</f>
        <v>hoantt@hocmai.vn</v>
      </c>
      <c r="AD227" s="46"/>
      <c r="AE227" s="46"/>
      <c r="AF227" s="47"/>
      <c r="AG227" s="46"/>
      <c r="AH227" s="53" t="b">
        <f aca="false">IFERROR(__xludf.dummyfunction("""COMPUTED_VALUE"""),FALSE())</f>
        <v>0</v>
      </c>
      <c r="AI227" s="53" t="b">
        <f aca="false">IFERROR(__xludf.dummyfunction("""COMPUTED_VALUE"""),FALSE())</f>
        <v>0</v>
      </c>
      <c r="AJ227" s="53" t="b">
        <f aca="false">IFERROR(__xludf.dummyfunction("""COMPUTED_VALUE"""),TRUE())</f>
        <v>1</v>
      </c>
      <c r="AK227" s="53" t="b">
        <f aca="false">IFERROR(__xludf.dummyfunction("""COMPUTED_VALUE"""),TRUE())</f>
        <v>1</v>
      </c>
      <c r="AL227" s="53" t="b">
        <f aca="false">IFERROR(__xludf.dummyfunction("""COMPUTED_VALUE"""),FALSE())</f>
        <v>0</v>
      </c>
      <c r="AM227" s="53" t="b">
        <f aca="false">IFERROR(__xludf.dummyfunction("""COMPUTED_VALUE"""),FALSE())</f>
        <v>0</v>
      </c>
      <c r="AN227" s="53" t="b">
        <f aca="false">IFERROR(__xludf.dummyfunction("""COMPUTED_VALUE"""),FALSE())</f>
        <v>0</v>
      </c>
      <c r="AO227" s="46"/>
    </row>
    <row r="228" customFormat="false" ht="15.75" hidden="false" customHeight="true" outlineLevel="0" collapsed="false">
      <c r="A228" s="37" t="str">
        <f aca="false">IFERROR(__xludf.dummyfunction("""COMPUTED_VALUE"""),"Thực chiến Định lượng")</f>
        <v>Thực chiến Định lượng</v>
      </c>
      <c r="B228" s="37" t="str">
        <f aca="false">IFERROR(__xludf.dummyfunction("""COMPUTED_VALUE"""),"TC_HSA_ĐL_08")</f>
        <v>TC_HSA_ĐL_08</v>
      </c>
      <c r="C228" s="59" t="str">
        <f aca="false">IFERROR(__xludf.dummyfunction("""COMPUTED_VALUE"""),"[Bổ trợ]_Chữa bài tập _Tư duy Định lượng số 08")</f>
        <v>[Bổ trợ]_Chữa bài tập _Tư duy Định lượng số 08</v>
      </c>
      <c r="D228" s="39" t="str">
        <f aca="false">IFERROR(__xludf.dummyfunction("""COMPUTED_VALUE"""),"Nguyễn Trọng Trường Anh")</f>
        <v>Nguyễn Trọng Trường Anh</v>
      </c>
      <c r="E228" s="40" t="n">
        <f aca="false">IFERROR(__xludf.dummyfunction("""COMPUTED_VALUE"""),46236)</f>
        <v>46236</v>
      </c>
      <c r="F228" s="41" t="str">
        <f aca="false">IFERROR(__xludf.dummyfunction("""COMPUTED_VALUE"""),"CN")</f>
        <v>CN</v>
      </c>
      <c r="G228" s="37" t="str">
        <f aca="false">IFERROR(__xludf.dummyfunction("""COMPUTED_VALUE"""),"10:00-11:00")</f>
        <v>10:00-11:00</v>
      </c>
      <c r="H228" s="37"/>
      <c r="I228" s="37"/>
      <c r="J228" s="62"/>
      <c r="K228" s="68" t="str">
        <f aca="false">IFERROR(__xludf.dummyfunction("""COMPUTED_VALUE"""),"Locdd")</f>
        <v>Locdd</v>
      </c>
      <c r="L228" s="68" t="str">
        <f aca="false">IFERROR(__xludf.dummyfunction("""COMPUTED_VALUE"""),"HOCMAI")</f>
        <v>HOCMAI</v>
      </c>
      <c r="M228" s="71"/>
      <c r="N228" s="77" t="str">
        <f aca="false">IFERROR(__xludf.dummyfunction("""COMPUTED_VALUE"""),"3117")</f>
        <v>3117</v>
      </c>
      <c r="O228" s="63" t="n">
        <f aca="false">IFERROR(__xludf.dummyfunction("""COMPUTED_VALUE"""),175956)</f>
        <v>175956</v>
      </c>
      <c r="P228" s="60" t="str">
        <f aca="false">IFERROR(__xludf.dummyfunction("""COMPUTED_VALUE"""),"https://hocmai.vn/bai-giang-truc-tuyen/175956/.html")</f>
        <v>https://hocmai.vn/bai-giang-truc-tuyen/175956/.html</v>
      </c>
      <c r="Q228" s="63"/>
      <c r="R228" s="41"/>
      <c r="S228" s="41"/>
      <c r="T228" s="63"/>
      <c r="U228" s="63"/>
      <c r="V228" s="70" t="n">
        <f aca="false">IFERROR(__xludf.dummyfunction("""COMPUTED_VALUE"""),46239)</f>
        <v>46239</v>
      </c>
      <c r="W228" s="39"/>
      <c r="X228" s="41" t="str">
        <f aca="false">IFERROR(__xludf.dummyfunction("""COMPUTED_VALUE"""),"Vuta")</f>
        <v>Vuta</v>
      </c>
      <c r="Y228" s="44"/>
      <c r="Z228" s="57"/>
      <c r="AA228" s="57"/>
      <c r="AB228" s="41" t="n">
        <f aca="false">IFERROR(__xludf.dummyfunction("""COMPUTED_VALUE"""),8)</f>
        <v>8</v>
      </c>
      <c r="AC228" s="57" t="str">
        <f aca="false">IFERROR(__xludf.dummyfunction("""COMPUTED_VALUE"""),"thochi1981@gmail.com")</f>
        <v>thochi1981@gmail.com</v>
      </c>
      <c r="AD228" s="46"/>
      <c r="AE228" s="46"/>
      <c r="AF228" s="47"/>
      <c r="AG228" s="46"/>
      <c r="AH228" s="53" t="b">
        <f aca="false">IFERROR(__xludf.dummyfunction("""COMPUTED_VALUE"""),FALSE())</f>
        <v>0</v>
      </c>
      <c r="AI228" s="53" t="b">
        <f aca="false">IFERROR(__xludf.dummyfunction("""COMPUTED_VALUE"""),FALSE())</f>
        <v>0</v>
      </c>
      <c r="AJ228" s="53" t="b">
        <f aca="false">IFERROR(__xludf.dummyfunction("""COMPUTED_VALUE"""),TRUE())</f>
        <v>1</v>
      </c>
      <c r="AK228" s="53" t="b">
        <f aca="false">IFERROR(__xludf.dummyfunction("""COMPUTED_VALUE"""),TRUE())</f>
        <v>1</v>
      </c>
      <c r="AL228" s="53" t="b">
        <f aca="false">IFERROR(__xludf.dummyfunction("""COMPUTED_VALUE"""),FALSE())</f>
        <v>0</v>
      </c>
      <c r="AM228" s="53" t="b">
        <f aca="false">IFERROR(__xludf.dummyfunction("""COMPUTED_VALUE"""),FALSE())</f>
        <v>0</v>
      </c>
      <c r="AN228" s="53" t="b">
        <f aca="false">IFERROR(__xludf.dummyfunction("""COMPUTED_VALUE"""),FALSE())</f>
        <v>0</v>
      </c>
      <c r="AO228" s="46"/>
    </row>
    <row r="229" customFormat="false" ht="15.75" hidden="false" customHeight="true" outlineLevel="0" collapsed="false">
      <c r="A229" s="37" t="str">
        <f aca="false">IFERROR(__xludf.dummyfunction("""COMPUTED_VALUE"""),"Thực chiến Toán")</f>
        <v>Thực chiến Toán</v>
      </c>
      <c r="B229" s="37" t="str">
        <f aca="false">IFERROR(__xludf.dummyfunction("""COMPUTED_VALUE"""),"TC_V-ACT_T_08")</f>
        <v>TC_V-ACT_T_08</v>
      </c>
      <c r="C229" s="59" t="str">
        <f aca="false">IFERROR(__xludf.dummyfunction("""COMPUTED_VALUE"""),"[Bổ trợ]_Chữa bài tập_V-ACT_Toán số 08")</f>
        <v>[Bổ trợ]_Chữa bài tập_V-ACT_Toán số 08</v>
      </c>
      <c r="D229" s="39" t="str">
        <f aca="false">IFERROR(__xludf.dummyfunction("""COMPUTED_VALUE"""),"Lê Thế Anh")</f>
        <v>Lê Thế Anh</v>
      </c>
      <c r="E229" s="40" t="n">
        <f aca="false">IFERROR(__xludf.dummyfunction("""COMPUTED_VALUE"""),46236)</f>
        <v>46236</v>
      </c>
      <c r="F229" s="41" t="str">
        <f aca="false">IFERROR(__xludf.dummyfunction("""COMPUTED_VALUE"""),"CN")</f>
        <v>CN</v>
      </c>
      <c r="G229" s="37" t="str">
        <f aca="false">IFERROR(__xludf.dummyfunction("""COMPUTED_VALUE"""),"10:00-11:00")</f>
        <v>10:00-11:00</v>
      </c>
      <c r="H229" s="37"/>
      <c r="I229" s="37"/>
      <c r="J229" s="42" t="str">
        <f aca="false">IFERROR(__xludf.dummyfunction("""COMPUTED_VALUE"""),"https://drive.google.com/drive/folders/1WIwnkcGPowEwN8k9ZHCVGDhlI_WpTA0a?usp=sharing")</f>
        <v>https://drive.google.com/drive/folders/1WIwnkcGPowEwN8k9ZHCVGDhlI_WpTA0a?usp=sharing</v>
      </c>
      <c r="K229" s="68" t="str">
        <f aca="false">IFERROR(__xludf.dummyfunction("""COMPUTED_VALUE"""),"lent")</f>
        <v>lent</v>
      </c>
      <c r="L229" s="68" t="str">
        <f aca="false">IFERROR(__xludf.dummyfunction("""COMPUTED_VALUE"""),"HOCMAI")</f>
        <v>HOCMAI</v>
      </c>
      <c r="M229" s="71"/>
      <c r="N229" s="77" t="str">
        <f aca="false">IFERROR(__xludf.dummyfunction("""COMPUTED_VALUE"""),"3124")</f>
        <v>3124</v>
      </c>
      <c r="O229" s="63" t="n">
        <f aca="false">IFERROR(__xludf.dummyfunction("""COMPUTED_VALUE"""),175183)</f>
        <v>175183</v>
      </c>
      <c r="P229" s="60" t="str">
        <f aca="false">IFERROR(__xludf.dummyfunction("""COMPUTED_VALUE"""),"https://hocmai.vn/bai-giang-truc-tuyen/175183/.html")</f>
        <v>https://hocmai.vn/bai-giang-truc-tuyen/175183/.html</v>
      </c>
      <c r="Q229" s="63"/>
      <c r="R229" s="41"/>
      <c r="S229" s="41"/>
      <c r="T229" s="63"/>
      <c r="U229" s="63"/>
      <c r="V229" s="70" t="n">
        <f aca="false">IFERROR(__xludf.dummyfunction("""COMPUTED_VALUE"""),46239)</f>
        <v>46239</v>
      </c>
      <c r="W229" s="39" t="str">
        <f aca="false">IFERROR(__xludf.dummyfunction("""COMPUTED_VALUE"""),"Hoàn thành TL live")</f>
        <v>Hoàn thành TL live</v>
      </c>
      <c r="X229" s="41" t="str">
        <f aca="false">IFERROR(__xludf.dummyfunction("""COMPUTED_VALUE"""),"Vuta")</f>
        <v>Vuta</v>
      </c>
      <c r="Y229" s="44"/>
      <c r="Z229" s="57"/>
      <c r="AA229" s="57"/>
      <c r="AB229" s="41" t="n">
        <f aca="false">IFERROR(__xludf.dummyfunction("""COMPUTED_VALUE"""),8)</f>
        <v>8</v>
      </c>
      <c r="AC229" s="57" t="str">
        <f aca="false">IFERROR(__xludf.dummyfunction("""COMPUTED_VALUE"""),"ss.vact01@ctv.hocmai.vn")</f>
        <v>ss.vact01@ctv.hocmai.vn</v>
      </c>
      <c r="AD229" s="46"/>
      <c r="AE229" s="46"/>
      <c r="AF229" s="47"/>
      <c r="AG229" s="46"/>
      <c r="AH229" s="53" t="b">
        <f aca="false">IFERROR(__xludf.dummyfunction("""COMPUTED_VALUE"""),FALSE())</f>
        <v>0</v>
      </c>
      <c r="AI229" s="53" t="b">
        <f aca="false">IFERROR(__xludf.dummyfunction("""COMPUTED_VALUE"""),FALSE())</f>
        <v>0</v>
      </c>
      <c r="AJ229" s="53" t="b">
        <f aca="false">IFERROR(__xludf.dummyfunction("""COMPUTED_VALUE"""),FALSE())</f>
        <v>0</v>
      </c>
      <c r="AK229" s="53" t="b">
        <f aca="false">IFERROR(__xludf.dummyfunction("""COMPUTED_VALUE"""),FALSE())</f>
        <v>0</v>
      </c>
      <c r="AL229" s="53" t="b">
        <f aca="false">IFERROR(__xludf.dummyfunction("""COMPUTED_VALUE"""),FALSE())</f>
        <v>0</v>
      </c>
      <c r="AM229" s="53" t="b">
        <f aca="false">IFERROR(__xludf.dummyfunction("""COMPUTED_VALUE"""),TRUE())</f>
        <v>1</v>
      </c>
      <c r="AN229" s="53" t="b">
        <f aca="false">IFERROR(__xludf.dummyfunction("""COMPUTED_VALUE"""),TRUE())</f>
        <v>1</v>
      </c>
      <c r="AO229" s="46"/>
    </row>
    <row r="230" customFormat="false" ht="15.75" hidden="false" customHeight="true" outlineLevel="0" collapsed="false">
      <c r="A230" s="37" t="str">
        <f aca="false">IFERROR(__xludf.dummyfunction("""COMPUTED_VALUE"""),"Đọc hiểu")</f>
        <v>Đọc hiểu</v>
      </c>
      <c r="B230" s="37" t="str">
        <f aca="false">IFERROR(__xludf.dummyfunction("""COMPUTED_VALUE"""),"TOV_TSA_DH08")</f>
        <v>TOV_TSA_DH08</v>
      </c>
      <c r="C230" s="59" t="str">
        <f aca="false">IFERROR(__xludf.dummyfunction("""COMPUTED_VALUE"""),"Luyện tập đọc hiểu và suy luận thông tin trong văn bản")</f>
        <v>Luyện tập đọc hiểu và suy luận thông tin trong văn bản</v>
      </c>
      <c r="D230" s="39" t="str">
        <f aca="false">IFERROR(__xludf.dummyfunction("""COMPUTED_VALUE"""),"Vũ Khắc Ngọc")</f>
        <v>Vũ Khắc Ngọc</v>
      </c>
      <c r="E230" s="40" t="n">
        <f aca="false">IFERROR(__xludf.dummyfunction("""COMPUTED_VALUE"""),46237)</f>
        <v>46237</v>
      </c>
      <c r="F230" s="41" t="n">
        <f aca="false">IFERROR(__xludf.dummyfunction("""COMPUTED_VALUE"""),2)</f>
        <v>2</v>
      </c>
      <c r="G230" s="37" t="str">
        <f aca="false">IFERROR(__xludf.dummyfunction("""COMPUTED_VALUE"""),"21:30-23:30")</f>
        <v>21:30-23:30</v>
      </c>
      <c r="H230" s="37"/>
      <c r="I230" s="37"/>
      <c r="J230" s="42" t="str">
        <f aca="false">IFERROR(__xludf.dummyfunction("""COMPUTED_VALUE"""),"https://drive.google.com/file/d/11IAviAK_laTfj0AsdC15DQltLEDeC72b/view?usp=drive_link")</f>
        <v>https://drive.google.com/file/d/11IAviAK_laTfj0AsdC15DQltLEDeC72b/view?usp=drive_link</v>
      </c>
      <c r="K230" s="68" t="str">
        <f aca="false">IFERROR(__xludf.dummyfunction("""COMPUTED_VALUE"""),"Hangvt3")</f>
        <v>Hangvt3</v>
      </c>
      <c r="L230" s="68" t="str">
        <f aca="false">IFERROR(__xludf.dummyfunction("""COMPUTED_VALUE"""),"Phan Đức Kiên")</f>
        <v>Phan Đức Kiên</v>
      </c>
      <c r="M230" s="71"/>
      <c r="N230" s="77" t="str">
        <f aca="false">IFERROR(__xludf.dummyfunction("""COMPUTED_VALUE"""),"3109")</f>
        <v>3109</v>
      </c>
      <c r="O230" s="63" t="n">
        <f aca="false">IFERROR(__xludf.dummyfunction("""COMPUTED_VALUE"""),167231)</f>
        <v>167231</v>
      </c>
      <c r="P230" s="63"/>
      <c r="Q230" s="63"/>
      <c r="R230" s="41"/>
      <c r="S230" s="41"/>
      <c r="T230" s="63"/>
      <c r="U230" s="63"/>
      <c r="V230" s="70" t="n">
        <f aca="false">IFERROR(__xludf.dummyfunction("""COMPUTED_VALUE"""),46240)</f>
        <v>46240</v>
      </c>
      <c r="W230" s="39" t="str">
        <f aca="false">IFERROR(__xludf.dummyfunction("""COMPUTED_VALUE"""),"Hoàn thành TL live")</f>
        <v>Hoàn thành TL live</v>
      </c>
      <c r="X230" s="41" t="str">
        <f aca="false">IFERROR(__xludf.dummyfunction("""COMPUTED_VALUE"""),"Huent7")</f>
        <v>Huent7</v>
      </c>
      <c r="Y230" s="44" t="str">
        <f aca="false">IFERROR(__xludf.dummyfunction("""COMPUTED_VALUE"""),"done")</f>
        <v>done</v>
      </c>
      <c r="Z230" s="57" t="str">
        <f aca="false">IFERROR(__xludf.dummyfunction("""COMPUTED_VALUE"""),"#N/A")</f>
        <v>#N/A</v>
      </c>
      <c r="AA230" s="57"/>
      <c r="AB230" s="41" t="n">
        <f aca="false">IFERROR(__xludf.dummyfunction("""COMPUTED_VALUE"""),8)</f>
        <v>8</v>
      </c>
      <c r="AC230" s="57" t="str">
        <f aca="false">IFERROR(__xludf.dummyfunction("""COMPUTED_VALUE"""),"gv.ngocvk@hocmai.edu.vn")</f>
        <v>gv.ngocvk@hocmai.edu.vn</v>
      </c>
      <c r="AD230" s="46" t="str">
        <f aca="false">IFERROR(__xludf.dummyfunction("""COMPUTED_VALUE"""),"duckien010607@gmail.com")</f>
        <v>duckien010607@gmail.com</v>
      </c>
      <c r="AE230" s="46"/>
      <c r="AF230" s="47" t="str">
        <f aca="false">IFERROR(__xludf.dummyfunction("""COMPUTED_VALUE"""),"lophoctoan-946237")</f>
        <v>lophoctoan-946237</v>
      </c>
      <c r="AG230" s="46" t="str">
        <f aca="false">IFERROR(__xludf.dummyfunction("""COMPUTED_VALUE"""),"")</f>
        <v/>
      </c>
      <c r="AH230" s="35"/>
      <c r="AI230" s="53" t="b">
        <f aca="false">IFERROR(__xludf.dummyfunction("""COMPUTED_VALUE"""),TRUE())</f>
        <v>1</v>
      </c>
      <c r="AJ230" s="35"/>
      <c r="AK230" s="35"/>
      <c r="AL230" s="35"/>
      <c r="AM230" s="35"/>
      <c r="AN230" s="35"/>
      <c r="AO230" s="46"/>
    </row>
    <row r="231" customFormat="false" ht="15.75" hidden="false" customHeight="true" outlineLevel="0" collapsed="false">
      <c r="A231" s="37" t="str">
        <f aca="false">IFERROR(__xludf.dummyfunction("""COMPUTED_VALUE"""),"Tiếng Anh")</f>
        <v>Tiếng Anh</v>
      </c>
      <c r="B231" s="37" t="str">
        <f aca="false">IFERROR(__xludf.dummyfunction("""COMPUTED_VALUE"""),"TOV_HV_TA08")</f>
        <v>TOV_HV_TA08</v>
      </c>
      <c r="C231" s="59" t="str">
        <f aca="false">IFERROR(__xludf.dummyfunction("""COMPUTED_VALUE"""),"Tăng cường từ vựng")</f>
        <v>Tăng cường từ vựng</v>
      </c>
      <c r="D231" s="39" t="str">
        <f aca="false">IFERROR(__xludf.dummyfunction("""COMPUTED_VALUE"""),"Nguyễn Thanh Hương")</f>
        <v>Nguyễn Thanh Hương</v>
      </c>
      <c r="E231" s="40" t="n">
        <f aca="false">IFERROR(__xludf.dummyfunction("""COMPUTED_VALUE"""),46237)</f>
        <v>46237</v>
      </c>
      <c r="F231" s="41" t="n">
        <f aca="false">IFERROR(__xludf.dummyfunction("""COMPUTED_VALUE"""),2)</f>
        <v>2</v>
      </c>
      <c r="G231" s="37" t="str">
        <f aca="false">IFERROR(__xludf.dummyfunction("""COMPUTED_VALUE"""),"20:00-22:00")</f>
        <v>20:00-22:00</v>
      </c>
      <c r="H231" s="37"/>
      <c r="I231" s="37"/>
      <c r="J231" s="42" t="str">
        <f aca="false">IFERROR(__xludf.dummyfunction("""COMPUTED_VALUE"""),"https://drive.google.com/file/d/1dqfPeUX2W8lpOfiVSDUajIhYDsP-DpGl/view?usp=drive_link")</f>
        <v>https://drive.google.com/file/d/1dqfPeUX2W8lpOfiVSDUajIhYDsP-DpGl/view?usp=drive_link</v>
      </c>
      <c r="K231" s="68" t="str">
        <f aca="false">IFERROR(__xludf.dummyfunction("""COMPUTED_VALUE"""),"huyennn2")</f>
        <v>huyennn2</v>
      </c>
      <c r="L231" s="68" t="str">
        <f aca="false">IFERROR(__xludf.dummyfunction("""COMPUTED_VALUE"""),"Nguyễn Lê Thụy Quyên ")</f>
        <v>Nguyễn Lê Thụy Quyên </v>
      </c>
      <c r="M231" s="71"/>
      <c r="N231" s="77" t="str">
        <f aca="false">IFERROR(__xludf.dummyfunction("""COMPUTED_VALUE"""),"3140,3165,3339")</f>
        <v>3140,3165,3339</v>
      </c>
      <c r="O231" s="73" t="str">
        <f aca="false">IFERROR(__xludf.dummyfunction("""COMPUTED_VALUE"""),"167544,167612,167636")</f>
        <v>167544,167612,167636</v>
      </c>
      <c r="P231" s="63" t="str">
        <f aca="false">IFERROR(__xludf.dummyfunction("""COMPUTED_VALUE"""),"9030,9038,9047,9119")</f>
        <v>9030,9038,9047,9119</v>
      </c>
      <c r="Q231" s="63"/>
      <c r="R231" s="41"/>
      <c r="S231" s="41"/>
      <c r="T231" s="63"/>
      <c r="U231" s="63"/>
      <c r="V231" s="70" t="n">
        <f aca="false">IFERROR(__xludf.dummyfunction("""COMPUTED_VALUE"""),46240)</f>
        <v>46240</v>
      </c>
      <c r="W231" s="39" t="str">
        <f aca="false">IFERROR(__xludf.dummyfunction("""COMPUTED_VALUE"""),"Hoàn thành BT sau live")</f>
        <v>Hoàn thành BT sau live</v>
      </c>
      <c r="X231" s="41" t="str">
        <f aca="false">IFERROR(__xludf.dummyfunction("""COMPUTED_VALUE"""),"huyennn2")</f>
        <v>huyennn2</v>
      </c>
      <c r="Y231" s="44" t="str">
        <f aca="false">IFERROR(__xludf.dummyfunction("""COMPUTED_VALUE"""),"done")</f>
        <v>done</v>
      </c>
      <c r="Z231" s="57" t="str">
        <f aca="false">IFERROR(__xludf.dummyfunction("""COMPUTED_VALUE"""),"#N/A")</f>
        <v>#N/A</v>
      </c>
      <c r="AA231" s="57"/>
      <c r="AB231" s="41" t="n">
        <f aca="false">IFERROR(__xludf.dummyfunction("""COMPUTED_VALUE"""),8)</f>
        <v>8</v>
      </c>
      <c r="AC231" s="57" t="str">
        <f aca="false">IFERROR(__xludf.dummyfunction("""COMPUTED_VALUE"""),"gv.huongnt@hocmai.edu.vn ")</f>
        <v>gv.huongnt@hocmai.edu.vn </v>
      </c>
      <c r="AD231" s="46" t="str">
        <f aca="false">IFERROR(__xludf.dummyfunction("""COMPUTED_VALUE"""),"nguyenlethuyquyencp@gmail.com")</f>
        <v>nguyenlethuyquyencp@gmail.com</v>
      </c>
      <c r="AE231" s="46"/>
      <c r="AF231" s="47" t="str">
        <f aca="false">IFERROR(__xludf.dummyfunction("""COMPUTED_VALUE"""),"lophoctienganh46237")</f>
        <v>lophoctienganh46237</v>
      </c>
      <c r="AG231" s="46" t="str">
        <f aca="false">IFERROR(__xludf.dummyfunction("""COMPUTED_VALUE"""),"")</f>
        <v/>
      </c>
      <c r="AH231" s="35"/>
      <c r="AI231" s="35"/>
      <c r="AJ231" s="53" t="b">
        <f aca="false">IFERROR(__xludf.dummyfunction("""COMPUTED_VALUE"""),TRUE())</f>
        <v>1</v>
      </c>
      <c r="AK231" s="53" t="b">
        <f aca="false">IFERROR(__xludf.dummyfunction("""COMPUTED_VALUE"""),TRUE())</f>
        <v>1</v>
      </c>
      <c r="AL231" s="35"/>
      <c r="AM231" s="53" t="b">
        <f aca="false">IFERROR(__xludf.dummyfunction("""COMPUTED_VALUE"""),TRUE())</f>
        <v>1</v>
      </c>
      <c r="AN231" s="53" t="b">
        <f aca="false">IFERROR(__xludf.dummyfunction("""COMPUTED_VALUE"""),TRUE())</f>
        <v>1</v>
      </c>
      <c r="AO231" s="46"/>
    </row>
    <row r="232" customFormat="false" ht="15.75" hidden="false" customHeight="true" outlineLevel="0" collapsed="false">
      <c r="A232" s="37" t="str">
        <f aca="false">IFERROR(__xludf.dummyfunction("""COMPUTED_VALUE"""),"Hóa học")</f>
        <v>Hóa học</v>
      </c>
      <c r="B232" s="37" t="str">
        <f aca="false">IFERROR(__xludf.dummyfunction("""COMPUTED_VALUE"""),"TOV_HSA_HH08")</f>
        <v>TOV_HSA_HH08</v>
      </c>
      <c r="C232" s="59" t="str">
        <f aca="false">IFERROR(__xludf.dummyfunction("""COMPUTED_VALUE"""),"Đại cương hoá  học hữu cơ – phổ IR/MS – hydrocarbon")</f>
        <v>Đại cương hoá  học hữu cơ – phổ IR/MS – hydrocarbon</v>
      </c>
      <c r="D232" s="39" t="str">
        <f aca="false">IFERROR(__xludf.dummyfunction("""COMPUTED_VALUE"""),"Chu Hải Long")</f>
        <v>Chu Hải Long</v>
      </c>
      <c r="E232" s="40" t="n">
        <f aca="false">IFERROR(__xludf.dummyfunction("""COMPUTED_VALUE"""),46237)</f>
        <v>46237</v>
      </c>
      <c r="F232" s="41" t="n">
        <f aca="false">IFERROR(__xludf.dummyfunction("""COMPUTED_VALUE"""),2)</f>
        <v>2</v>
      </c>
      <c r="G232" s="37" t="str">
        <f aca="false">IFERROR(__xludf.dummyfunction("""COMPUTED_VALUE"""),"19:45-21:45")</f>
        <v>19:45-21:45</v>
      </c>
      <c r="H232" s="42" t="str">
        <f aca="false">IFERROR(__xludf.dummyfunction("""COMPUTED_VALUE"""),"https://hocmai.vn/mod/scorm/view_file.php?id=183729")</f>
        <v>https://hocmai.vn/mod/scorm/view_file.php?id=183729</v>
      </c>
      <c r="I232" s="42" t="str">
        <f aca="false">IFERROR(__xludf.dummyfunction("""COMPUTED_VALUE"""),"https://hocmai.vn/mod/scorm/view_file.php?id=183736")</f>
        <v>https://hocmai.vn/mod/scorm/view_file.php?id=183736</v>
      </c>
      <c r="J232" s="42" t="str">
        <f aca="false">IFERROR(__xludf.dummyfunction("""COMPUTED_VALUE"""),"8. TOV_HSA_HH08 – ĐẠI CƯƠNG HÓA HỌC HỮU CƠ – PHỔ IR MS – HYDROCARBON")</f>
        <v>8. TOV_HSA_HH08 – ĐẠI CƯƠNG HÓA HỌC HỮU CƠ – PHỔ IR MS – HYDROCARBON</v>
      </c>
      <c r="K232" s="68" t="str">
        <f aca="false">IFERROR(__xludf.dummyfunction("""COMPUTED_VALUE"""),"Huebt")</f>
        <v>Huebt</v>
      </c>
      <c r="L232" s="68" t="str">
        <f aca="false">IFERROR(__xludf.dummyfunction("""COMPUTED_VALUE"""),"Võ Hương Giang")</f>
        <v>Võ Hương Giang</v>
      </c>
      <c r="M232" s="71"/>
      <c r="N232" s="77" t="str">
        <f aca="false">IFERROR(__xludf.dummyfunction("""COMPUTED_VALUE"""),"3120")</f>
        <v>3120</v>
      </c>
      <c r="O232" s="63" t="n">
        <f aca="false">IFERROR(__xludf.dummyfunction("""COMPUTED_VALUE"""),167432)</f>
        <v>167432</v>
      </c>
      <c r="P232" s="63"/>
      <c r="Q232" s="63"/>
      <c r="R232" s="41"/>
      <c r="S232" s="41"/>
      <c r="T232" s="63" t="n">
        <f aca="false">IFERROR(__xludf.dummyfunction("""COMPUTED_VALUE"""),24150)</f>
        <v>24150</v>
      </c>
      <c r="U232" s="63" t="n">
        <f aca="false">IFERROR(__xludf.dummyfunction("""COMPUTED_VALUE"""),10485)</f>
        <v>10485</v>
      </c>
      <c r="V232" s="70" t="n">
        <f aca="false">IFERROR(__xludf.dummyfunction("""COMPUTED_VALUE"""),46240)</f>
        <v>46240</v>
      </c>
      <c r="W232" s="39" t="str">
        <f aca="false">IFERROR(__xludf.dummyfunction("""COMPUTED_VALUE"""),"Hoàn thành BT sau live")</f>
        <v>Hoàn thành BT sau live</v>
      </c>
      <c r="X232" s="41" t="str">
        <f aca="false">IFERROR(__xludf.dummyfunction("""COMPUTED_VALUE"""),"Huebt")</f>
        <v>Huebt</v>
      </c>
      <c r="Y232" s="44" t="str">
        <f aca="false">IFERROR(__xludf.dummyfunction("""COMPUTED_VALUE"""),"done")</f>
        <v>done</v>
      </c>
      <c r="Z232" s="57" t="str">
        <f aca="false">IFERROR(__xludf.dummyfunction("""COMPUTED_VALUE"""),"#N/A")</f>
        <v>#N/A</v>
      </c>
      <c r="AA232" s="57"/>
      <c r="AB232" s="41" t="n">
        <f aca="false">IFERROR(__xludf.dummyfunction("""COMPUTED_VALUE"""),8)</f>
        <v>8</v>
      </c>
      <c r="AC232" s="57" t="str">
        <f aca="false">IFERROR(__xludf.dummyfunction("""COMPUTED_VALUE"""),"gv.longch@hocmai.edu.vn")</f>
        <v>gv.longch@hocmai.edu.vn</v>
      </c>
      <c r="AD232" s="46" t="str">
        <f aca="false">IFERROR(__xludf.dummyfunction("""COMPUTED_VALUE"""),"giangvh@ctv.hocmai.vn")</f>
        <v>giangvh@ctv.hocmai.vn</v>
      </c>
      <c r="AE232" s="46"/>
      <c r="AF232" s="74" t="b">
        <f aca="false">IFERROR(__xludf.dummyfunction("""COMPUTED_VALUE"""),FALSE())</f>
        <v>0</v>
      </c>
      <c r="AG232" s="46" t="str">
        <f aca="false">IFERROR(__xludf.dummyfunction("""COMPUTED_VALUE"""),"")</f>
        <v/>
      </c>
      <c r="AH232" s="35"/>
      <c r="AI232" s="35"/>
      <c r="AJ232" s="53" t="b">
        <f aca="false">IFERROR(__xludf.dummyfunction("""COMPUTED_VALUE"""),TRUE())</f>
        <v>1</v>
      </c>
      <c r="AK232" s="53" t="b">
        <f aca="false">IFERROR(__xludf.dummyfunction("""COMPUTED_VALUE"""),TRUE())</f>
        <v>1</v>
      </c>
      <c r="AL232" s="35"/>
      <c r="AM232" s="35"/>
      <c r="AN232" s="35"/>
      <c r="AO232" s="46"/>
    </row>
    <row r="233" customFormat="false" ht="15.75" hidden="false" customHeight="true" outlineLevel="0" collapsed="false">
      <c r="A233" s="37" t="str">
        <f aca="false">IFERROR(__xludf.dummyfunction("""COMPUTED_VALUE"""),"Thực chiến Tiếng Anh")</f>
        <v>Thực chiến Tiếng Anh</v>
      </c>
      <c r="B233" s="37" t="str">
        <f aca="false">IFERROR(__xludf.dummyfunction("""COMPUTED_VALUE"""),"TC_HSA_TA_04")</f>
        <v>TC_HSA_TA_04</v>
      </c>
      <c r="C233" s="59" t="str">
        <f aca="false">IFERROR(__xludf.dummyfunction("""COMPUTED_VALUE"""),"[Bổ trợ]_Chữa bài tập _Tiếng Anh số 04")</f>
        <v>[Bổ trợ]_Chữa bài tập _Tiếng Anh số 04</v>
      </c>
      <c r="D233" s="39" t="str">
        <f aca="false">IFERROR(__xludf.dummyfunction("""COMPUTED_VALUE"""),"Trần Đức Lương")</f>
        <v>Trần Đức Lương</v>
      </c>
      <c r="E233" s="40" t="n">
        <f aca="false">IFERROR(__xludf.dummyfunction("""COMPUTED_VALUE"""),46237)</f>
        <v>46237</v>
      </c>
      <c r="F233" s="41" t="n">
        <f aca="false">IFERROR(__xludf.dummyfunction("""COMPUTED_VALUE"""),2)</f>
        <v>2</v>
      </c>
      <c r="G233" s="37" t="str">
        <f aca="false">IFERROR(__xludf.dummyfunction("""COMPUTED_VALUE"""),"18:00-19:00")</f>
        <v>18:00-19:00</v>
      </c>
      <c r="H233" s="37"/>
      <c r="I233" s="37"/>
      <c r="J233" s="42" t="str">
        <f aca="false">IFERROR(__xludf.dummyfunction("""COMPUTED_VALUE"""),"https://drive.google.com/drive/folders/1Zy0iMHeJPpll-PyZEzvXN-1Old4CVjbE?usp=drive_link")</f>
        <v>https://drive.google.com/drive/folders/1Zy0iMHeJPpll-PyZEzvXN-1Old4CVjbE?usp=drive_link</v>
      </c>
      <c r="K233" s="68" t="str">
        <f aca="false">IFERROR(__xludf.dummyfunction("""COMPUTED_VALUE"""),"Huyenn2")</f>
        <v>Huyenn2</v>
      </c>
      <c r="L233" s="68" t="str">
        <f aca="false">IFERROR(__xludf.dummyfunction("""COMPUTED_VALUE"""),"HOCMAI")</f>
        <v>HOCMAI</v>
      </c>
      <c r="M233" s="71"/>
      <c r="N233" s="77" t="str">
        <f aca="false">IFERROR(__xludf.dummyfunction("""COMPUTED_VALUE"""),"3140")</f>
        <v>3140</v>
      </c>
      <c r="O233" s="63" t="n">
        <f aca="false">IFERROR(__xludf.dummyfunction("""COMPUTED_VALUE"""),176142)</f>
        <v>176142</v>
      </c>
      <c r="P233" s="60" t="str">
        <f aca="false">IFERROR(__xludf.dummyfunction("""COMPUTED_VALUE"""),"https://hocmai.vn/bai-giang-truc-tuyen/176142/.html")</f>
        <v>https://hocmai.vn/bai-giang-truc-tuyen/176142/.html</v>
      </c>
      <c r="Q233" s="63"/>
      <c r="R233" s="41"/>
      <c r="S233" s="41"/>
      <c r="T233" s="63"/>
      <c r="U233" s="63"/>
      <c r="V233" s="70" t="n">
        <f aca="false">IFERROR(__xludf.dummyfunction("""COMPUTED_VALUE"""),46240)</f>
        <v>46240</v>
      </c>
      <c r="W233" s="39" t="str">
        <f aca="false">IFERROR(__xludf.dummyfunction("""COMPUTED_VALUE"""),"Hoàn thành TL live")</f>
        <v>Hoàn thành TL live</v>
      </c>
      <c r="X233" s="41" t="str">
        <f aca="false">IFERROR(__xludf.dummyfunction("""COMPUTED_VALUE"""),"Vuta")</f>
        <v>Vuta</v>
      </c>
      <c r="Y233" s="44"/>
      <c r="Z233" s="57"/>
      <c r="AA233" s="57"/>
      <c r="AB233" s="41" t="n">
        <f aca="false">IFERROR(__xludf.dummyfunction("""COMPUTED_VALUE"""),8)</f>
        <v>8</v>
      </c>
      <c r="AC233" s="57" t="str">
        <f aca="false">IFERROR(__xludf.dummyfunction("""COMPUTED_VALUE"""),"ss.hsa01@ctv.hocmai.vn")</f>
        <v>ss.hsa01@ctv.hocmai.vn</v>
      </c>
      <c r="AD233" s="46"/>
      <c r="AE233" s="46"/>
      <c r="AF233" s="47"/>
      <c r="AG233" s="46"/>
      <c r="AH233" s="53" t="b">
        <f aca="false">IFERROR(__xludf.dummyfunction("""COMPUTED_VALUE"""),FALSE())</f>
        <v>0</v>
      </c>
      <c r="AI233" s="53" t="b">
        <f aca="false">IFERROR(__xludf.dummyfunction("""COMPUTED_VALUE"""),FALSE())</f>
        <v>0</v>
      </c>
      <c r="AJ233" s="53" t="b">
        <f aca="false">IFERROR(__xludf.dummyfunction("""COMPUTED_VALUE"""),TRUE())</f>
        <v>1</v>
      </c>
      <c r="AK233" s="53" t="b">
        <f aca="false">IFERROR(__xludf.dummyfunction("""COMPUTED_VALUE"""),TRUE())</f>
        <v>1</v>
      </c>
      <c r="AL233" s="53" t="b">
        <f aca="false">IFERROR(__xludf.dummyfunction("""COMPUTED_VALUE"""),FALSE())</f>
        <v>0</v>
      </c>
      <c r="AM233" s="53" t="b">
        <f aca="false">IFERROR(__xludf.dummyfunction("""COMPUTED_VALUE"""),FALSE())</f>
        <v>0</v>
      </c>
      <c r="AN233" s="53" t="b">
        <f aca="false">IFERROR(__xludf.dummyfunction("""COMPUTED_VALUE"""),FALSE())</f>
        <v>0</v>
      </c>
      <c r="AO233" s="46"/>
    </row>
    <row r="234" customFormat="false" ht="15.75" hidden="false" customHeight="true" outlineLevel="0" collapsed="false">
      <c r="A234" s="37" t="str">
        <f aca="false">IFERROR(__xludf.dummyfunction("""COMPUTED_VALUE"""),"Thực chiến Vật lí")</f>
        <v>Thực chiến Vật lí</v>
      </c>
      <c r="B234" s="37" t="str">
        <f aca="false">IFERROR(__xludf.dummyfunction("""COMPUTED_VALUE"""),"TC_HSA_KH_04")</f>
        <v>TC_HSA_KH_04</v>
      </c>
      <c r="C234" s="59" t="str">
        <f aca="false">IFERROR(__xludf.dummyfunction("""COMPUTED_VALUE"""),"[Bổ trợ]_Chữa bài tập _Vật lí số 04")</f>
        <v>[Bổ trợ]_Chữa bài tập _Vật lí số 04</v>
      </c>
      <c r="D234" s="39" t="str">
        <f aca="false">IFERROR(__xludf.dummyfunction("""COMPUTED_VALUE"""),"Phạm Nguyễn Thủy Hoa")</f>
        <v>Phạm Nguyễn Thủy Hoa</v>
      </c>
      <c r="E234" s="40" t="n">
        <f aca="false">IFERROR(__xludf.dummyfunction("""COMPUTED_VALUE"""),46237)</f>
        <v>46237</v>
      </c>
      <c r="F234" s="41" t="n">
        <f aca="false">IFERROR(__xludf.dummyfunction("""COMPUTED_VALUE"""),2)</f>
        <v>2</v>
      </c>
      <c r="G234" s="37" t="str">
        <f aca="false">IFERROR(__xludf.dummyfunction("""COMPUTED_VALUE"""),"22:00-23:00")</f>
        <v>22:00-23:00</v>
      </c>
      <c r="H234" s="37"/>
      <c r="I234" s="37"/>
      <c r="J234" s="42" t="str">
        <f aca="false">IFERROR(__xludf.dummyfunction("""COMPUTED_VALUE"""),"https://drive.google.com/drive/folders/1LhwXcUmvGcdFCndI9WfOwfT-siVGjjsB?usp=drive_link")</f>
        <v>https://drive.google.com/drive/folders/1LhwXcUmvGcdFCndI9WfOwfT-siVGjjsB?usp=drive_link</v>
      </c>
      <c r="K234" s="68" t="str">
        <f aca="false">IFERROR(__xludf.dummyfunction("""COMPUTED_VALUE"""),"Trangnth2")</f>
        <v>Trangnth2</v>
      </c>
      <c r="L234" s="68" t="str">
        <f aca="false">IFERROR(__xludf.dummyfunction("""COMPUTED_VALUE"""),"HOCMAI")</f>
        <v>HOCMAI</v>
      </c>
      <c r="M234" s="71"/>
      <c r="N234" s="77" t="str">
        <f aca="false">IFERROR(__xludf.dummyfunction("""COMPUTED_VALUE"""),"3119")</f>
        <v>3119</v>
      </c>
      <c r="O234" s="63" t="n">
        <f aca="false">IFERROR(__xludf.dummyfunction("""COMPUTED_VALUE"""),176147)</f>
        <v>176147</v>
      </c>
      <c r="P234" s="60" t="str">
        <f aca="false">IFERROR(__xludf.dummyfunction("""COMPUTED_VALUE"""),"https://hocmai.vn/bai-giang-truc-tuyen/176147/.html")</f>
        <v>https://hocmai.vn/bai-giang-truc-tuyen/176147/.html</v>
      </c>
      <c r="Q234" s="63"/>
      <c r="R234" s="41"/>
      <c r="S234" s="41"/>
      <c r="T234" s="63"/>
      <c r="U234" s="63"/>
      <c r="V234" s="70" t="n">
        <f aca="false">IFERROR(__xludf.dummyfunction("""COMPUTED_VALUE"""),46240)</f>
        <v>46240</v>
      </c>
      <c r="W234" s="39" t="str">
        <f aca="false">IFERROR(__xludf.dummyfunction("""COMPUTED_VALUE"""),"Hoàn thành TL live")</f>
        <v>Hoàn thành TL live</v>
      </c>
      <c r="X234" s="41" t="str">
        <f aca="false">IFERROR(__xludf.dummyfunction("""COMPUTED_VALUE"""),"Vuta")</f>
        <v>Vuta</v>
      </c>
      <c r="Y234" s="44"/>
      <c r="Z234" s="57"/>
      <c r="AA234" s="57"/>
      <c r="AB234" s="41" t="n">
        <f aca="false">IFERROR(__xludf.dummyfunction("""COMPUTED_VALUE"""),8)</f>
        <v>8</v>
      </c>
      <c r="AC234" s="57" t="str">
        <f aca="false">IFERROR(__xludf.dummyfunction("""COMPUTED_VALUE"""),"phamthuyhoa2008@gmail.com")</f>
        <v>phamthuyhoa2008@gmail.com</v>
      </c>
      <c r="AD234" s="46"/>
      <c r="AE234" s="46"/>
      <c r="AF234" s="47"/>
      <c r="AG234" s="46"/>
      <c r="AH234" s="53" t="b">
        <f aca="false">IFERROR(__xludf.dummyfunction("""COMPUTED_VALUE"""),FALSE())</f>
        <v>0</v>
      </c>
      <c r="AI234" s="53" t="b">
        <f aca="false">IFERROR(__xludf.dummyfunction("""COMPUTED_VALUE"""),FALSE())</f>
        <v>0</v>
      </c>
      <c r="AJ234" s="53" t="b">
        <f aca="false">IFERROR(__xludf.dummyfunction("""COMPUTED_VALUE"""),TRUE())</f>
        <v>1</v>
      </c>
      <c r="AK234" s="53" t="b">
        <f aca="false">IFERROR(__xludf.dummyfunction("""COMPUTED_VALUE"""),TRUE())</f>
        <v>1</v>
      </c>
      <c r="AL234" s="53" t="b">
        <f aca="false">IFERROR(__xludf.dummyfunction("""COMPUTED_VALUE"""),FALSE())</f>
        <v>0</v>
      </c>
      <c r="AM234" s="53" t="b">
        <f aca="false">IFERROR(__xludf.dummyfunction("""COMPUTED_VALUE"""),FALSE())</f>
        <v>0</v>
      </c>
      <c r="AN234" s="53" t="b">
        <f aca="false">IFERROR(__xludf.dummyfunction("""COMPUTED_VALUE"""),FALSE())</f>
        <v>0</v>
      </c>
      <c r="AO234" s="46"/>
    </row>
    <row r="235" customFormat="false" ht="15.75" hidden="false" customHeight="true" outlineLevel="0" collapsed="false">
      <c r="A235" s="37" t="str">
        <f aca="false">IFERROR(__xludf.dummyfunction("""COMPUTED_VALUE"""),"Thực chiến Toán")</f>
        <v>Thực chiến Toán</v>
      </c>
      <c r="B235" s="37" t="str">
        <f aca="false">IFERROR(__xludf.dummyfunction("""COMPUTED_VALUE"""),"TC_V-ACT_T_09")</f>
        <v>TC_V-ACT_T_09</v>
      </c>
      <c r="C235" s="59" t="str">
        <f aca="false">IFERROR(__xludf.dummyfunction("""COMPUTED_VALUE"""),"[Bổ trợ]_Chữa bài tập_V-ACT_Toán số 09")</f>
        <v>[Bổ trợ]_Chữa bài tập_V-ACT_Toán số 09</v>
      </c>
      <c r="D235" s="39" t="str">
        <f aca="false">IFERROR(__xludf.dummyfunction("""COMPUTED_VALUE"""),"Lê Thế Anh")</f>
        <v>Lê Thế Anh</v>
      </c>
      <c r="E235" s="40" t="n">
        <f aca="false">IFERROR(__xludf.dummyfunction("""COMPUTED_VALUE"""),46237)</f>
        <v>46237</v>
      </c>
      <c r="F235" s="41" t="n">
        <f aca="false">IFERROR(__xludf.dummyfunction("""COMPUTED_VALUE"""),2)</f>
        <v>2</v>
      </c>
      <c r="G235" s="37" t="str">
        <f aca="false">IFERROR(__xludf.dummyfunction("""COMPUTED_VALUE"""),"18:45-19:45")</f>
        <v>18:45-19:45</v>
      </c>
      <c r="H235" s="37"/>
      <c r="I235" s="37"/>
      <c r="J235" s="42" t="str">
        <f aca="false">IFERROR(__xludf.dummyfunction("""COMPUTED_VALUE"""),"https://drive.google.com/drive/folders/14BkLsfNOlI2nD4aFErOTeVt2ArFN4Rao?usp=sharing")</f>
        <v>https://drive.google.com/drive/folders/14BkLsfNOlI2nD4aFErOTeVt2ArFN4Rao?usp=sharing</v>
      </c>
      <c r="K235" s="68" t="str">
        <f aca="false">IFERROR(__xludf.dummyfunction("""COMPUTED_VALUE"""),"lent")</f>
        <v>lent</v>
      </c>
      <c r="L235" s="68" t="str">
        <f aca="false">IFERROR(__xludf.dummyfunction("""COMPUTED_VALUE"""),"HOCMAI")</f>
        <v>HOCMAI</v>
      </c>
      <c r="M235" s="71"/>
      <c r="N235" s="77" t="str">
        <f aca="false">IFERROR(__xludf.dummyfunction("""COMPUTED_VALUE"""),"3124")</f>
        <v>3124</v>
      </c>
      <c r="O235" s="63" t="n">
        <f aca="false">IFERROR(__xludf.dummyfunction("""COMPUTED_VALUE"""),176086)</f>
        <v>176086</v>
      </c>
      <c r="P235" s="60" t="str">
        <f aca="false">IFERROR(__xludf.dummyfunction("""COMPUTED_VALUE"""),"https://hocmai.vn/bai-giang-truc-tuyen/176086/.html")</f>
        <v>https://hocmai.vn/bai-giang-truc-tuyen/176086/.html</v>
      </c>
      <c r="Q235" s="63"/>
      <c r="R235" s="41"/>
      <c r="S235" s="41"/>
      <c r="T235" s="63"/>
      <c r="U235" s="63"/>
      <c r="V235" s="70" t="n">
        <f aca="false">IFERROR(__xludf.dummyfunction("""COMPUTED_VALUE"""),46240)</f>
        <v>46240</v>
      </c>
      <c r="W235" s="39" t="str">
        <f aca="false">IFERROR(__xludf.dummyfunction("""COMPUTED_VALUE"""),"Hoàn thành TL live")</f>
        <v>Hoàn thành TL live</v>
      </c>
      <c r="X235" s="41" t="str">
        <f aca="false">IFERROR(__xludf.dummyfunction("""COMPUTED_VALUE"""),"Vuta")</f>
        <v>Vuta</v>
      </c>
      <c r="Y235" s="44"/>
      <c r="Z235" s="57"/>
      <c r="AA235" s="57"/>
      <c r="AB235" s="41" t="n">
        <f aca="false">IFERROR(__xludf.dummyfunction("""COMPUTED_VALUE"""),8)</f>
        <v>8</v>
      </c>
      <c r="AC235" s="57" t="str">
        <f aca="false">IFERROR(__xludf.dummyfunction("""COMPUTED_VALUE"""),"ss.vact01@ctv.hocmai.vn")</f>
        <v>ss.vact01@ctv.hocmai.vn</v>
      </c>
      <c r="AD235" s="46"/>
      <c r="AE235" s="46"/>
      <c r="AF235" s="47"/>
      <c r="AG235" s="46"/>
      <c r="AH235" s="53" t="b">
        <f aca="false">IFERROR(__xludf.dummyfunction("""COMPUTED_VALUE"""),FALSE())</f>
        <v>0</v>
      </c>
      <c r="AI235" s="53" t="b">
        <f aca="false">IFERROR(__xludf.dummyfunction("""COMPUTED_VALUE"""),FALSE())</f>
        <v>0</v>
      </c>
      <c r="AJ235" s="53" t="b">
        <f aca="false">IFERROR(__xludf.dummyfunction("""COMPUTED_VALUE"""),FALSE())</f>
        <v>0</v>
      </c>
      <c r="AK235" s="53" t="b">
        <f aca="false">IFERROR(__xludf.dummyfunction("""COMPUTED_VALUE"""),FALSE())</f>
        <v>0</v>
      </c>
      <c r="AL235" s="53" t="b">
        <f aca="false">IFERROR(__xludf.dummyfunction("""COMPUTED_VALUE"""),FALSE())</f>
        <v>0</v>
      </c>
      <c r="AM235" s="53" t="b">
        <f aca="false">IFERROR(__xludf.dummyfunction("""COMPUTED_VALUE"""),TRUE())</f>
        <v>1</v>
      </c>
      <c r="AN235" s="53" t="b">
        <f aca="false">IFERROR(__xludf.dummyfunction("""COMPUTED_VALUE"""),TRUE())</f>
        <v>1</v>
      </c>
      <c r="AO235" s="46"/>
    </row>
    <row r="236" customFormat="false" ht="15.75" hidden="false" customHeight="true" outlineLevel="0" collapsed="false">
      <c r="A236" s="37" t="str">
        <f aca="false">IFERROR(__xludf.dummyfunction("""COMPUTED_VALUE"""),"Toán")</f>
        <v>Toán</v>
      </c>
      <c r="B236" s="37" t="str">
        <f aca="false">IFERROR(__xludf.dummyfunction("""COMPUTED_VALUE"""),"TOV_TC_T08")</f>
        <v>TOV_TC_T08</v>
      </c>
      <c r="C236" s="59" t="str">
        <f aca="false">IFERROR(__xludf.dummyfunction("""COMPUTED_VALUE"""),"Các bài toán đếm liên quan tới tìm số")</f>
        <v>Các bài toán đếm liên quan tới tìm số</v>
      </c>
      <c r="D236" s="39" t="str">
        <f aca="false">IFERROR(__xludf.dummyfunction("""COMPUTED_VALUE"""),"Nguyễn Thanh Tùng")</f>
        <v>Nguyễn Thanh Tùng</v>
      </c>
      <c r="E236" s="40" t="n">
        <f aca="false">IFERROR(__xludf.dummyfunction("""COMPUTED_VALUE"""),46238)</f>
        <v>46238</v>
      </c>
      <c r="F236" s="41" t="n">
        <f aca="false">IFERROR(__xludf.dummyfunction("""COMPUTED_VALUE"""),3)</f>
        <v>3</v>
      </c>
      <c r="G236" s="37" t="str">
        <f aca="false">IFERROR(__xludf.dummyfunction("""COMPUTED_VALUE"""),"21:00-23:00")</f>
        <v>21:00-23:00</v>
      </c>
      <c r="H236" s="37"/>
      <c r="I236" s="37"/>
      <c r="J236" s="37"/>
      <c r="K236" s="68" t="str">
        <f aca="false">IFERROR(__xludf.dummyfunction("""COMPUTED_VALUE"""),"Lent")</f>
        <v>Lent</v>
      </c>
      <c r="L236" s="68" t="str">
        <f aca="false">IFERROR(__xludf.dummyfunction("""COMPUTED_VALUE"""),"Tưởng Thị Huyền Trang")</f>
        <v>Tưởng Thị Huyền Trang</v>
      </c>
      <c r="M236" s="71"/>
      <c r="N236" s="77" t="str">
        <f aca="false">IFERROR(__xludf.dummyfunction("""COMPUTED_VALUE"""),"3108,3117,3315,3127,3314")</f>
        <v>3108,3117,3315,3127,3314</v>
      </c>
      <c r="O236" s="63" t="str">
        <f aca="false">IFERROR(__xludf.dummyfunction("""COMPUTED_VALUE"""),"168369, 168584, 168325, 167466, 167066")</f>
        <v>168369, 168584, 168325, 167466, 167066</v>
      </c>
      <c r="P236" s="63" t="str">
        <f aca="false">IFERROR(__xludf.dummyfunction("""COMPUTED_VALUE"""),"9025,9028,9036,9104,9106,9017,9102")</f>
        <v>9025,9028,9036,9104,9106,9017,9102</v>
      </c>
      <c r="Q236" s="63" t="n">
        <f aca="false">IFERROR(__xludf.dummyfunction("""COMPUTED_VALUE"""),167066)</f>
        <v>167066</v>
      </c>
      <c r="R236" s="41"/>
      <c r="S236" s="41"/>
      <c r="T236" s="63"/>
      <c r="U236" s="63"/>
      <c r="V236" s="70" t="n">
        <f aca="false">IFERROR(__xludf.dummyfunction("""COMPUTED_VALUE"""),46241)</f>
        <v>46241</v>
      </c>
      <c r="W236" s="39"/>
      <c r="X236" s="41" t="str">
        <f aca="false">IFERROR(__xludf.dummyfunction("""COMPUTED_VALUE"""),"Lent")</f>
        <v>Lent</v>
      </c>
      <c r="Y236" s="44" t="str">
        <f aca="false">IFERROR(__xludf.dummyfunction("""COMPUTED_VALUE"""),"done")</f>
        <v>done</v>
      </c>
      <c r="Z236" s="57" t="str">
        <f aca="false">IFERROR(__xludf.dummyfunction("""COMPUTED_VALUE"""),"#N/A")</f>
        <v>#N/A</v>
      </c>
      <c r="AA236" s="57"/>
      <c r="AB236" s="41" t="n">
        <f aca="false">IFERROR(__xludf.dummyfunction("""COMPUTED_VALUE"""),8)</f>
        <v>8</v>
      </c>
      <c r="AC236" s="57" t="str">
        <f aca="false">IFERROR(__xludf.dummyfunction("""COMPUTED_VALUE"""),"gv.tungnt@hocmai.edu.vn ")</f>
        <v>gv.tungnt@hocmai.edu.vn </v>
      </c>
      <c r="AD236" s="46" t="str">
        <f aca="false">IFERROR(__xludf.dummyfunction("""COMPUTED_VALUE"""),"trangcrazy699@gmail.com")</f>
        <v>trangcrazy699@gmail.com</v>
      </c>
      <c r="AE236" s="46"/>
      <c r="AF236" s="47" t="str">
        <f aca="false">IFERROR(__xludf.dummyfunction("""COMPUTED_VALUE"""),"lophoctoan-946238")</f>
        <v>lophoctoan-946238</v>
      </c>
      <c r="AG236" s="46" t="str">
        <f aca="false">IFERROR(__xludf.dummyfunction("""COMPUTED_VALUE"""),"")</f>
        <v/>
      </c>
      <c r="AH236" s="35"/>
      <c r="AI236" s="53" t="b">
        <f aca="false">IFERROR(__xludf.dummyfunction("""COMPUTED_VALUE"""),TRUE())</f>
        <v>1</v>
      </c>
      <c r="AJ236" s="53" t="b">
        <f aca="false">IFERROR(__xludf.dummyfunction("""COMPUTED_VALUE"""),TRUE())</f>
        <v>1</v>
      </c>
      <c r="AK236" s="53" t="b">
        <f aca="false">IFERROR(__xludf.dummyfunction("""COMPUTED_VALUE"""),TRUE())</f>
        <v>1</v>
      </c>
      <c r="AL236" s="53" t="b">
        <f aca="false">IFERROR(__xludf.dummyfunction("""COMPUTED_VALUE"""),TRUE())</f>
        <v>1</v>
      </c>
      <c r="AM236" s="35"/>
      <c r="AN236" s="35"/>
      <c r="AO236" s="46"/>
    </row>
    <row r="237" customFormat="false" ht="15.75" hidden="false" customHeight="true" outlineLevel="0" collapsed="false">
      <c r="A237" s="37" t="str">
        <f aca="false">IFERROR(__xludf.dummyfunction("""COMPUTED_VALUE"""),"Tiếng Việt")</f>
        <v>Tiếng Việt</v>
      </c>
      <c r="B237" s="37" t="str">
        <f aca="false">IFERROR(__xludf.dummyfunction("""COMPUTED_VALUE"""),"TOV_V-ACT_TV06")</f>
        <v>TOV_V-ACT_TV06</v>
      </c>
      <c r="C237" s="59" t="str">
        <f aca="false">IFERROR(__xludf.dummyfunction("""COMPUTED_VALUE"""),"Thơ trữ tình: Đặc trưng và phuơng pháp đọc - hiểu")</f>
        <v>Thơ trữ tình: Đặc trưng và phuơng pháp đọc - hiểu</v>
      </c>
      <c r="D237" s="39" t="str">
        <f aca="false">IFERROR(__xludf.dummyfunction("""COMPUTED_VALUE"""),"Văn Trịnh Quỳnh An")</f>
        <v>Văn Trịnh Quỳnh An</v>
      </c>
      <c r="E237" s="40" t="n">
        <f aca="false">IFERROR(__xludf.dummyfunction("""COMPUTED_VALUE"""),46238)</f>
        <v>46238</v>
      </c>
      <c r="F237" s="41" t="n">
        <f aca="false">IFERROR(__xludf.dummyfunction("""COMPUTED_VALUE"""),3)</f>
        <v>3</v>
      </c>
      <c r="G237" s="37" t="str">
        <f aca="false">IFERROR(__xludf.dummyfunction("""COMPUTED_VALUE"""),"20:00-21:30")</f>
        <v>20:00-21:30</v>
      </c>
      <c r="H237" s="37"/>
      <c r="I237" s="37"/>
      <c r="J237" s="42" t="str">
        <f aca="false">IFERROR(__xludf.dummyfunction("""COMPUTED_VALUE"""),"https://drive.google.com/drive/folders/19eqRAAdOT6hkrK6IOluVNjG3-HcaTLXv?usp=sharing")</f>
        <v>https://drive.google.com/drive/folders/19eqRAAdOT6hkrK6IOluVNjG3-HcaTLXv?usp=sharing</v>
      </c>
      <c r="K237" s="68" t="str">
        <f aca="false">IFERROR(__xludf.dummyfunction("""COMPUTED_VALUE"""),"Hangvt3")</f>
        <v>Hangvt3</v>
      </c>
      <c r="L237" s="68" t="str">
        <f aca="false">IFERROR(__xludf.dummyfunction("""COMPUTED_VALUE"""),"Bùi Vĩnh Thọ")</f>
        <v>Bùi Vĩnh Thọ</v>
      </c>
      <c r="M237" s="71"/>
      <c r="N237" s="77" t="str">
        <f aca="false">IFERROR(__xludf.dummyfunction("""COMPUTED_VALUE"""),"3125,3338")</f>
        <v>3125,3338</v>
      </c>
      <c r="O237" s="73" t="n">
        <f aca="false">IFERROR(__xludf.dummyfunction("""COMPUTED_VALUE"""),167358.174773)</f>
        <v>167358.174773</v>
      </c>
      <c r="P237" s="63" t="n">
        <f aca="false">IFERROR(__xludf.dummyfunction("""COMPUTED_VALUE"""),174773)</f>
        <v>174773</v>
      </c>
      <c r="Q237" s="63"/>
      <c r="R237" s="41"/>
      <c r="S237" s="41"/>
      <c r="T237" s="63"/>
      <c r="U237" s="63"/>
      <c r="V237" s="70" t="n">
        <f aca="false">IFERROR(__xludf.dummyfunction("""COMPUTED_VALUE"""),46241)</f>
        <v>46241</v>
      </c>
      <c r="W237" s="39" t="str">
        <f aca="false">IFERROR(__xludf.dummyfunction("""COMPUTED_VALUE"""),"Hoàn thành TL live")</f>
        <v>Hoàn thành TL live</v>
      </c>
      <c r="X237" s="41" t="str">
        <f aca="false">IFERROR(__xludf.dummyfunction("""COMPUTED_VALUE"""),"Phuongdt")</f>
        <v>Phuongdt</v>
      </c>
      <c r="Y237" s="44" t="str">
        <f aca="false">IFERROR(__xludf.dummyfunction("""COMPUTED_VALUE"""),"done")</f>
        <v>done</v>
      </c>
      <c r="Z237" s="57" t="str">
        <f aca="false">IFERROR(__xludf.dummyfunction("""COMPUTED_VALUE"""),"#N/A")</f>
        <v>#N/A</v>
      </c>
      <c r="AA237" s="57"/>
      <c r="AB237" s="41" t="n">
        <f aca="false">IFERROR(__xludf.dummyfunction("""COMPUTED_VALUE"""),8)</f>
        <v>8</v>
      </c>
      <c r="AC237" s="57" t="str">
        <f aca="false">IFERROR(__xludf.dummyfunction("""COMPUTED_VALUE"""),"gv.anvtq@hocmai.edu.vn ")</f>
        <v>gv.anvtq@hocmai.edu.vn </v>
      </c>
      <c r="AD237" s="46" t="str">
        <f aca="false">IFERROR(__xludf.dummyfunction("""COMPUTED_VALUE"""),"vinhtho0704@gmail.com")</f>
        <v>vinhtho0704@gmail.com</v>
      </c>
      <c r="AE237" s="46"/>
      <c r="AF237" s="74" t="b">
        <f aca="false">IFERROR(__xludf.dummyfunction("""COMPUTED_VALUE"""),FALSE())</f>
        <v>0</v>
      </c>
      <c r="AG237" s="46" t="str">
        <f aca="false">IFERROR(__xludf.dummyfunction("""COMPUTED_VALUE"""),"")</f>
        <v/>
      </c>
      <c r="AH237" s="35"/>
      <c r="AI237" s="35"/>
      <c r="AJ237" s="35"/>
      <c r="AK237" s="35"/>
      <c r="AL237" s="35"/>
      <c r="AM237" s="53" t="b">
        <f aca="false">IFERROR(__xludf.dummyfunction("""COMPUTED_VALUE"""),TRUE())</f>
        <v>1</v>
      </c>
      <c r="AN237" s="53" t="b">
        <f aca="false">IFERROR(__xludf.dummyfunction("""COMPUTED_VALUE"""),TRUE())</f>
        <v>1</v>
      </c>
      <c r="AO237" s="46"/>
    </row>
    <row r="238" customFormat="false" ht="15.75" hidden="false" customHeight="true" outlineLevel="0" collapsed="false">
      <c r="A238" s="37" t="str">
        <f aca="false">IFERROR(__xludf.dummyfunction("""COMPUTED_VALUE"""),"Địa lí")</f>
        <v>Địa lí</v>
      </c>
      <c r="B238" s="37" t="str">
        <f aca="false">IFERROR(__xludf.dummyfunction("""COMPUTED_VALUE"""),"TOV_HSA_ĐL05")</f>
        <v>TOV_HSA_ĐL05</v>
      </c>
      <c r="C238" s="59" t="str">
        <f aca="false">IFERROR(__xludf.dummyfunction("""COMPUTED_VALUE"""),"Địa lí kinh tế – xã hội đại cương (phần 2)")</f>
        <v>Địa lí kinh tế – xã hội đại cương (phần 2)</v>
      </c>
      <c r="D238" s="39" t="str">
        <f aca="false">IFERROR(__xludf.dummyfunction("""COMPUTED_VALUE"""),"Nguyễn Văn Vinh")</f>
        <v>Nguyễn Văn Vinh</v>
      </c>
      <c r="E238" s="40" t="n">
        <f aca="false">IFERROR(__xludf.dummyfunction("""COMPUTED_VALUE"""),46238)</f>
        <v>46238</v>
      </c>
      <c r="F238" s="41" t="n">
        <f aca="false">IFERROR(__xludf.dummyfunction("""COMPUTED_VALUE"""),3)</f>
        <v>3</v>
      </c>
      <c r="G238" s="37" t="str">
        <f aca="false">IFERROR(__xludf.dummyfunction("""COMPUTED_VALUE"""),"18:30-20:30")</f>
        <v>18:30-20:30</v>
      </c>
      <c r="H238" s="37"/>
      <c r="I238" s="37"/>
      <c r="J238" s="37"/>
      <c r="K238" s="68" t="str">
        <f aca="false">IFERROR(__xludf.dummyfunction("""COMPUTED_VALUE"""),"Trinhntt")</f>
        <v>Trinhntt</v>
      </c>
      <c r="L238" s="68" t="str">
        <f aca="false">IFERROR(__xludf.dummyfunction("""COMPUTED_VALUE"""),"Phan Đức Kiên")</f>
        <v>Phan Đức Kiên</v>
      </c>
      <c r="M238" s="71"/>
      <c r="N238" s="77" t="str">
        <f aca="false">IFERROR(__xludf.dummyfunction("""COMPUTED_VALUE"""),"3123")</f>
        <v>3123</v>
      </c>
      <c r="O238" s="63" t="n">
        <f aca="false">IFERROR(__xludf.dummyfunction("""COMPUTED_VALUE"""),174751)</f>
        <v>174751</v>
      </c>
      <c r="P238" s="63"/>
      <c r="Q238" s="63" t="n">
        <f aca="false">IFERROR(__xludf.dummyfunction("""COMPUTED_VALUE"""),174751)</f>
        <v>174751</v>
      </c>
      <c r="R238" s="41"/>
      <c r="S238" s="41"/>
      <c r="T238" s="63"/>
      <c r="U238" s="63"/>
      <c r="V238" s="70" t="n">
        <f aca="false">IFERROR(__xludf.dummyfunction("""COMPUTED_VALUE"""),46241)</f>
        <v>46241</v>
      </c>
      <c r="W238" s="39"/>
      <c r="X238" s="41" t="str">
        <f aca="false">IFERROR(__xludf.dummyfunction("""COMPUTED_VALUE"""),"Huent7")</f>
        <v>Huent7</v>
      </c>
      <c r="Y238" s="44"/>
      <c r="Z238" s="57" t="str">
        <f aca="false">IFERROR(__xludf.dummyfunction("""COMPUTED_VALUE"""),"#N/A")</f>
        <v>#N/A</v>
      </c>
      <c r="AA238" s="57"/>
      <c r="AB238" s="41"/>
      <c r="AC238" s="57" t="str">
        <f aca="false">IFERROR(__xludf.dummyfunction("""COMPUTED_VALUE"""),"gv.vinhnv@hocmai.edu.vn")</f>
        <v>gv.vinhnv@hocmai.edu.vn</v>
      </c>
      <c r="AD238" s="46" t="str">
        <f aca="false">IFERROR(__xludf.dummyfunction("""COMPUTED_VALUE"""),"duckien010607@gmail.com")</f>
        <v>duckien010607@gmail.com</v>
      </c>
      <c r="AE238" s="46"/>
      <c r="AF238" s="74" t="b">
        <f aca="false">IFERROR(__xludf.dummyfunction("""COMPUTED_VALUE"""),FALSE())</f>
        <v>0</v>
      </c>
      <c r="AG238" s="46" t="str">
        <f aca="false">IFERROR(__xludf.dummyfunction("""COMPUTED_VALUE"""),"")</f>
        <v/>
      </c>
      <c r="AH238" s="35"/>
      <c r="AI238" s="35"/>
      <c r="AJ238" s="53" t="b">
        <f aca="false">IFERROR(__xludf.dummyfunction("""COMPUTED_VALUE"""),TRUE())</f>
        <v>1</v>
      </c>
      <c r="AK238" s="53" t="b">
        <f aca="false">IFERROR(__xludf.dummyfunction("""COMPUTED_VALUE"""),TRUE())</f>
        <v>1</v>
      </c>
      <c r="AL238" s="35"/>
      <c r="AM238" s="35"/>
      <c r="AN238" s="35"/>
      <c r="AO238" s="46"/>
    </row>
    <row r="239" customFormat="false" ht="15.75" hidden="false" customHeight="true" outlineLevel="0" collapsed="false">
      <c r="A239" s="37" t="str">
        <f aca="false">IFERROR(__xludf.dummyfunction("""COMPUTED_VALUE"""),"Thực chiến Khoa học")</f>
        <v>Thực chiến Khoa học</v>
      </c>
      <c r="B239" s="37" t="str">
        <f aca="false">IFERROR(__xludf.dummyfunction("""COMPUTED_VALUE"""),"TC_TSA_KH_13")</f>
        <v>TC_TSA_KH_13</v>
      </c>
      <c r="C239" s="59" t="str">
        <f aca="false">IFERROR(__xludf.dummyfunction("""COMPUTED_VALUE"""),"[Bổ trợ]_Chữa bài tập TSA_Tư duy Khoa học số 13")</f>
        <v>[Bổ trợ]_Chữa bài tập TSA_Tư duy Khoa học số 13</v>
      </c>
      <c r="D239" s="39" t="str">
        <f aca="false">IFERROR(__xludf.dummyfunction("""COMPUTED_VALUE"""),"Nguyễn Trọng Trường Anh")</f>
        <v>Nguyễn Trọng Trường Anh</v>
      </c>
      <c r="E239" s="40" t="n">
        <f aca="false">IFERROR(__xludf.dummyfunction("""COMPUTED_VALUE"""),46238)</f>
        <v>46238</v>
      </c>
      <c r="F239" s="41" t="n">
        <f aca="false">IFERROR(__xludf.dummyfunction("""COMPUTED_VALUE"""),3)</f>
        <v>3</v>
      </c>
      <c r="G239" s="37" t="str">
        <f aca="false">IFERROR(__xludf.dummyfunction("""COMPUTED_VALUE"""),"19:00-20:00")</f>
        <v>19:00-20:00</v>
      </c>
      <c r="H239" s="37"/>
      <c r="I239" s="37"/>
      <c r="J239" s="42" t="str">
        <f aca="false">IFERROR(__xludf.dummyfunction("""COMPUTED_VALUE"""),"https://drive.google.com/drive/folders/1sMUnzDGEn0lO1rKZpMsBsV8ZjbMTt6ok")</f>
        <v>https://drive.google.com/drive/folders/1sMUnzDGEn0lO1rKZpMsBsV8ZjbMTt6ok</v>
      </c>
      <c r="K239" s="68" t="str">
        <f aca="false">IFERROR(__xludf.dummyfunction("""COMPUTED_VALUE"""),"Trangnth2")</f>
        <v>Trangnth2</v>
      </c>
      <c r="L239" s="68" t="str">
        <f aca="false">IFERROR(__xludf.dummyfunction("""COMPUTED_VALUE"""),"HOCMAI")</f>
        <v>HOCMAI</v>
      </c>
      <c r="M239" s="71"/>
      <c r="N239" s="77" t="str">
        <f aca="false">IFERROR(__xludf.dummyfunction("""COMPUTED_VALUE"""),"3110")</f>
        <v>3110</v>
      </c>
      <c r="O239" s="63" t="n">
        <f aca="false">IFERROR(__xludf.dummyfunction("""COMPUTED_VALUE"""),176066)</f>
        <v>176066</v>
      </c>
      <c r="P239" s="60" t="str">
        <f aca="false">IFERROR(__xludf.dummyfunction("""COMPUTED_VALUE"""),"https://hocmai.vn/bai-giang-truc-tuyen/176066/.html")</f>
        <v>https://hocmai.vn/bai-giang-truc-tuyen/176066/.html</v>
      </c>
      <c r="Q239" s="63"/>
      <c r="R239" s="41"/>
      <c r="S239" s="41"/>
      <c r="T239" s="63"/>
      <c r="U239" s="63"/>
      <c r="V239" s="70" t="n">
        <f aca="false">IFERROR(__xludf.dummyfunction("""COMPUTED_VALUE"""),46241)</f>
        <v>46241</v>
      </c>
      <c r="W239" s="39"/>
      <c r="X239" s="41" t="str">
        <f aca="false">IFERROR(__xludf.dummyfunction("""COMPUTED_VALUE"""),"Vuta")</f>
        <v>Vuta</v>
      </c>
      <c r="Y239" s="44"/>
      <c r="Z239" s="57"/>
      <c r="AA239" s="57"/>
      <c r="AB239" s="41" t="n">
        <f aca="false">IFERROR(__xludf.dummyfunction("""COMPUTED_VALUE"""),8)</f>
        <v>8</v>
      </c>
      <c r="AC239" s="57" t="str">
        <f aca="false">IFERROR(__xludf.dummyfunction("""COMPUTED_VALUE"""),"thochi1981@gmail.com")</f>
        <v>thochi1981@gmail.com</v>
      </c>
      <c r="AD239" s="46"/>
      <c r="AE239" s="46"/>
      <c r="AF239" s="47"/>
      <c r="AG239" s="46"/>
      <c r="AH239" s="53" t="b">
        <f aca="false">IFERROR(__xludf.dummyfunction("""COMPUTED_VALUE"""),FALSE())</f>
        <v>0</v>
      </c>
      <c r="AI239" s="53" t="b">
        <f aca="false">IFERROR(__xludf.dummyfunction("""COMPUTED_VALUE"""),TRUE())</f>
        <v>1</v>
      </c>
      <c r="AJ239" s="53" t="b">
        <f aca="false">IFERROR(__xludf.dummyfunction("""COMPUTED_VALUE"""),FALSE())</f>
        <v>0</v>
      </c>
      <c r="AK239" s="53" t="b">
        <f aca="false">IFERROR(__xludf.dummyfunction("""COMPUTED_VALUE"""),FALSE())</f>
        <v>0</v>
      </c>
      <c r="AL239" s="53" t="b">
        <f aca="false">IFERROR(__xludf.dummyfunction("""COMPUTED_VALUE"""),FALSE())</f>
        <v>0</v>
      </c>
      <c r="AM239" s="53" t="b">
        <f aca="false">IFERROR(__xludf.dummyfunction("""COMPUTED_VALUE"""),FALSE())</f>
        <v>0</v>
      </c>
      <c r="AN239" s="53" t="b">
        <f aca="false">IFERROR(__xludf.dummyfunction("""COMPUTED_VALUE"""),FALSE())</f>
        <v>0</v>
      </c>
      <c r="AO239" s="46"/>
    </row>
    <row r="240" customFormat="false" ht="15.75" hidden="false" customHeight="true" outlineLevel="0" collapsed="false">
      <c r="A240" s="37" t="str">
        <f aca="false">IFERROR(__xludf.dummyfunction("""COMPUTED_VALUE"""),"Thực chiến Tiếng Anh")</f>
        <v>Thực chiến Tiếng Anh</v>
      </c>
      <c r="B240" s="37" t="str">
        <f aca="false">IFERROR(__xludf.dummyfunction("""COMPUTED_VALUE"""),"TC_V-ACT_TA_08")</f>
        <v>TC_V-ACT_TA_08</v>
      </c>
      <c r="C240" s="59" t="str">
        <f aca="false">IFERROR(__xludf.dummyfunction("""COMPUTED_VALUE"""),"[Bổ trợ]_Chữa bài tập_V-ACT_Tiếng Anh số 08")</f>
        <v>[Bổ trợ]_Chữa bài tập_V-ACT_Tiếng Anh số 08</v>
      </c>
      <c r="D240" s="39" t="str">
        <f aca="false">IFERROR(__xludf.dummyfunction("""COMPUTED_VALUE"""),"Dung Thành Vinh")</f>
        <v>Dung Thành Vinh</v>
      </c>
      <c r="E240" s="40" t="n">
        <f aca="false">IFERROR(__xludf.dummyfunction("""COMPUTED_VALUE"""),46238)</f>
        <v>46238</v>
      </c>
      <c r="F240" s="41" t="n">
        <f aca="false">IFERROR(__xludf.dummyfunction("""COMPUTED_VALUE"""),3)</f>
        <v>3</v>
      </c>
      <c r="G240" s="37" t="str">
        <f aca="false">IFERROR(__xludf.dummyfunction("""COMPUTED_VALUE"""),"18:00-19:00")</f>
        <v>18:00-19:00</v>
      </c>
      <c r="H240" s="37"/>
      <c r="I240" s="37"/>
      <c r="J240" s="42" t="str">
        <f aca="false">IFERROR(__xludf.dummyfunction("""COMPUTED_VALUE"""),"https://drive.google.com/drive/folders/1_zXRvNx21BG3sADWMr3YZOQsX9rB-8fP?usp=drive_link")</f>
        <v>https://drive.google.com/drive/folders/1_zXRvNx21BG3sADWMr3YZOQsX9rB-8fP?usp=drive_link</v>
      </c>
      <c r="K240" s="68" t="str">
        <f aca="false">IFERROR(__xludf.dummyfunction("""COMPUTED_VALUE"""),"Huyenn2")</f>
        <v>Huyenn2</v>
      </c>
      <c r="L240" s="68" t="str">
        <f aca="false">IFERROR(__xludf.dummyfunction("""COMPUTED_VALUE"""),"HOCMAI")</f>
        <v>HOCMAI</v>
      </c>
      <c r="M240" s="71"/>
      <c r="N240" s="77" t="str">
        <f aca="false">IFERROR(__xludf.dummyfunction("""COMPUTED_VALUE"""),"3165")</f>
        <v>3165</v>
      </c>
      <c r="O240" s="63" t="n">
        <f aca="false">IFERROR(__xludf.dummyfunction("""COMPUTED_VALUE"""),176101)</f>
        <v>176101</v>
      </c>
      <c r="P240" s="60" t="str">
        <f aca="false">IFERROR(__xludf.dummyfunction("""COMPUTED_VALUE"""),"https://hocmai.vn/bai-giang-truc-tuyen/176101/.html")</f>
        <v>https://hocmai.vn/bai-giang-truc-tuyen/176101/.html</v>
      </c>
      <c r="Q240" s="63"/>
      <c r="R240" s="41"/>
      <c r="S240" s="41"/>
      <c r="T240" s="63"/>
      <c r="U240" s="63"/>
      <c r="V240" s="70" t="n">
        <f aca="false">IFERROR(__xludf.dummyfunction("""COMPUTED_VALUE"""),46241)</f>
        <v>46241</v>
      </c>
      <c r="W240" s="39" t="str">
        <f aca="false">IFERROR(__xludf.dummyfunction("""COMPUTED_VALUE"""),"Hoàn thành TL live")</f>
        <v>Hoàn thành TL live</v>
      </c>
      <c r="X240" s="41" t="str">
        <f aca="false">IFERROR(__xludf.dummyfunction("""COMPUTED_VALUE"""),"Vuta")</f>
        <v>Vuta</v>
      </c>
      <c r="Y240" s="44"/>
      <c r="Z240" s="57"/>
      <c r="AA240" s="57"/>
      <c r="AB240" s="41" t="n">
        <f aca="false">IFERROR(__xludf.dummyfunction("""COMPUTED_VALUE"""),8)</f>
        <v>8</v>
      </c>
      <c r="AC240" s="57" t="str">
        <f aca="false">IFERROR(__xludf.dummyfunction("""COMPUTED_VALUE"""),"shimlim04@gmail.com")</f>
        <v>shimlim04@gmail.com</v>
      </c>
      <c r="AD240" s="46"/>
      <c r="AE240" s="46"/>
      <c r="AF240" s="47"/>
      <c r="AG240" s="46"/>
      <c r="AH240" s="53" t="b">
        <f aca="false">IFERROR(__xludf.dummyfunction("""COMPUTED_VALUE"""),FALSE())</f>
        <v>0</v>
      </c>
      <c r="AI240" s="53" t="b">
        <f aca="false">IFERROR(__xludf.dummyfunction("""COMPUTED_VALUE"""),FALSE())</f>
        <v>0</v>
      </c>
      <c r="AJ240" s="53" t="b">
        <f aca="false">IFERROR(__xludf.dummyfunction("""COMPUTED_VALUE"""),FALSE())</f>
        <v>0</v>
      </c>
      <c r="AK240" s="53" t="b">
        <f aca="false">IFERROR(__xludf.dummyfunction("""COMPUTED_VALUE"""),FALSE())</f>
        <v>0</v>
      </c>
      <c r="AL240" s="53" t="b">
        <f aca="false">IFERROR(__xludf.dummyfunction("""COMPUTED_VALUE"""),FALSE())</f>
        <v>0</v>
      </c>
      <c r="AM240" s="53" t="b">
        <f aca="false">IFERROR(__xludf.dummyfunction("""COMPUTED_VALUE"""),TRUE())</f>
        <v>1</v>
      </c>
      <c r="AN240" s="53" t="b">
        <f aca="false">IFERROR(__xludf.dummyfunction("""COMPUTED_VALUE"""),TRUE())</f>
        <v>1</v>
      </c>
      <c r="AO240" s="46"/>
    </row>
    <row r="241" customFormat="false" ht="15.75" hidden="false" customHeight="true" outlineLevel="0" collapsed="false">
      <c r="A241" s="37" t="str">
        <f aca="false">IFERROR(__xludf.dummyfunction("""COMPUTED_VALUE"""),"Định tính")</f>
        <v>Định tính</v>
      </c>
      <c r="B241" s="37" t="str">
        <f aca="false">IFERROR(__xludf.dummyfunction("""COMPUTED_VALUE"""),"TOV_HSA_DT07")</f>
        <v>TOV_HSA_DT07</v>
      </c>
      <c r="C241" s="59" t="str">
        <f aca="false">IFERROR(__xludf.dummyfunction("""COMPUTED_VALUE"""),"Thơ trữ tình: Đặc trưng thể loại và phương pháp đọc hiểu")</f>
        <v>Thơ trữ tình: Đặc trưng thể loại và phương pháp đọc hiểu</v>
      </c>
      <c r="D241" s="39" t="str">
        <f aca="false">IFERROR(__xludf.dummyfunction("""COMPUTED_VALUE"""),"Vương Thúy Hằng")</f>
        <v>Vương Thúy Hằng</v>
      </c>
      <c r="E241" s="40" t="n">
        <f aca="false">IFERROR(__xludf.dummyfunction("""COMPUTED_VALUE"""),46239)</f>
        <v>46239</v>
      </c>
      <c r="F241" s="41" t="n">
        <f aca="false">IFERROR(__xludf.dummyfunction("""COMPUTED_VALUE"""),4)</f>
        <v>4</v>
      </c>
      <c r="G241" s="37" t="str">
        <f aca="false">IFERROR(__xludf.dummyfunction("""COMPUTED_VALUE"""),"21:00-23:00")</f>
        <v>21:00-23:00</v>
      </c>
      <c r="H241" s="37"/>
      <c r="I241" s="37"/>
      <c r="J241" s="42" t="str">
        <f aca="false">IFERROR(__xludf.dummyfunction("""COMPUTED_VALUE"""),"https://drive.google.com/drive/folders/1B8qhxHklQcrXpH21jLtH0La1DGt69F8g")</f>
        <v>https://drive.google.com/drive/folders/1B8qhxHklQcrXpH21jLtH0La1DGt69F8g</v>
      </c>
      <c r="K241" s="68" t="str">
        <f aca="false">IFERROR(__xludf.dummyfunction("""COMPUTED_VALUE"""),"Hangvt3")</f>
        <v>Hangvt3</v>
      </c>
      <c r="L241" s="68" t="str">
        <f aca="false">IFERROR(__xludf.dummyfunction("""COMPUTED_VALUE"""),"Kiều Bảo Minh")</f>
        <v>Kiều Bảo Minh</v>
      </c>
      <c r="M241" s="71"/>
      <c r="N241" s="77" t="str">
        <f aca="false">IFERROR(__xludf.dummyfunction("""COMPUTED_VALUE"""),"3118")</f>
        <v>3118</v>
      </c>
      <c r="O241" s="63" t="n">
        <f aca="false">IFERROR(__xludf.dummyfunction("""COMPUTED_VALUE"""),167296)</f>
        <v>167296</v>
      </c>
      <c r="P241" s="63"/>
      <c r="Q241" s="63"/>
      <c r="R241" s="41"/>
      <c r="S241" s="41"/>
      <c r="T241" s="63"/>
      <c r="U241" s="63"/>
      <c r="V241" s="70" t="n">
        <f aca="false">IFERROR(__xludf.dummyfunction("""COMPUTED_VALUE"""),46242)</f>
        <v>46242</v>
      </c>
      <c r="W241" s="39" t="str">
        <f aca="false">IFERROR(__xludf.dummyfunction("""COMPUTED_VALUE"""),"Hoàn thành TL live")</f>
        <v>Hoàn thành TL live</v>
      </c>
      <c r="X241" s="41" t="str">
        <f aca="false">IFERROR(__xludf.dummyfunction("""COMPUTED_VALUE"""),"Phuongdt")</f>
        <v>Phuongdt</v>
      </c>
      <c r="Y241" s="44" t="str">
        <f aca="false">IFERROR(__xludf.dummyfunction("""COMPUTED_VALUE"""),"done")</f>
        <v>done</v>
      </c>
      <c r="Z241" s="57" t="str">
        <f aca="false">IFERROR(__xludf.dummyfunction("""COMPUTED_VALUE"""),"#N/A")</f>
        <v>#N/A</v>
      </c>
      <c r="AA241" s="57"/>
      <c r="AB241" s="41" t="n">
        <f aca="false">IFERROR(__xludf.dummyfunction("""COMPUTED_VALUE"""),8)</f>
        <v>8</v>
      </c>
      <c r="AC241" s="57" t="str">
        <f aca="false">IFERROR(__xludf.dummyfunction("""COMPUTED_VALUE"""),"gv.hangvt@hocmai.edu.vn ")</f>
        <v>gv.hangvt@hocmai.edu.vn </v>
      </c>
      <c r="AD241" s="46" t="str">
        <f aca="false">IFERROR(__xludf.dummyfunction("""COMPUTED_VALUE"""),"mkieu2662@gmail.com")</f>
        <v>mkieu2662@gmail.com</v>
      </c>
      <c r="AE241" s="46"/>
      <c r="AF241" s="74" t="b">
        <f aca="false">IFERROR(__xludf.dummyfunction("""COMPUTED_VALUE"""),FALSE())</f>
        <v>0</v>
      </c>
      <c r="AG241" s="46" t="str">
        <f aca="false">IFERROR(__xludf.dummyfunction("""COMPUTED_VALUE"""),"")</f>
        <v/>
      </c>
      <c r="AH241" s="35"/>
      <c r="AI241" s="35"/>
      <c r="AJ241" s="53" t="b">
        <f aca="false">IFERROR(__xludf.dummyfunction("""COMPUTED_VALUE"""),TRUE())</f>
        <v>1</v>
      </c>
      <c r="AK241" s="53" t="b">
        <f aca="false">IFERROR(__xludf.dummyfunction("""COMPUTED_VALUE"""),TRUE())</f>
        <v>1</v>
      </c>
      <c r="AL241" s="35"/>
      <c r="AM241" s="35"/>
      <c r="AN241" s="35"/>
      <c r="AO241" s="46"/>
    </row>
    <row r="242" customFormat="false" ht="15.75" hidden="false" customHeight="true" outlineLevel="0" collapsed="false">
      <c r="A242" s="37" t="str">
        <f aca="false">IFERROR(__xludf.dummyfunction("""COMPUTED_VALUE"""),"Thực chiến Toán")</f>
        <v>Thực chiến Toán</v>
      </c>
      <c r="B242" s="37" t="str">
        <f aca="false">IFERROR(__xludf.dummyfunction("""COMPUTED_VALUE"""),"TC_TSA_T_13")</f>
        <v>TC_TSA_T_13</v>
      </c>
      <c r="C242" s="59" t="str">
        <f aca="false">IFERROR(__xludf.dummyfunction("""COMPUTED_VALUE"""),"[Bổ trợ]_Chữa bài tập TSA_Tư duy Toán học số 13")</f>
        <v>[Bổ trợ]_Chữa bài tập TSA_Tư duy Toán học số 13</v>
      </c>
      <c r="D242" s="39" t="str">
        <f aca="false">IFERROR(__xludf.dummyfunction("""COMPUTED_VALUE"""),"Phạm Huy Hoàng")</f>
        <v>Phạm Huy Hoàng</v>
      </c>
      <c r="E242" s="40" t="n">
        <f aca="false">IFERROR(__xludf.dummyfunction("""COMPUTED_VALUE"""),46239)</f>
        <v>46239</v>
      </c>
      <c r="F242" s="41" t="n">
        <f aca="false">IFERROR(__xludf.dummyfunction("""COMPUTED_VALUE"""),4)</f>
        <v>4</v>
      </c>
      <c r="G242" s="37" t="str">
        <f aca="false">IFERROR(__xludf.dummyfunction("""COMPUTED_VALUE"""),"19:00-20:00")</f>
        <v>19:00-20:00</v>
      </c>
      <c r="H242" s="37"/>
      <c r="I242" s="37"/>
      <c r="J242" s="37"/>
      <c r="K242" s="68" t="str">
        <f aca="false">IFERROR(__xludf.dummyfunction("""COMPUTED_VALUE"""),"Locdd")</f>
        <v>Locdd</v>
      </c>
      <c r="L242" s="68" t="str">
        <f aca="false">IFERROR(__xludf.dummyfunction("""COMPUTED_VALUE"""),"HOCMAI")</f>
        <v>HOCMAI</v>
      </c>
      <c r="M242" s="71"/>
      <c r="N242" s="77" t="str">
        <f aca="false">IFERROR(__xludf.dummyfunction("""COMPUTED_VALUE"""),"3108")</f>
        <v>3108</v>
      </c>
      <c r="O242" s="63" t="n">
        <f aca="false">IFERROR(__xludf.dummyfunction("""COMPUTED_VALUE"""),176045)</f>
        <v>176045</v>
      </c>
      <c r="P242" s="60" t="str">
        <f aca="false">IFERROR(__xludf.dummyfunction("""COMPUTED_VALUE"""),"https://hocmai.vn/bai-giang-truc-tuyen/176045/.html")</f>
        <v>https://hocmai.vn/bai-giang-truc-tuyen/176045/.html</v>
      </c>
      <c r="Q242" s="63"/>
      <c r="R242" s="41"/>
      <c r="S242" s="41"/>
      <c r="T242" s="63"/>
      <c r="U242" s="63"/>
      <c r="V242" s="70" t="n">
        <f aca="false">IFERROR(__xludf.dummyfunction("""COMPUTED_VALUE"""),46242)</f>
        <v>46242</v>
      </c>
      <c r="W242" s="39"/>
      <c r="X242" s="41" t="str">
        <f aca="false">IFERROR(__xludf.dummyfunction("""COMPUTED_VALUE"""),"Vuta")</f>
        <v>Vuta</v>
      </c>
      <c r="Y242" s="44"/>
      <c r="Z242" s="57"/>
      <c r="AA242" s="57"/>
      <c r="AB242" s="41" t="n">
        <f aca="false">IFERROR(__xludf.dummyfunction("""COMPUTED_VALUE"""),8)</f>
        <v>8</v>
      </c>
      <c r="AC242" s="57" t="str">
        <f aca="false">IFERROR(__xludf.dummyfunction("""COMPUTED_VALUE"""),"0376611308")</f>
        <v>0376611308</v>
      </c>
      <c r="AD242" s="46"/>
      <c r="AE242" s="46"/>
      <c r="AF242" s="47"/>
      <c r="AG242" s="46"/>
      <c r="AH242" s="53" t="b">
        <f aca="false">IFERROR(__xludf.dummyfunction("""COMPUTED_VALUE"""),FALSE())</f>
        <v>0</v>
      </c>
      <c r="AI242" s="53" t="b">
        <f aca="false">IFERROR(__xludf.dummyfunction("""COMPUTED_VALUE"""),TRUE())</f>
        <v>1</v>
      </c>
      <c r="AJ242" s="53" t="b">
        <f aca="false">IFERROR(__xludf.dummyfunction("""COMPUTED_VALUE"""),FALSE())</f>
        <v>0</v>
      </c>
      <c r="AK242" s="53" t="b">
        <f aca="false">IFERROR(__xludf.dummyfunction("""COMPUTED_VALUE"""),FALSE())</f>
        <v>0</v>
      </c>
      <c r="AL242" s="53" t="b">
        <f aca="false">IFERROR(__xludf.dummyfunction("""COMPUTED_VALUE"""),FALSE())</f>
        <v>0</v>
      </c>
      <c r="AM242" s="53" t="b">
        <f aca="false">IFERROR(__xludf.dummyfunction("""COMPUTED_VALUE"""),FALSE())</f>
        <v>0</v>
      </c>
      <c r="AN242" s="53" t="b">
        <f aca="false">IFERROR(__xludf.dummyfunction("""COMPUTED_VALUE"""),FALSE())</f>
        <v>0</v>
      </c>
      <c r="AO242" s="46"/>
    </row>
    <row r="243" customFormat="false" ht="15.75" hidden="false" customHeight="true" outlineLevel="0" collapsed="false">
      <c r="A243" s="37" t="str">
        <f aca="false">IFERROR(__xludf.dummyfunction("""COMPUTED_VALUE"""),"Thực chiến Định lượng")</f>
        <v>Thực chiến Định lượng</v>
      </c>
      <c r="B243" s="37" t="str">
        <f aca="false">IFERROR(__xludf.dummyfunction("""COMPUTED_VALUE"""),"TC_HSA_ĐL_09")</f>
        <v>TC_HSA_ĐL_09</v>
      </c>
      <c r="C243" s="59" t="str">
        <f aca="false">IFERROR(__xludf.dummyfunction("""COMPUTED_VALUE"""),"[Bổ trợ]_Chữa bài tập _Tư duy Định lượng số 09")</f>
        <v>[Bổ trợ]_Chữa bài tập _Tư duy Định lượng số 09</v>
      </c>
      <c r="D243" s="39" t="str">
        <f aca="false">IFERROR(__xludf.dummyfunction("""COMPUTED_VALUE"""),"Vi Vũ Trí Đức")</f>
        <v>Vi Vũ Trí Đức</v>
      </c>
      <c r="E243" s="40" t="n">
        <f aca="false">IFERROR(__xludf.dummyfunction("""COMPUTED_VALUE"""),46239)</f>
        <v>46239</v>
      </c>
      <c r="F243" s="41" t="n">
        <f aca="false">IFERROR(__xludf.dummyfunction("""COMPUTED_VALUE"""),4)</f>
        <v>4</v>
      </c>
      <c r="G243" s="37" t="str">
        <f aca="false">IFERROR(__xludf.dummyfunction("""COMPUTED_VALUE"""),"19:00-20:00")</f>
        <v>19:00-20:00</v>
      </c>
      <c r="H243" s="37"/>
      <c r="I243" s="37"/>
      <c r="J243" s="37"/>
      <c r="K243" s="68" t="str">
        <f aca="false">IFERROR(__xludf.dummyfunction("""COMPUTED_VALUE"""),"Locdd")</f>
        <v>Locdd</v>
      </c>
      <c r="L243" s="68" t="str">
        <f aca="false">IFERROR(__xludf.dummyfunction("""COMPUTED_VALUE"""),"HOCMAI")</f>
        <v>HOCMAI</v>
      </c>
      <c r="M243" s="71"/>
      <c r="N243" s="77" t="str">
        <f aca="false">IFERROR(__xludf.dummyfunction("""COMPUTED_VALUE"""),"3117")</f>
        <v>3117</v>
      </c>
      <c r="O243" s="63" t="n">
        <f aca="false">IFERROR(__xludf.dummyfunction("""COMPUTED_VALUE"""),176122)</f>
        <v>176122</v>
      </c>
      <c r="P243" s="60" t="str">
        <f aca="false">IFERROR(__xludf.dummyfunction("""COMPUTED_VALUE"""),"https://hocmai.vn/bai-giang-truc-tuyen/176122/.html")</f>
        <v>https://hocmai.vn/bai-giang-truc-tuyen/176122/.html</v>
      </c>
      <c r="Q243" s="63"/>
      <c r="R243" s="41"/>
      <c r="S243" s="41"/>
      <c r="T243" s="63"/>
      <c r="U243" s="63"/>
      <c r="V243" s="70" t="n">
        <f aca="false">IFERROR(__xludf.dummyfunction("""COMPUTED_VALUE"""),46242)</f>
        <v>46242</v>
      </c>
      <c r="W243" s="39"/>
      <c r="X243" s="41" t="str">
        <f aca="false">IFERROR(__xludf.dummyfunction("""COMPUTED_VALUE"""),"Vuta")</f>
        <v>Vuta</v>
      </c>
      <c r="Y243" s="44"/>
      <c r="Z243" s="57"/>
      <c r="AA243" s="57"/>
      <c r="AB243" s="41" t="n">
        <f aca="false">IFERROR(__xludf.dummyfunction("""COMPUTED_VALUE"""),8)</f>
        <v>8</v>
      </c>
      <c r="AC243" s="57" t="str">
        <f aca="false">IFERROR(__xludf.dummyfunction("""COMPUTED_VALUE"""),"tdstawesome@gmail.com")</f>
        <v>tdstawesome@gmail.com</v>
      </c>
      <c r="AD243" s="46"/>
      <c r="AE243" s="46"/>
      <c r="AF243" s="47"/>
      <c r="AG243" s="46"/>
      <c r="AH243" s="53" t="b">
        <f aca="false">IFERROR(__xludf.dummyfunction("""COMPUTED_VALUE"""),FALSE())</f>
        <v>0</v>
      </c>
      <c r="AI243" s="53" t="b">
        <f aca="false">IFERROR(__xludf.dummyfunction("""COMPUTED_VALUE"""),FALSE())</f>
        <v>0</v>
      </c>
      <c r="AJ243" s="53" t="b">
        <f aca="false">IFERROR(__xludf.dummyfunction("""COMPUTED_VALUE"""),TRUE())</f>
        <v>1</v>
      </c>
      <c r="AK243" s="53" t="b">
        <f aca="false">IFERROR(__xludf.dummyfunction("""COMPUTED_VALUE"""),TRUE())</f>
        <v>1</v>
      </c>
      <c r="AL243" s="53" t="b">
        <f aca="false">IFERROR(__xludf.dummyfunction("""COMPUTED_VALUE"""),FALSE())</f>
        <v>0</v>
      </c>
      <c r="AM243" s="53" t="b">
        <f aca="false">IFERROR(__xludf.dummyfunction("""COMPUTED_VALUE"""),FALSE())</f>
        <v>0</v>
      </c>
      <c r="AN243" s="53" t="b">
        <f aca="false">IFERROR(__xludf.dummyfunction("""COMPUTED_VALUE"""),FALSE())</f>
        <v>0</v>
      </c>
      <c r="AO243" s="46"/>
    </row>
    <row r="244" customFormat="false" ht="15.75" hidden="false" customHeight="true" outlineLevel="0" collapsed="false">
      <c r="A244" s="37" t="str">
        <f aca="false">IFERROR(__xludf.dummyfunction("""COMPUTED_VALUE"""),"Thực chiến Tiếng Việt")</f>
        <v>Thực chiến Tiếng Việt</v>
      </c>
      <c r="B244" s="37" t="str">
        <f aca="false">IFERROR(__xludf.dummyfunction("""COMPUTED_VALUE"""),"TC_V-ACT_TV_07")</f>
        <v>TC_V-ACT_TV_07</v>
      </c>
      <c r="C244" s="59" t="str">
        <f aca="false">IFERROR(__xludf.dummyfunction("""COMPUTED_VALUE"""),"[Bổ trợ]_Chữa bài tập_V-ACT_Tiếng Việt số 07")</f>
        <v>[Bổ trợ]_Chữa bài tập_V-ACT_Tiếng Việt số 07</v>
      </c>
      <c r="D244" s="39" t="str">
        <f aca="false">IFERROR(__xludf.dummyfunction("""COMPUTED_VALUE"""),"Nguyễn Thị Khánh Ly")</f>
        <v>Nguyễn Thị Khánh Ly</v>
      </c>
      <c r="E244" s="40" t="n">
        <f aca="false">IFERROR(__xludf.dummyfunction("""COMPUTED_VALUE"""),46239)</f>
        <v>46239</v>
      </c>
      <c r="F244" s="41" t="n">
        <f aca="false">IFERROR(__xludf.dummyfunction("""COMPUTED_VALUE"""),4)</f>
        <v>4</v>
      </c>
      <c r="G244" s="37" t="str">
        <f aca="false">IFERROR(__xludf.dummyfunction("""COMPUTED_VALUE"""),"21:15-22:15")</f>
        <v>21:15-22:15</v>
      </c>
      <c r="H244" s="37"/>
      <c r="I244" s="37"/>
      <c r="J244" s="37"/>
      <c r="K244" s="68" t="str">
        <f aca="false">IFERROR(__xludf.dummyfunction("""COMPUTED_VALUE"""),"Hoantt")</f>
        <v>Hoantt</v>
      </c>
      <c r="L244" s="68" t="str">
        <f aca="false">IFERROR(__xludf.dummyfunction("""COMPUTED_VALUE"""),"HOCMAI")</f>
        <v>HOCMAI</v>
      </c>
      <c r="M244" s="71"/>
      <c r="N244" s="77" t="str">
        <f aca="false">IFERROR(__xludf.dummyfunction("""COMPUTED_VALUE"""),"3125")</f>
        <v>3125</v>
      </c>
      <c r="O244" s="63" t="n">
        <f aca="false">IFERROR(__xludf.dummyfunction("""COMPUTED_VALUE"""),176112)</f>
        <v>176112</v>
      </c>
      <c r="P244" s="60" t="str">
        <f aca="false">IFERROR(__xludf.dummyfunction("""COMPUTED_VALUE"""),"https://hocmai.vn/bai-giang-truc-tuyen/176112/.html")</f>
        <v>https://hocmai.vn/bai-giang-truc-tuyen/176112/.html</v>
      </c>
      <c r="Q244" s="63"/>
      <c r="R244" s="41"/>
      <c r="S244" s="41"/>
      <c r="T244" s="63"/>
      <c r="U244" s="63"/>
      <c r="V244" s="70" t="n">
        <f aca="false">IFERROR(__xludf.dummyfunction("""COMPUTED_VALUE"""),46242)</f>
        <v>46242</v>
      </c>
      <c r="W244" s="39"/>
      <c r="X244" s="41" t="str">
        <f aca="false">IFERROR(__xludf.dummyfunction("""COMPUTED_VALUE"""),"Vuta")</f>
        <v>Vuta</v>
      </c>
      <c r="Y244" s="44"/>
      <c r="Z244" s="57"/>
      <c r="AA244" s="57"/>
      <c r="AB244" s="41" t="n">
        <f aca="false">IFERROR(__xludf.dummyfunction("""COMPUTED_VALUE"""),8)</f>
        <v>8</v>
      </c>
      <c r="AC244" s="57" t="str">
        <f aca="false">IFERROR(__xludf.dummyfunction("""COMPUTED_VALUE"""),"khanhly16092003@gmail.com")</f>
        <v>khanhly16092003@gmail.com</v>
      </c>
      <c r="AD244" s="46"/>
      <c r="AE244" s="46"/>
      <c r="AF244" s="47"/>
      <c r="AG244" s="46"/>
      <c r="AH244" s="53" t="b">
        <f aca="false">IFERROR(__xludf.dummyfunction("""COMPUTED_VALUE"""),FALSE())</f>
        <v>0</v>
      </c>
      <c r="AI244" s="53" t="b">
        <f aca="false">IFERROR(__xludf.dummyfunction("""COMPUTED_VALUE"""),FALSE())</f>
        <v>0</v>
      </c>
      <c r="AJ244" s="53" t="b">
        <f aca="false">IFERROR(__xludf.dummyfunction("""COMPUTED_VALUE"""),FALSE())</f>
        <v>0</v>
      </c>
      <c r="AK244" s="53" t="b">
        <f aca="false">IFERROR(__xludf.dummyfunction("""COMPUTED_VALUE"""),FALSE())</f>
        <v>0</v>
      </c>
      <c r="AL244" s="53" t="b">
        <f aca="false">IFERROR(__xludf.dummyfunction("""COMPUTED_VALUE"""),FALSE())</f>
        <v>0</v>
      </c>
      <c r="AM244" s="53" t="b">
        <f aca="false">IFERROR(__xludf.dummyfunction("""COMPUTED_VALUE"""),TRUE())</f>
        <v>1</v>
      </c>
      <c r="AN244" s="53" t="b">
        <f aca="false">IFERROR(__xludf.dummyfunction("""COMPUTED_VALUE"""),TRUE())</f>
        <v>1</v>
      </c>
      <c r="AO244" s="46"/>
    </row>
    <row r="245" customFormat="false" ht="15.75" hidden="false" customHeight="true" outlineLevel="0" collapsed="false">
      <c r="A245" s="37" t="str">
        <f aca="false">IFERROR(__xludf.dummyfunction("""COMPUTED_VALUE"""),"Thực chiến Khoa học")</f>
        <v>Thực chiến Khoa học</v>
      </c>
      <c r="B245" s="37" t="str">
        <f aca="false">IFERROR(__xludf.dummyfunction("""COMPUTED_VALUE"""),"TC_V-ACT_KH_04")</f>
        <v>TC_V-ACT_KH_04</v>
      </c>
      <c r="C245" s="59" t="str">
        <f aca="false">IFERROR(__xludf.dummyfunction("""COMPUTED_VALUE"""),"[Bổ trợ]_Chữa bài tập_V-ACT_Tư duy khoa học số 04")</f>
        <v>[Bổ trợ]_Chữa bài tập_V-ACT_Tư duy khoa học số 04</v>
      </c>
      <c r="D245" s="39" t="str">
        <f aca="false">IFERROR(__xludf.dummyfunction("""COMPUTED_VALUE"""),"Lê Thế Anh")</f>
        <v>Lê Thế Anh</v>
      </c>
      <c r="E245" s="40" t="n">
        <f aca="false">IFERROR(__xludf.dummyfunction("""COMPUTED_VALUE"""),46239)</f>
        <v>46239</v>
      </c>
      <c r="F245" s="41" t="n">
        <f aca="false">IFERROR(__xludf.dummyfunction("""COMPUTED_VALUE"""),4)</f>
        <v>4</v>
      </c>
      <c r="G245" s="37" t="str">
        <f aca="false">IFERROR(__xludf.dummyfunction("""COMPUTED_VALUE"""),"19:00-20:00")</f>
        <v>19:00-20:00</v>
      </c>
      <c r="H245" s="37"/>
      <c r="I245" s="37"/>
      <c r="J245" s="42" t="str">
        <f aca="false">IFERROR(__xludf.dummyfunction("""COMPUTED_VALUE"""),"https://drive.google.com/drive/folders/1yd8hHOJwwEqRpcUktCXtTpiDQUdDeLIc?usp=drive_link")</f>
        <v>https://drive.google.com/drive/folders/1yd8hHOJwwEqRpcUktCXtTpiDQUdDeLIc?usp=drive_link</v>
      </c>
      <c r="K245" s="68" t="str">
        <f aca="false">IFERROR(__xludf.dummyfunction("""COMPUTED_VALUE"""),"Trangnth2")</f>
        <v>Trangnth2</v>
      </c>
      <c r="L245" s="68" t="str">
        <f aca="false">IFERROR(__xludf.dummyfunction("""COMPUTED_VALUE"""),"HOCMAI")</f>
        <v>HOCMAI</v>
      </c>
      <c r="M245" s="71"/>
      <c r="N245" s="77" t="str">
        <f aca="false">IFERROR(__xludf.dummyfunction("""COMPUTED_VALUE"""),"3126")</f>
        <v>3126</v>
      </c>
      <c r="O245" s="63" t="n">
        <f aca="false">IFERROR(__xludf.dummyfunction("""COMPUTED_VALUE"""),176081)</f>
        <v>176081</v>
      </c>
      <c r="P245" s="60" t="str">
        <f aca="false">IFERROR(__xludf.dummyfunction("""COMPUTED_VALUE"""),"https://hocmai.vn/bai-giang-truc-tuyen/176081/.html")</f>
        <v>https://hocmai.vn/bai-giang-truc-tuyen/176081/.html</v>
      </c>
      <c r="Q245" s="63"/>
      <c r="R245" s="41"/>
      <c r="S245" s="41"/>
      <c r="T245" s="63"/>
      <c r="U245" s="63"/>
      <c r="V245" s="70" t="n">
        <f aca="false">IFERROR(__xludf.dummyfunction("""COMPUTED_VALUE"""),46242)</f>
        <v>46242</v>
      </c>
      <c r="W245" s="39" t="str">
        <f aca="false">IFERROR(__xludf.dummyfunction("""COMPUTED_VALUE"""),"Hoàn thành TL live")</f>
        <v>Hoàn thành TL live</v>
      </c>
      <c r="X245" s="41" t="str">
        <f aca="false">IFERROR(__xludf.dummyfunction("""COMPUTED_VALUE"""),"Vuta")</f>
        <v>Vuta</v>
      </c>
      <c r="Y245" s="44"/>
      <c r="Z245" s="57"/>
      <c r="AA245" s="57"/>
      <c r="AB245" s="41" t="n">
        <f aca="false">IFERROR(__xludf.dummyfunction("""COMPUTED_VALUE"""),8)</f>
        <v>8</v>
      </c>
      <c r="AC245" s="57" t="str">
        <f aca="false">IFERROR(__xludf.dummyfunction("""COMPUTED_VALUE"""),"ss.vact01@ctv.hocmai.vn")</f>
        <v>ss.vact01@ctv.hocmai.vn</v>
      </c>
      <c r="AD245" s="46"/>
      <c r="AE245" s="46"/>
      <c r="AF245" s="47"/>
      <c r="AG245" s="46"/>
      <c r="AH245" s="53" t="b">
        <f aca="false">IFERROR(__xludf.dummyfunction("""COMPUTED_VALUE"""),FALSE())</f>
        <v>0</v>
      </c>
      <c r="AI245" s="53" t="b">
        <f aca="false">IFERROR(__xludf.dummyfunction("""COMPUTED_VALUE"""),FALSE())</f>
        <v>0</v>
      </c>
      <c r="AJ245" s="53" t="b">
        <f aca="false">IFERROR(__xludf.dummyfunction("""COMPUTED_VALUE"""),FALSE())</f>
        <v>0</v>
      </c>
      <c r="AK245" s="53" t="b">
        <f aca="false">IFERROR(__xludf.dummyfunction("""COMPUTED_VALUE"""),FALSE())</f>
        <v>0</v>
      </c>
      <c r="AL245" s="53" t="b">
        <f aca="false">IFERROR(__xludf.dummyfunction("""COMPUTED_VALUE"""),FALSE())</f>
        <v>0</v>
      </c>
      <c r="AM245" s="53" t="b">
        <f aca="false">IFERROR(__xludf.dummyfunction("""COMPUTED_VALUE"""),TRUE())</f>
        <v>1</v>
      </c>
      <c r="AN245" s="53" t="b">
        <f aca="false">IFERROR(__xludf.dummyfunction("""COMPUTED_VALUE"""),TRUE())</f>
        <v>1</v>
      </c>
      <c r="AO245" s="46"/>
    </row>
    <row r="246" customFormat="false" ht="15.75" hidden="false" customHeight="true" outlineLevel="0" collapsed="false">
      <c r="A246" s="37" t="str">
        <f aca="false">IFERROR(__xludf.dummyfunction("""COMPUTED_VALUE"""),"Vật lí")</f>
        <v>Vật lí</v>
      </c>
      <c r="B246" s="37" t="str">
        <f aca="false">IFERROR(__xludf.dummyfunction("""COMPUTED_VALUE"""),"TOV_TSA_L08")</f>
        <v>TOV_TSA_L08</v>
      </c>
      <c r="C246" s="59" t="str">
        <f aca="false">IFERROR(__xludf.dummyfunction("""COMPUTED_VALUE"""),"Sóng cơ và Sóng điện từ")</f>
        <v>Sóng cơ và Sóng điện từ</v>
      </c>
      <c r="D246" s="39" t="str">
        <f aca="false">IFERROR(__xludf.dummyfunction("""COMPUTED_VALUE"""),"Thiều Thị Dung")</f>
        <v>Thiều Thị Dung</v>
      </c>
      <c r="E246" s="40" t="n">
        <f aca="false">IFERROR(__xludf.dummyfunction("""COMPUTED_VALUE"""),46240)</f>
        <v>46240</v>
      </c>
      <c r="F246" s="41" t="n">
        <f aca="false">IFERROR(__xludf.dummyfunction("""COMPUTED_VALUE"""),5)</f>
        <v>5</v>
      </c>
      <c r="G246" s="37" t="str">
        <f aca="false">IFERROR(__xludf.dummyfunction("""COMPUTED_VALUE"""),"21:00-23:00")</f>
        <v>21:00-23:00</v>
      </c>
      <c r="H246" s="37"/>
      <c r="I246" s="37"/>
      <c r="J246" s="37"/>
      <c r="K246" s="68" t="str">
        <f aca="false">IFERROR(__xludf.dummyfunction("""COMPUTED_VALUE"""),"Trangnth2")</f>
        <v>Trangnth2</v>
      </c>
      <c r="L246" s="68" t="str">
        <f aca="false">IFERROR(__xludf.dummyfunction("""COMPUTED_VALUE"""),"Trần Đức Lương")</f>
        <v>Trần Đức Lương</v>
      </c>
      <c r="M246" s="71"/>
      <c r="N246" s="77" t="str">
        <f aca="false">IFERROR(__xludf.dummyfunction("""COMPUTED_VALUE"""),"3110")</f>
        <v>3110</v>
      </c>
      <c r="O246" s="63" t="n">
        <f aca="false">IFERROR(__xludf.dummyfunction("""COMPUTED_VALUE"""),167260)</f>
        <v>167260</v>
      </c>
      <c r="P246" s="63"/>
      <c r="Q246" s="63"/>
      <c r="R246" s="41"/>
      <c r="S246" s="41"/>
      <c r="T246" s="63"/>
      <c r="U246" s="63"/>
      <c r="V246" s="70" t="n">
        <f aca="false">IFERROR(__xludf.dummyfunction("""COMPUTED_VALUE"""),46243)</f>
        <v>46243</v>
      </c>
      <c r="W246" s="39"/>
      <c r="X246" s="41" t="str">
        <f aca="false">IFERROR(__xludf.dummyfunction("""COMPUTED_VALUE"""),"Trangnth2")</f>
        <v>Trangnth2</v>
      </c>
      <c r="Y246" s="44" t="str">
        <f aca="false">IFERROR(__xludf.dummyfunction("""COMPUTED_VALUE"""),"done")</f>
        <v>done</v>
      </c>
      <c r="Z246" s="57" t="str">
        <f aca="false">IFERROR(__xludf.dummyfunction("""COMPUTED_VALUE"""),"#N/A")</f>
        <v>#N/A</v>
      </c>
      <c r="AA246" s="57"/>
      <c r="AB246" s="41" t="n">
        <f aca="false">IFERROR(__xludf.dummyfunction("""COMPUTED_VALUE"""),8)</f>
        <v>8</v>
      </c>
      <c r="AC246" s="57" t="str">
        <f aca="false">IFERROR(__xludf.dummyfunction("""COMPUTED_VALUE"""),"dungtt2@hocmai.vn                ")</f>
        <v>dungtt2@hocmai.vn                </v>
      </c>
      <c r="AD246" s="46" t="str">
        <f aca="false">IFERROR(__xludf.dummyfunction("""COMPUTED_VALUE"""),"ss.hsa01@ctv.hocmai.vn")</f>
        <v>ss.hsa01@ctv.hocmai.vn</v>
      </c>
      <c r="AE246" s="46"/>
      <c r="AF246" s="74" t="b">
        <f aca="false">IFERROR(__xludf.dummyfunction("""COMPUTED_VALUE"""),FALSE())</f>
        <v>0</v>
      </c>
      <c r="AG246" s="46" t="str">
        <f aca="false">IFERROR(__xludf.dummyfunction("""COMPUTED_VALUE"""),"")</f>
        <v/>
      </c>
      <c r="AH246" s="35"/>
      <c r="AI246" s="53" t="b">
        <f aca="false">IFERROR(__xludf.dummyfunction("""COMPUTED_VALUE"""),TRUE())</f>
        <v>1</v>
      </c>
      <c r="AJ246" s="35"/>
      <c r="AK246" s="35"/>
      <c r="AL246" s="35"/>
      <c r="AM246" s="35"/>
      <c r="AN246" s="35"/>
      <c r="AO246" s="46"/>
    </row>
    <row r="247" customFormat="false" ht="15.75" hidden="false" customHeight="true" outlineLevel="0" collapsed="false">
      <c r="A247" s="37" t="str">
        <f aca="false">IFERROR(__xludf.dummyfunction("""COMPUTED_VALUE"""),"Toán")</f>
        <v>Toán</v>
      </c>
      <c r="B247" s="37" t="str">
        <f aca="false">IFERROR(__xludf.dummyfunction("""COMPUTED_VALUE"""),"TOV_HSA_DL08")</f>
        <v>TOV_HSA_DL08</v>
      </c>
      <c r="C247" s="59" t="str">
        <f aca="false">IFERROR(__xludf.dummyfunction("""COMPUTED_VALUE"""),"Định lý Kaplansky và các ứng dụng")</f>
        <v>Định lý Kaplansky và các ứng dụng</v>
      </c>
      <c r="D247" s="39" t="str">
        <f aca="false">IFERROR(__xludf.dummyfunction("""COMPUTED_VALUE"""),"Nguyễn Thanh Tùng")</f>
        <v>Nguyễn Thanh Tùng</v>
      </c>
      <c r="E247" s="40" t="n">
        <f aca="false">IFERROR(__xludf.dummyfunction("""COMPUTED_VALUE"""),46240)</f>
        <v>46240</v>
      </c>
      <c r="F247" s="41" t="n">
        <f aca="false">IFERROR(__xludf.dummyfunction("""COMPUTED_VALUE"""),5)</f>
        <v>5</v>
      </c>
      <c r="G247" s="37" t="str">
        <f aca="false">IFERROR(__xludf.dummyfunction("""COMPUTED_VALUE"""),"18:00-20:00")</f>
        <v>18:00-20:00</v>
      </c>
      <c r="H247" s="37"/>
      <c r="I247" s="37"/>
      <c r="J247" s="37"/>
      <c r="K247" s="68" t="str">
        <f aca="false">IFERROR(__xludf.dummyfunction("""COMPUTED_VALUE"""),"Lent")</f>
        <v>Lent</v>
      </c>
      <c r="L247" s="68" t="str">
        <f aca="false">IFERROR(__xludf.dummyfunction("""COMPUTED_VALUE"""),"Tưởng Thị Huyền Trang")</f>
        <v>Tưởng Thị Huyền Trang</v>
      </c>
      <c r="M247" s="71"/>
      <c r="N247" s="77" t="str">
        <f aca="false">IFERROR(__xludf.dummyfunction("""COMPUTED_VALUE"""),"3117,3315")</f>
        <v>3117,3315</v>
      </c>
      <c r="O247" s="73" t="n">
        <f aca="false">IFERROR(__xludf.dummyfunction("""COMPUTED_VALUE"""),168585.168326)</f>
        <v>168585.168326</v>
      </c>
      <c r="P247" s="63" t="str">
        <f aca="false">IFERROR(__xludf.dummyfunction("""COMPUTED_VALUE"""),"9028,9036,9104,9106")</f>
        <v>9028,9036,9104,9106</v>
      </c>
      <c r="Q247" s="63" t="n">
        <f aca="false">IFERROR(__xludf.dummyfunction("""COMPUTED_VALUE"""),168326)</f>
        <v>168326</v>
      </c>
      <c r="R247" s="41"/>
      <c r="S247" s="41"/>
      <c r="T247" s="63"/>
      <c r="U247" s="63"/>
      <c r="V247" s="70" t="n">
        <f aca="false">IFERROR(__xludf.dummyfunction("""COMPUTED_VALUE"""),46243)</f>
        <v>46243</v>
      </c>
      <c r="W247" s="39"/>
      <c r="X247" s="41" t="str">
        <f aca="false">IFERROR(__xludf.dummyfunction("""COMPUTED_VALUE"""),"Lent")</f>
        <v>Lent</v>
      </c>
      <c r="Y247" s="44" t="str">
        <f aca="false">IFERROR(__xludf.dummyfunction("""COMPUTED_VALUE"""),"done")</f>
        <v>done</v>
      </c>
      <c r="Z247" s="57" t="str">
        <f aca="false">IFERROR(__xludf.dummyfunction("""COMPUTED_VALUE"""),"#N/A")</f>
        <v>#N/A</v>
      </c>
      <c r="AA247" s="57"/>
      <c r="AB247" s="41" t="n">
        <f aca="false">IFERROR(__xludf.dummyfunction("""COMPUTED_VALUE"""),8)</f>
        <v>8</v>
      </c>
      <c r="AC247" s="57" t="str">
        <f aca="false">IFERROR(__xludf.dummyfunction("""COMPUTED_VALUE"""),"gv.tungnt@hocmai.edu.vn ")</f>
        <v>gv.tungnt@hocmai.edu.vn </v>
      </c>
      <c r="AD247" s="46" t="str">
        <f aca="false">IFERROR(__xludf.dummyfunction("""COMPUTED_VALUE"""),"trangcrazy699@gmail.com")</f>
        <v>trangcrazy699@gmail.com</v>
      </c>
      <c r="AE247" s="46"/>
      <c r="AF247" s="47" t="str">
        <f aca="false">IFERROR(__xludf.dummyfunction("""COMPUTED_VALUE"""),"lophoctoan-946240")</f>
        <v>lophoctoan-946240</v>
      </c>
      <c r="AG247" s="46" t="str">
        <f aca="false">IFERROR(__xludf.dummyfunction("""COMPUTED_VALUE"""),"")</f>
        <v/>
      </c>
      <c r="AH247" s="35"/>
      <c r="AI247" s="35"/>
      <c r="AJ247" s="53" t="b">
        <f aca="false">IFERROR(__xludf.dummyfunction("""COMPUTED_VALUE"""),TRUE())</f>
        <v>1</v>
      </c>
      <c r="AK247" s="53" t="b">
        <f aca="false">IFERROR(__xludf.dummyfunction("""COMPUTED_VALUE"""),TRUE())</f>
        <v>1</v>
      </c>
      <c r="AL247" s="35"/>
      <c r="AM247" s="35"/>
      <c r="AN247" s="35"/>
      <c r="AO247" s="46"/>
    </row>
    <row r="248" customFormat="false" ht="15.75" hidden="false" customHeight="true" outlineLevel="0" collapsed="false">
      <c r="A248" s="37" t="str">
        <f aca="false">IFERROR(__xludf.dummyfunction("""COMPUTED_VALUE"""),"Vật lí")</f>
        <v>Vật lí</v>
      </c>
      <c r="B248" s="37" t="str">
        <f aca="false">IFERROR(__xludf.dummyfunction("""COMPUTED_VALUE"""),"TOV_HSA_VL08")</f>
        <v>TOV_HSA_VL08</v>
      </c>
      <c r="C248" s="59" t="str">
        <f aca="false">IFERROR(__xludf.dummyfunction("""COMPUTED_VALUE"""),"Điện trường")</f>
        <v>Điện trường</v>
      </c>
      <c r="D248" s="39" t="str">
        <f aca="false">IFERROR(__xludf.dummyfunction("""COMPUTED_VALUE"""),"Nguyễn Hữu Tình")</f>
        <v>Nguyễn Hữu Tình</v>
      </c>
      <c r="E248" s="40" t="n">
        <f aca="false">IFERROR(__xludf.dummyfunction("""COMPUTED_VALUE"""),46240)</f>
        <v>46240</v>
      </c>
      <c r="F248" s="41" t="n">
        <f aca="false">IFERROR(__xludf.dummyfunction("""COMPUTED_VALUE"""),5)</f>
        <v>5</v>
      </c>
      <c r="G248" s="37" t="str">
        <f aca="false">IFERROR(__xludf.dummyfunction("""COMPUTED_VALUE"""),"21:00-23:00")</f>
        <v>21:00-23:00</v>
      </c>
      <c r="H248" s="37"/>
      <c r="I248" s="37"/>
      <c r="J248" s="42" t="str">
        <f aca="false">IFERROR(__xludf.dummyfunction("""COMPUTED_VALUE"""),"https://drive.google.com/drive/folders/1jxvj2Ak2QjDZPzgLcijxgtZO4ctc52HC?usp=drive_link")</f>
        <v>https://drive.google.com/drive/folders/1jxvj2Ak2QjDZPzgLcijxgtZO4ctc52HC?usp=drive_link</v>
      </c>
      <c r="K248" s="68" t="str">
        <f aca="false">IFERROR(__xludf.dummyfunction("""COMPUTED_VALUE"""),"Trangnth2")</f>
        <v>Trangnth2</v>
      </c>
      <c r="L248" s="68" t="str">
        <f aca="false">IFERROR(__xludf.dummyfunction("""COMPUTED_VALUE"""),"Kiều Bảo Minh")</f>
        <v>Kiều Bảo Minh</v>
      </c>
      <c r="M248" s="71"/>
      <c r="N248" s="76" t="str">
        <f aca="false">IFERROR(__xludf.dummyfunction("""COMPUTED_VALUE"""),"3119")</f>
        <v>3119</v>
      </c>
      <c r="O248" s="63" t="n">
        <f aca="false">IFERROR(__xludf.dummyfunction("""COMPUTED_VALUE"""),167523)</f>
        <v>167523</v>
      </c>
      <c r="P248" s="63"/>
      <c r="Q248" s="63"/>
      <c r="R248" s="41"/>
      <c r="S248" s="41"/>
      <c r="T248" s="63"/>
      <c r="U248" s="63" t="n">
        <f aca="false">IFERROR(__xludf.dummyfunction("""COMPUTED_VALUE"""),10464)</f>
        <v>10464</v>
      </c>
      <c r="V248" s="70" t="n">
        <f aca="false">IFERROR(__xludf.dummyfunction("""COMPUTED_VALUE"""),46243)</f>
        <v>46243</v>
      </c>
      <c r="W248" s="39"/>
      <c r="X248" s="41" t="str">
        <f aca="false">IFERROR(__xludf.dummyfunction("""COMPUTED_VALUE"""),"Trangnth2")</f>
        <v>Trangnth2</v>
      </c>
      <c r="Y248" s="44" t="str">
        <f aca="false">IFERROR(__xludf.dummyfunction("""COMPUTED_VALUE"""),"done")</f>
        <v>done</v>
      </c>
      <c r="Z248" s="57" t="str">
        <f aca="false">IFERROR(__xludf.dummyfunction("""COMPUTED_VALUE"""),"#N/A")</f>
        <v>#N/A</v>
      </c>
      <c r="AA248" s="57"/>
      <c r="AB248" s="41" t="n">
        <f aca="false">IFERROR(__xludf.dummyfunction("""COMPUTED_VALUE"""),8)</f>
        <v>8</v>
      </c>
      <c r="AC248" s="57" t="str">
        <f aca="false">IFERROR(__xludf.dummyfunction("""COMPUTED_VALUE"""),"gv.tinhnh@hocmai.edu.vn ")</f>
        <v>gv.tinhnh@hocmai.edu.vn </v>
      </c>
      <c r="AD248" s="46" t="str">
        <f aca="false">IFERROR(__xludf.dummyfunction("""COMPUTED_VALUE"""),"mkieu2662@gmail.com")</f>
        <v>mkieu2662@gmail.com</v>
      </c>
      <c r="AE248" s="46"/>
      <c r="AF248" s="74" t="b">
        <f aca="false">IFERROR(__xludf.dummyfunction("""COMPUTED_VALUE"""),FALSE())</f>
        <v>0</v>
      </c>
      <c r="AG248" s="46" t="str">
        <f aca="false">IFERROR(__xludf.dummyfunction("""COMPUTED_VALUE"""),"")</f>
        <v/>
      </c>
      <c r="AH248" s="35"/>
      <c r="AI248" s="35"/>
      <c r="AJ248" s="53" t="b">
        <f aca="false">IFERROR(__xludf.dummyfunction("""COMPUTED_VALUE"""),TRUE())</f>
        <v>1</v>
      </c>
      <c r="AK248" s="53" t="b">
        <f aca="false">IFERROR(__xludf.dummyfunction("""COMPUTED_VALUE"""),TRUE())</f>
        <v>1</v>
      </c>
      <c r="AL248" s="35"/>
      <c r="AM248" s="35"/>
      <c r="AN248" s="35"/>
      <c r="AO248" s="46"/>
    </row>
    <row r="249" customFormat="false" ht="15.75" hidden="false" customHeight="true" outlineLevel="0" collapsed="false">
      <c r="A249" s="37" t="str">
        <f aca="false">IFERROR(__xludf.dummyfunction("""COMPUTED_VALUE"""),"Toán")</f>
        <v>Toán</v>
      </c>
      <c r="B249" s="37" t="str">
        <f aca="false">IFERROR(__xludf.dummyfunction("""COMPUTED_VALUE"""),"TOA_V-ACT_T08")</f>
        <v>TOA_V-ACT_T08</v>
      </c>
      <c r="C249" s="59" t="str">
        <f aca="false">IFERROR(__xludf.dummyfunction("""COMPUTED_VALUE"""),"Các phương pháp và kĩ năng xử lí bài toán phương trình - hệ phương trình, bất phương trình (P1)")</f>
        <v>Các phương pháp và kĩ năng xử lí bài toán phương trình - hệ phương trình, bất phương trình (P1)</v>
      </c>
      <c r="D249" s="39" t="str">
        <f aca="false">IFERROR(__xludf.dummyfunction("""COMPUTED_VALUE"""),"Nguyễn Hoài Nam")</f>
        <v>Nguyễn Hoài Nam</v>
      </c>
      <c r="E249" s="40" t="n">
        <f aca="false">IFERROR(__xludf.dummyfunction("""COMPUTED_VALUE"""),46240)</f>
        <v>46240</v>
      </c>
      <c r="F249" s="41" t="n">
        <f aca="false">IFERROR(__xludf.dummyfunction("""COMPUTED_VALUE"""),5)</f>
        <v>5</v>
      </c>
      <c r="G249" s="37" t="str">
        <f aca="false">IFERROR(__xludf.dummyfunction("""COMPUTED_VALUE"""),"21:00-22:30")</f>
        <v>21:00-22:30</v>
      </c>
      <c r="H249" s="37"/>
      <c r="I249" s="37"/>
      <c r="J249" s="37"/>
      <c r="K249" s="68" t="str">
        <f aca="false">IFERROR(__xludf.dummyfunction("""COMPUTED_VALUE"""),"Lent")</f>
        <v>Lent</v>
      </c>
      <c r="L249" s="68" t="str">
        <f aca="false">IFERROR(__xludf.dummyfunction("""COMPUTED_VALUE"""),"Lường Nhật Nam")</f>
        <v>Lường Nhật Nam</v>
      </c>
      <c r="M249" s="71"/>
      <c r="N249" s="77" t="str">
        <f aca="false">IFERROR(__xludf.dummyfunction("""COMPUTED_VALUE"""),"3124,3316")</f>
        <v>3124,3316</v>
      </c>
      <c r="O249" s="73" t="n">
        <f aca="false">IFERROR(__xludf.dummyfunction("""COMPUTED_VALUE"""),167195.166862)</f>
        <v>167195.166862</v>
      </c>
      <c r="P249" s="63" t="n">
        <f aca="false">IFERROR(__xludf.dummyfunction("""COMPUTED_VALUE"""),9044.9108)</f>
        <v>9044.9108</v>
      </c>
      <c r="Q249" s="63" t="n">
        <f aca="false">IFERROR(__xludf.dummyfunction("""COMPUTED_VALUE"""),167195)</f>
        <v>167195</v>
      </c>
      <c r="R249" s="41" t="n">
        <f aca="false">IFERROR(__xludf.dummyfunction("""COMPUTED_VALUE"""),166862)</f>
        <v>166862</v>
      </c>
      <c r="S249" s="41"/>
      <c r="T249" s="63"/>
      <c r="U249" s="63"/>
      <c r="V249" s="70" t="n">
        <f aca="false">IFERROR(__xludf.dummyfunction("""COMPUTED_VALUE"""),46243)</f>
        <v>46243</v>
      </c>
      <c r="W249" s="39"/>
      <c r="X249" s="41" t="str">
        <f aca="false">IFERROR(__xludf.dummyfunction("""COMPUTED_VALUE"""),"Lent")</f>
        <v>Lent</v>
      </c>
      <c r="Y249" s="44" t="str">
        <f aca="false">IFERROR(__xludf.dummyfunction("""COMPUTED_VALUE"""),"done")</f>
        <v>done</v>
      </c>
      <c r="Z249" s="57" t="str">
        <f aca="false">IFERROR(__xludf.dummyfunction("""COMPUTED_VALUE"""),"#N/A")</f>
        <v>#N/A</v>
      </c>
      <c r="AA249" s="57"/>
      <c r="AB249" s="41" t="n">
        <f aca="false">IFERROR(__xludf.dummyfunction("""COMPUTED_VALUE"""),8)</f>
        <v>8</v>
      </c>
      <c r="AC249" s="57" t="str">
        <f aca="false">IFERROR(__xludf.dummyfunction("""COMPUTED_VALUE"""),"gv.namnh@hocmai.edu.vn ")</f>
        <v>gv.namnh@hocmai.edu.vn </v>
      </c>
      <c r="AD249" s="46" t="str">
        <f aca="false">IFERROR(__xludf.dummyfunction("""COMPUTED_VALUE"""),"nhatnam1092@gmail.com")</f>
        <v>nhatnam1092@gmail.com</v>
      </c>
      <c r="AE249" s="46"/>
      <c r="AF249" s="47" t="str">
        <f aca="false">IFERROR(__xludf.dummyfunction("""COMPUTED_VALUE"""),"lophoctoan-946240")</f>
        <v>lophoctoan-946240</v>
      </c>
      <c r="AG249" s="46" t="str">
        <f aca="false">IFERROR(__xludf.dummyfunction("""COMPUTED_VALUE"""),"")</f>
        <v/>
      </c>
      <c r="AH249" s="35"/>
      <c r="AI249" s="35"/>
      <c r="AJ249" s="35"/>
      <c r="AK249" s="35"/>
      <c r="AL249" s="35"/>
      <c r="AM249" s="53" t="b">
        <f aca="false">IFERROR(__xludf.dummyfunction("""COMPUTED_VALUE"""),TRUE())</f>
        <v>1</v>
      </c>
      <c r="AN249" s="53" t="b">
        <f aca="false">IFERROR(__xludf.dummyfunction("""COMPUTED_VALUE"""),TRUE())</f>
        <v>1</v>
      </c>
      <c r="AO249" s="46"/>
    </row>
    <row r="250" customFormat="false" ht="15.75" hidden="false" customHeight="true" outlineLevel="0" collapsed="false">
      <c r="A250" s="37" t="str">
        <f aca="false">IFERROR(__xludf.dummyfunction("""COMPUTED_VALUE"""),"Thực chiến Khoa học")</f>
        <v>Thực chiến Khoa học</v>
      </c>
      <c r="B250" s="37" t="str">
        <f aca="false">IFERROR(__xludf.dummyfunction("""COMPUTED_VALUE"""),"TC_TSA_KH_14")</f>
        <v>TC_TSA_KH_14</v>
      </c>
      <c r="C250" s="59" t="str">
        <f aca="false">IFERROR(__xludf.dummyfunction("""COMPUTED_VALUE"""),"[Bổ trợ]_Chữa bài tập TSA_Tư duy Khoa học số 14")</f>
        <v>[Bổ trợ]_Chữa bài tập TSA_Tư duy Khoa học số 14</v>
      </c>
      <c r="D250" s="39" t="str">
        <f aca="false">IFERROR(__xludf.dummyfunction("""COMPUTED_VALUE"""),"Phạm Huy Hoàng")</f>
        <v>Phạm Huy Hoàng</v>
      </c>
      <c r="E250" s="40" t="n">
        <f aca="false">IFERROR(__xludf.dummyfunction("""COMPUTED_VALUE"""),46240)</f>
        <v>46240</v>
      </c>
      <c r="F250" s="41" t="n">
        <f aca="false">IFERROR(__xludf.dummyfunction("""COMPUTED_VALUE"""),5)</f>
        <v>5</v>
      </c>
      <c r="G250" s="37" t="str">
        <f aca="false">IFERROR(__xludf.dummyfunction("""COMPUTED_VALUE"""),"19:00-20:00")</f>
        <v>19:00-20:00</v>
      </c>
      <c r="H250" s="37"/>
      <c r="I250" s="37"/>
      <c r="J250" s="37"/>
      <c r="K250" s="68" t="str">
        <f aca="false">IFERROR(__xludf.dummyfunction("""COMPUTED_VALUE"""),"Trangnth2")</f>
        <v>Trangnth2</v>
      </c>
      <c r="L250" s="68" t="str">
        <f aca="false">IFERROR(__xludf.dummyfunction("""COMPUTED_VALUE"""),"HOCMAI")</f>
        <v>HOCMAI</v>
      </c>
      <c r="M250" s="71"/>
      <c r="N250" s="77" t="str">
        <f aca="false">IFERROR(__xludf.dummyfunction("""COMPUTED_VALUE"""),"3110")</f>
        <v>3110</v>
      </c>
      <c r="O250" s="63" t="n">
        <f aca="false">IFERROR(__xludf.dummyfunction("""COMPUTED_VALUE"""),176067)</f>
        <v>176067</v>
      </c>
      <c r="P250" s="60" t="str">
        <f aca="false">IFERROR(__xludf.dummyfunction("""COMPUTED_VALUE"""),"https://hocmai.vn/bai-giang-truc-tuyen/176067/.html")</f>
        <v>https://hocmai.vn/bai-giang-truc-tuyen/176067/.html</v>
      </c>
      <c r="Q250" s="63"/>
      <c r="R250" s="41"/>
      <c r="S250" s="41"/>
      <c r="T250" s="63"/>
      <c r="U250" s="63"/>
      <c r="V250" s="70" t="n">
        <f aca="false">IFERROR(__xludf.dummyfunction("""COMPUTED_VALUE"""),46243)</f>
        <v>46243</v>
      </c>
      <c r="W250" s="39"/>
      <c r="X250" s="41" t="str">
        <f aca="false">IFERROR(__xludf.dummyfunction("""COMPUTED_VALUE"""),"Vuta")</f>
        <v>Vuta</v>
      </c>
      <c r="Y250" s="44"/>
      <c r="Z250" s="57"/>
      <c r="AA250" s="57"/>
      <c r="AB250" s="41" t="n">
        <f aca="false">IFERROR(__xludf.dummyfunction("""COMPUTED_VALUE"""),8)</f>
        <v>8</v>
      </c>
      <c r="AC250" s="57" t="str">
        <f aca="false">IFERROR(__xludf.dummyfunction("""COMPUTED_VALUE"""),"0376611308")</f>
        <v>0376611308</v>
      </c>
      <c r="AD250" s="46"/>
      <c r="AE250" s="46"/>
      <c r="AF250" s="47"/>
      <c r="AG250" s="46"/>
      <c r="AH250" s="53" t="b">
        <f aca="false">IFERROR(__xludf.dummyfunction("""COMPUTED_VALUE"""),FALSE())</f>
        <v>0</v>
      </c>
      <c r="AI250" s="53" t="b">
        <f aca="false">IFERROR(__xludf.dummyfunction("""COMPUTED_VALUE"""),TRUE())</f>
        <v>1</v>
      </c>
      <c r="AJ250" s="53" t="b">
        <f aca="false">IFERROR(__xludf.dummyfunction("""COMPUTED_VALUE"""),FALSE())</f>
        <v>0</v>
      </c>
      <c r="AK250" s="53" t="b">
        <f aca="false">IFERROR(__xludf.dummyfunction("""COMPUTED_VALUE"""),FALSE())</f>
        <v>0</v>
      </c>
      <c r="AL250" s="53" t="b">
        <f aca="false">IFERROR(__xludf.dummyfunction("""COMPUTED_VALUE"""),FALSE())</f>
        <v>0</v>
      </c>
      <c r="AM250" s="53" t="b">
        <f aca="false">IFERROR(__xludf.dummyfunction("""COMPUTED_VALUE"""),FALSE())</f>
        <v>0</v>
      </c>
      <c r="AN250" s="53" t="b">
        <f aca="false">IFERROR(__xludf.dummyfunction("""COMPUTED_VALUE"""),FALSE())</f>
        <v>0</v>
      </c>
      <c r="AO250" s="46"/>
    </row>
    <row r="251" customFormat="false" ht="15.75" hidden="false" customHeight="true" outlineLevel="0" collapsed="false">
      <c r="A251" s="37" t="str">
        <f aca="false">IFERROR(__xludf.dummyfunction("""COMPUTED_VALUE"""),"Toán")</f>
        <v>Toán</v>
      </c>
      <c r="B251" s="37" t="str">
        <f aca="false">IFERROR(__xludf.dummyfunction("""COMPUTED_VALUE"""),"TOV_TSA_T08")</f>
        <v>TOV_TSA_T08</v>
      </c>
      <c r="C251" s="59" t="str">
        <f aca="false">IFERROR(__xludf.dummyfunction("""COMPUTED_VALUE"""),"Hai bài toán gốc về đường đi tối ưu hay gặp và các bài toán liên quan")</f>
        <v>Hai bài toán gốc về đường đi tối ưu hay gặp và các bài toán liên quan</v>
      </c>
      <c r="D251" s="39" t="str">
        <f aca="false">IFERROR(__xludf.dummyfunction("""COMPUTED_VALUE"""),"Nguyễn Thanh Tùng")</f>
        <v>Nguyễn Thanh Tùng</v>
      </c>
      <c r="E251" s="40" t="n">
        <f aca="false">IFERROR(__xludf.dummyfunction("""COMPUTED_VALUE"""),46241)</f>
        <v>46241</v>
      </c>
      <c r="F251" s="41" t="n">
        <f aca="false">IFERROR(__xludf.dummyfunction("""COMPUTED_VALUE"""),6)</f>
        <v>6</v>
      </c>
      <c r="G251" s="37" t="str">
        <f aca="false">IFERROR(__xludf.dummyfunction("""COMPUTED_VALUE"""),"18:00-20:00")</f>
        <v>18:00-20:00</v>
      </c>
      <c r="H251" s="37"/>
      <c r="I251" s="37"/>
      <c r="J251" s="37"/>
      <c r="K251" s="68" t="str">
        <f aca="false">IFERROR(__xludf.dummyfunction("""COMPUTED_VALUE"""),"Locdd")</f>
        <v>Locdd</v>
      </c>
      <c r="L251" s="68" t="str">
        <f aca="false">IFERROR(__xludf.dummyfunction("""COMPUTED_VALUE"""),"Tưởng Thị Huyền Trang")</f>
        <v>Tưởng Thị Huyền Trang</v>
      </c>
      <c r="M251" s="71"/>
      <c r="N251" s="77" t="str">
        <f aca="false">IFERROR(__xludf.dummyfunction("""COMPUTED_VALUE"""),"3108")</f>
        <v>3108</v>
      </c>
      <c r="O251" s="63" t="n">
        <f aca="false">IFERROR(__xludf.dummyfunction("""COMPUTED_VALUE"""),168370)</f>
        <v>168370</v>
      </c>
      <c r="P251" s="63"/>
      <c r="Q251" s="63"/>
      <c r="R251" s="41"/>
      <c r="S251" s="41"/>
      <c r="T251" s="63"/>
      <c r="U251" s="63"/>
      <c r="V251" s="70" t="n">
        <f aca="false">IFERROR(__xludf.dummyfunction("""COMPUTED_VALUE"""),46244)</f>
        <v>46244</v>
      </c>
      <c r="W251" s="39"/>
      <c r="X251" s="41" t="str">
        <f aca="false">IFERROR(__xludf.dummyfunction("""COMPUTED_VALUE"""),"Locdd")</f>
        <v>Locdd</v>
      </c>
      <c r="Y251" s="44" t="str">
        <f aca="false">IFERROR(__xludf.dummyfunction("""COMPUTED_VALUE"""),"done")</f>
        <v>done</v>
      </c>
      <c r="Z251" s="57" t="str">
        <f aca="false">IFERROR(__xludf.dummyfunction("""COMPUTED_VALUE"""),"#N/A")</f>
        <v>#N/A</v>
      </c>
      <c r="AA251" s="57"/>
      <c r="AB251" s="41" t="n">
        <f aca="false">IFERROR(__xludf.dummyfunction("""COMPUTED_VALUE"""),8)</f>
        <v>8</v>
      </c>
      <c r="AC251" s="57" t="str">
        <f aca="false">IFERROR(__xludf.dummyfunction("""COMPUTED_VALUE"""),"gv.tungnt@hocmai.edu.vn ")</f>
        <v>gv.tungnt@hocmai.edu.vn </v>
      </c>
      <c r="AD251" s="46" t="str">
        <f aca="false">IFERROR(__xludf.dummyfunction("""COMPUTED_VALUE"""),"trangcrazy699@gmail.com")</f>
        <v>trangcrazy699@gmail.com</v>
      </c>
      <c r="AE251" s="46"/>
      <c r="AF251" s="47" t="str">
        <f aca="false">IFERROR(__xludf.dummyfunction("""COMPUTED_VALUE"""),"lophoctoan-946241")</f>
        <v>lophoctoan-946241</v>
      </c>
      <c r="AG251" s="46" t="str">
        <f aca="false">IFERROR(__xludf.dummyfunction("""COMPUTED_VALUE"""),"")</f>
        <v/>
      </c>
      <c r="AH251" s="35"/>
      <c r="AI251" s="53" t="b">
        <f aca="false">IFERROR(__xludf.dummyfunction("""COMPUTED_VALUE"""),TRUE())</f>
        <v>1</v>
      </c>
      <c r="AJ251" s="35"/>
      <c r="AK251" s="35"/>
      <c r="AL251" s="35"/>
      <c r="AM251" s="35"/>
      <c r="AN251" s="35"/>
      <c r="AO251" s="46"/>
    </row>
    <row r="252" customFormat="false" ht="15.75" hidden="false" customHeight="true" outlineLevel="0" collapsed="false">
      <c r="A252" s="37" t="str">
        <f aca="false">IFERROR(__xludf.dummyfunction("""COMPUTED_VALUE"""),"Sinh học")</f>
        <v>Sinh học</v>
      </c>
      <c r="B252" s="37" t="str">
        <f aca="false">IFERROR(__xludf.dummyfunction("""COMPUTED_VALUE"""),"TOV_HSA_SH08")</f>
        <v>TOV_HSA_SH08</v>
      </c>
      <c r="C252" s="59" t="str">
        <f aca="false">IFERROR(__xludf.dummyfunction("""COMPUTED_VALUE"""),"Sinh lí thực vật II: Quang hợp – Hô hấp – Sinh trưởng – Sinh sản")</f>
        <v>Sinh lí thực vật II: Quang hợp – Hô hấp – Sinh trưởng – Sinh sản</v>
      </c>
      <c r="D252" s="39" t="str">
        <f aca="false">IFERROR(__xludf.dummyfunction("""COMPUTED_VALUE"""),"Nguyễn Dương Ánh Hồng")</f>
        <v>Nguyễn Dương Ánh Hồng</v>
      </c>
      <c r="E252" s="40" t="n">
        <f aca="false">IFERROR(__xludf.dummyfunction("""COMPUTED_VALUE"""),46241)</f>
        <v>46241</v>
      </c>
      <c r="F252" s="41" t="n">
        <f aca="false">IFERROR(__xludf.dummyfunction("""COMPUTED_VALUE"""),6)</f>
        <v>6</v>
      </c>
      <c r="G252" s="37" t="str">
        <f aca="false">IFERROR(__xludf.dummyfunction("""COMPUTED_VALUE"""),"19:30-21:30")</f>
        <v>19:30-21:30</v>
      </c>
      <c r="H252" s="37"/>
      <c r="I252" s="37"/>
      <c r="J252" s="37"/>
      <c r="K252" s="68" t="str">
        <f aca="false">IFERROR(__xludf.dummyfunction("""COMPUTED_VALUE"""),"Phuongdt")</f>
        <v>Phuongdt</v>
      </c>
      <c r="L252" s="68" t="str">
        <f aca="false">IFERROR(__xludf.dummyfunction("""COMPUTED_VALUE"""),"Phan Đức Kiên")</f>
        <v>Phan Đức Kiên</v>
      </c>
      <c r="M252" s="71"/>
      <c r="N252" s="77" t="str">
        <f aca="false">IFERROR(__xludf.dummyfunction("""COMPUTED_VALUE"""),"3121")</f>
        <v>3121</v>
      </c>
      <c r="O252" s="63" t="n">
        <f aca="false">IFERROR(__xludf.dummyfunction("""COMPUTED_VALUE"""),167325)</f>
        <v>167325</v>
      </c>
      <c r="P252" s="63"/>
      <c r="Q252" s="63"/>
      <c r="R252" s="41"/>
      <c r="S252" s="41"/>
      <c r="T252" s="63" t="n">
        <f aca="false">IFERROR(__xludf.dummyfunction("""COMPUTED_VALUE"""),23839)</f>
        <v>23839</v>
      </c>
      <c r="U252" s="63"/>
      <c r="V252" s="70" t="n">
        <f aca="false">IFERROR(__xludf.dummyfunction("""COMPUTED_VALUE"""),46244)</f>
        <v>46244</v>
      </c>
      <c r="W252" s="39"/>
      <c r="X252" s="41" t="str">
        <f aca="false">IFERROR(__xludf.dummyfunction("""COMPUTED_VALUE"""),"Phuongdt")</f>
        <v>Phuongdt</v>
      </c>
      <c r="Y252" s="44" t="str">
        <f aca="false">IFERROR(__xludf.dummyfunction("""COMPUTED_VALUE"""),"done")</f>
        <v>done</v>
      </c>
      <c r="Z252" s="57" t="str">
        <f aca="false">IFERROR(__xludf.dummyfunction("""COMPUTED_VALUE"""),"#N/A")</f>
        <v>#N/A</v>
      </c>
      <c r="AA252" s="57"/>
      <c r="AB252" s="41" t="n">
        <f aca="false">IFERROR(__xludf.dummyfunction("""COMPUTED_VALUE"""),8)</f>
        <v>8</v>
      </c>
      <c r="AC252" s="57" t="str">
        <f aca="false">IFERROR(__xludf.dummyfunction("""COMPUTED_VALUE"""),"gv.hongnda@hocmai.edu.vn ")</f>
        <v>gv.hongnda@hocmai.edu.vn </v>
      </c>
      <c r="AD252" s="46" t="str">
        <f aca="false">IFERROR(__xludf.dummyfunction("""COMPUTED_VALUE"""),"duckien010607@gmail.com")</f>
        <v>duckien010607@gmail.com</v>
      </c>
      <c r="AE252" s="46"/>
      <c r="AF252" s="74" t="b">
        <f aca="false">IFERROR(__xludf.dummyfunction("""COMPUTED_VALUE"""),FALSE())</f>
        <v>0</v>
      </c>
      <c r="AG252" s="46" t="str">
        <f aca="false">IFERROR(__xludf.dummyfunction("""COMPUTED_VALUE"""),"")</f>
        <v/>
      </c>
      <c r="AH252" s="35"/>
      <c r="AI252" s="35"/>
      <c r="AJ252" s="53" t="b">
        <f aca="false">IFERROR(__xludf.dummyfunction("""COMPUTED_VALUE"""),TRUE())</f>
        <v>1</v>
      </c>
      <c r="AK252" s="53" t="b">
        <f aca="false">IFERROR(__xludf.dummyfunction("""COMPUTED_VALUE"""),TRUE())</f>
        <v>1</v>
      </c>
      <c r="AL252" s="35"/>
      <c r="AM252" s="35"/>
      <c r="AN252" s="35"/>
      <c r="AO252" s="46"/>
    </row>
    <row r="253" customFormat="false" ht="15.75" hidden="false" customHeight="true" outlineLevel="0" collapsed="false">
      <c r="A253" s="37" t="str">
        <f aca="false">IFERROR(__xludf.dummyfunction("""COMPUTED_VALUE"""),"Lịch sử")</f>
        <v>Lịch sử</v>
      </c>
      <c r="B253" s="37" t="str">
        <f aca="false">IFERROR(__xludf.dummyfunction("""COMPUTED_VALUE"""),"TOV_HSA_LS06")</f>
        <v>TOV_HSA_LS06</v>
      </c>
      <c r="C253" s="59" t="str">
        <f aca="false">IFERROR(__xludf.dummyfunction("""COMPUTED_VALUE"""),"Chủ nghĩa xã hội từ năm 1917 đến nay")</f>
        <v>Chủ nghĩa xã hội từ năm 1917 đến nay</v>
      </c>
      <c r="D253" s="39" t="str">
        <f aca="false">IFERROR(__xludf.dummyfunction("""COMPUTED_VALUE"""),"Dương Thị Huyền")</f>
        <v>Dương Thị Huyền</v>
      </c>
      <c r="E253" s="40" t="n">
        <f aca="false">IFERROR(__xludf.dummyfunction("""COMPUTED_VALUE"""),46241)</f>
        <v>46241</v>
      </c>
      <c r="F253" s="41" t="n">
        <f aca="false">IFERROR(__xludf.dummyfunction("""COMPUTED_VALUE"""),6)</f>
        <v>6</v>
      </c>
      <c r="G253" s="37" t="str">
        <f aca="false">IFERROR(__xludf.dummyfunction("""COMPUTED_VALUE"""),"21:30-23:30")</f>
        <v>21:30-23:30</v>
      </c>
      <c r="H253" s="37"/>
      <c r="I253" s="37"/>
      <c r="J253" s="37"/>
      <c r="K253" s="68" t="str">
        <f aca="false">IFERROR(__xludf.dummyfunction("""COMPUTED_VALUE"""),"Trinhntt")</f>
        <v>Trinhntt</v>
      </c>
      <c r="L253" s="68" t="str">
        <f aca="false">IFERROR(__xludf.dummyfunction("""COMPUTED_VALUE"""),"Phan Đức Kiên")</f>
        <v>Phan Đức Kiên</v>
      </c>
      <c r="M253" s="71"/>
      <c r="N253" s="77" t="str">
        <f aca="false">IFERROR(__xludf.dummyfunction("""COMPUTED_VALUE"""),"3122")</f>
        <v>3122</v>
      </c>
      <c r="O253" s="63" t="n">
        <f aca="false">IFERROR(__xludf.dummyfunction("""COMPUTED_VALUE"""),174733)</f>
        <v>174733</v>
      </c>
      <c r="P253" s="63"/>
      <c r="Q253" s="63"/>
      <c r="R253" s="41"/>
      <c r="S253" s="41"/>
      <c r="T253" s="63"/>
      <c r="U253" s="63"/>
      <c r="V253" s="70" t="n">
        <f aca="false">IFERROR(__xludf.dummyfunction("""COMPUTED_VALUE"""),46244)</f>
        <v>46244</v>
      </c>
      <c r="W253" s="39"/>
      <c r="X253" s="41" t="str">
        <f aca="false">IFERROR(__xludf.dummyfunction("""COMPUTED_VALUE"""),"Huent7")</f>
        <v>Huent7</v>
      </c>
      <c r="Y253" s="44"/>
      <c r="Z253" s="57" t="str">
        <f aca="false">IFERROR(__xludf.dummyfunction("""COMPUTED_VALUE"""),"#N/A")</f>
        <v>#N/A</v>
      </c>
      <c r="AA253" s="57"/>
      <c r="AB253" s="41"/>
      <c r="AC253" s="57" t="str">
        <f aca="false">IFERROR(__xludf.dummyfunction("""COMPUTED_VALUE"""),"gv.huyendt2@hocmai.edu.vn")</f>
        <v>gv.huyendt2@hocmai.edu.vn</v>
      </c>
      <c r="AD253" s="46" t="str">
        <f aca="false">IFERROR(__xludf.dummyfunction("""COMPUTED_VALUE"""),"duckien010607@gmail.com")</f>
        <v>duckien010607@gmail.com</v>
      </c>
      <c r="AE253" s="46"/>
      <c r="AF253" s="74" t="b">
        <f aca="false">IFERROR(__xludf.dummyfunction("""COMPUTED_VALUE"""),FALSE())</f>
        <v>0</v>
      </c>
      <c r="AG253" s="46" t="str">
        <f aca="false">IFERROR(__xludf.dummyfunction("""COMPUTED_VALUE"""),"")</f>
        <v/>
      </c>
      <c r="AH253" s="35"/>
      <c r="AI253" s="35"/>
      <c r="AJ253" s="53" t="b">
        <f aca="false">IFERROR(__xludf.dummyfunction("""COMPUTED_VALUE"""),TRUE())</f>
        <v>1</v>
      </c>
      <c r="AK253" s="53" t="b">
        <f aca="false">IFERROR(__xludf.dummyfunction("""COMPUTED_VALUE"""),TRUE())</f>
        <v>1</v>
      </c>
      <c r="AL253" s="35"/>
      <c r="AM253" s="35"/>
      <c r="AN253" s="35"/>
      <c r="AO253" s="46"/>
    </row>
    <row r="254" customFormat="false" ht="15.75" hidden="false" customHeight="true" outlineLevel="0" collapsed="false">
      <c r="A254" s="37" t="str">
        <f aca="false">IFERROR(__xludf.dummyfunction("""COMPUTED_VALUE"""),"Thực chiến Toán")</f>
        <v>Thực chiến Toán</v>
      </c>
      <c r="B254" s="37" t="str">
        <f aca="false">IFERROR(__xludf.dummyfunction("""COMPUTED_VALUE"""),"TC_V-ACT_T_10")</f>
        <v>TC_V-ACT_T_10</v>
      </c>
      <c r="C254" s="59" t="str">
        <f aca="false">IFERROR(__xludf.dummyfunction("""COMPUTED_VALUE"""),"[Bổ trợ]_Chữa bài tập_V-ACT_Toán số 10")</f>
        <v>[Bổ trợ]_Chữa bài tập_V-ACT_Toán số 10</v>
      </c>
      <c r="D254" s="39" t="str">
        <f aca="false">IFERROR(__xludf.dummyfunction("""COMPUTED_VALUE"""),"Lê Thế Anh")</f>
        <v>Lê Thế Anh</v>
      </c>
      <c r="E254" s="40" t="n">
        <f aca="false">IFERROR(__xludf.dummyfunction("""COMPUTED_VALUE"""),46241)</f>
        <v>46241</v>
      </c>
      <c r="F254" s="41" t="n">
        <f aca="false">IFERROR(__xludf.dummyfunction("""COMPUTED_VALUE"""),6)</f>
        <v>6</v>
      </c>
      <c r="G254" s="37" t="str">
        <f aca="false">IFERROR(__xludf.dummyfunction("""COMPUTED_VALUE"""),"18:45-19:45")</f>
        <v>18:45-19:45</v>
      </c>
      <c r="H254" s="37"/>
      <c r="I254" s="37"/>
      <c r="J254" s="37"/>
      <c r="K254" s="68" t="str">
        <f aca="false">IFERROR(__xludf.dummyfunction("""COMPUTED_VALUE"""),"lent")</f>
        <v>lent</v>
      </c>
      <c r="L254" s="68" t="str">
        <f aca="false">IFERROR(__xludf.dummyfunction("""COMPUTED_VALUE"""),"HOCMAI")</f>
        <v>HOCMAI</v>
      </c>
      <c r="M254" s="71"/>
      <c r="N254" s="77" t="str">
        <f aca="false">IFERROR(__xludf.dummyfunction("""COMPUTED_VALUE"""),"3124")</f>
        <v>3124</v>
      </c>
      <c r="O254" s="63" t="n">
        <f aca="false">IFERROR(__xludf.dummyfunction("""COMPUTED_VALUE"""),176087)</f>
        <v>176087</v>
      </c>
      <c r="P254" s="60" t="str">
        <f aca="false">IFERROR(__xludf.dummyfunction("""COMPUTED_VALUE"""),"https://hocmai.vn/bai-giang-truc-tuyen/176087/.html")</f>
        <v>https://hocmai.vn/bai-giang-truc-tuyen/176087/.html</v>
      </c>
      <c r="Q254" s="63"/>
      <c r="R254" s="41"/>
      <c r="S254" s="41"/>
      <c r="T254" s="63"/>
      <c r="U254" s="63"/>
      <c r="V254" s="70" t="n">
        <f aca="false">IFERROR(__xludf.dummyfunction("""COMPUTED_VALUE"""),46244)</f>
        <v>46244</v>
      </c>
      <c r="W254" s="39"/>
      <c r="X254" s="41" t="str">
        <f aca="false">IFERROR(__xludf.dummyfunction("""COMPUTED_VALUE"""),"Vuta")</f>
        <v>Vuta</v>
      </c>
      <c r="Y254" s="44"/>
      <c r="Z254" s="57"/>
      <c r="AA254" s="57"/>
      <c r="AB254" s="41" t="n">
        <f aca="false">IFERROR(__xludf.dummyfunction("""COMPUTED_VALUE"""),8)</f>
        <v>8</v>
      </c>
      <c r="AC254" s="57" t="str">
        <f aca="false">IFERROR(__xludf.dummyfunction("""COMPUTED_VALUE"""),"ss.vact01@ctv.hocmai.vn")</f>
        <v>ss.vact01@ctv.hocmai.vn</v>
      </c>
      <c r="AD254" s="46"/>
      <c r="AE254" s="46"/>
      <c r="AF254" s="47"/>
      <c r="AG254" s="46"/>
      <c r="AH254" s="53" t="b">
        <f aca="false">IFERROR(__xludf.dummyfunction("""COMPUTED_VALUE"""),FALSE())</f>
        <v>0</v>
      </c>
      <c r="AI254" s="53" t="b">
        <f aca="false">IFERROR(__xludf.dummyfunction("""COMPUTED_VALUE"""),FALSE())</f>
        <v>0</v>
      </c>
      <c r="AJ254" s="53" t="b">
        <f aca="false">IFERROR(__xludf.dummyfunction("""COMPUTED_VALUE"""),FALSE())</f>
        <v>0</v>
      </c>
      <c r="AK254" s="53" t="b">
        <f aca="false">IFERROR(__xludf.dummyfunction("""COMPUTED_VALUE"""),FALSE())</f>
        <v>0</v>
      </c>
      <c r="AL254" s="53" t="b">
        <f aca="false">IFERROR(__xludf.dummyfunction("""COMPUTED_VALUE"""),FALSE())</f>
        <v>0</v>
      </c>
      <c r="AM254" s="53" t="b">
        <f aca="false">IFERROR(__xludf.dummyfunction("""COMPUTED_VALUE"""),TRUE())</f>
        <v>1</v>
      </c>
      <c r="AN254" s="53" t="b">
        <f aca="false">IFERROR(__xludf.dummyfunction("""COMPUTED_VALUE"""),TRUE())</f>
        <v>1</v>
      </c>
      <c r="AO254" s="46"/>
    </row>
    <row r="255" customFormat="false" ht="15.75" hidden="false" customHeight="true" outlineLevel="0" collapsed="false">
      <c r="A255" s="37" t="str">
        <f aca="false">IFERROR(__xludf.dummyfunction("""COMPUTED_VALUE"""),"Thực chiến Tiếng Anh")</f>
        <v>Thực chiến Tiếng Anh</v>
      </c>
      <c r="B255" s="37" t="str">
        <f aca="false">IFERROR(__xludf.dummyfunction("""COMPUTED_VALUE"""),"TC_V-ACT_TA_09")</f>
        <v>TC_V-ACT_TA_09</v>
      </c>
      <c r="C255" s="59" t="str">
        <f aca="false">IFERROR(__xludf.dummyfunction("""COMPUTED_VALUE"""),"[Bổ trợ]_Chữa bài tập_V-ACT_Tiếng Anh số 09")</f>
        <v>[Bổ trợ]_Chữa bài tập_V-ACT_Tiếng Anh số 09</v>
      </c>
      <c r="D255" s="39" t="str">
        <f aca="false">IFERROR(__xludf.dummyfunction("""COMPUTED_VALUE"""),"Dung Thành Vinh")</f>
        <v>Dung Thành Vinh</v>
      </c>
      <c r="E255" s="40" t="n">
        <f aca="false">IFERROR(__xludf.dummyfunction("""COMPUTED_VALUE"""),46241)</f>
        <v>46241</v>
      </c>
      <c r="F255" s="41" t="n">
        <f aca="false">IFERROR(__xludf.dummyfunction("""COMPUTED_VALUE"""),6)</f>
        <v>6</v>
      </c>
      <c r="G255" s="37" t="str">
        <f aca="false">IFERROR(__xludf.dummyfunction("""COMPUTED_VALUE"""),"20:00-21:00")</f>
        <v>20:00-21:00</v>
      </c>
      <c r="H255" s="37"/>
      <c r="I255" s="37"/>
      <c r="J255" s="42" t="str">
        <f aca="false">IFERROR(__xludf.dummyfunction("""COMPUTED_VALUE"""),"https://drive.google.com/drive/folders/1Nbb5V-PjYF_E8RAMoBkUNclxNHisOQgL?usp=drive_link")</f>
        <v>https://drive.google.com/drive/folders/1Nbb5V-PjYF_E8RAMoBkUNclxNHisOQgL?usp=drive_link</v>
      </c>
      <c r="K255" s="68" t="str">
        <f aca="false">IFERROR(__xludf.dummyfunction("""COMPUTED_VALUE"""),"Huyenn2")</f>
        <v>Huyenn2</v>
      </c>
      <c r="L255" s="68" t="str">
        <f aca="false">IFERROR(__xludf.dummyfunction("""COMPUTED_VALUE"""),"HOCMAI")</f>
        <v>HOCMAI</v>
      </c>
      <c r="M255" s="71"/>
      <c r="N255" s="77" t="str">
        <f aca="false">IFERROR(__xludf.dummyfunction("""COMPUTED_VALUE"""),"3165")</f>
        <v>3165</v>
      </c>
      <c r="O255" s="63" t="n">
        <f aca="false">IFERROR(__xludf.dummyfunction("""COMPUTED_VALUE"""),176102)</f>
        <v>176102</v>
      </c>
      <c r="P255" s="60" t="str">
        <f aca="false">IFERROR(__xludf.dummyfunction("""COMPUTED_VALUE"""),"https://hocmai.vn/bai-giang-truc-tuyen/176102/.html")</f>
        <v>https://hocmai.vn/bai-giang-truc-tuyen/176102/.html</v>
      </c>
      <c r="Q255" s="63"/>
      <c r="R255" s="41"/>
      <c r="S255" s="41"/>
      <c r="T255" s="63"/>
      <c r="U255" s="63"/>
      <c r="V255" s="70" t="n">
        <f aca="false">IFERROR(__xludf.dummyfunction("""COMPUTED_VALUE"""),46244)</f>
        <v>46244</v>
      </c>
      <c r="W255" s="39" t="str">
        <f aca="false">IFERROR(__xludf.dummyfunction("""COMPUTED_VALUE"""),"Hoàn thành TL live")</f>
        <v>Hoàn thành TL live</v>
      </c>
      <c r="X255" s="41" t="str">
        <f aca="false">IFERROR(__xludf.dummyfunction("""COMPUTED_VALUE"""),"Vuta")</f>
        <v>Vuta</v>
      </c>
      <c r="Y255" s="44"/>
      <c r="Z255" s="57"/>
      <c r="AA255" s="57"/>
      <c r="AB255" s="41" t="n">
        <f aca="false">IFERROR(__xludf.dummyfunction("""COMPUTED_VALUE"""),8)</f>
        <v>8</v>
      </c>
      <c r="AC255" s="57" t="str">
        <f aca="false">IFERROR(__xludf.dummyfunction("""COMPUTED_VALUE"""),"shimlim04@gmail.com")</f>
        <v>shimlim04@gmail.com</v>
      </c>
      <c r="AD255" s="46"/>
      <c r="AE255" s="46"/>
      <c r="AF255" s="47"/>
      <c r="AG255" s="46"/>
      <c r="AH255" s="53" t="b">
        <f aca="false">IFERROR(__xludf.dummyfunction("""COMPUTED_VALUE"""),FALSE())</f>
        <v>0</v>
      </c>
      <c r="AI255" s="53" t="b">
        <f aca="false">IFERROR(__xludf.dummyfunction("""COMPUTED_VALUE"""),FALSE())</f>
        <v>0</v>
      </c>
      <c r="AJ255" s="53" t="b">
        <f aca="false">IFERROR(__xludf.dummyfunction("""COMPUTED_VALUE"""),FALSE())</f>
        <v>0</v>
      </c>
      <c r="AK255" s="53" t="b">
        <f aca="false">IFERROR(__xludf.dummyfunction("""COMPUTED_VALUE"""),FALSE())</f>
        <v>0</v>
      </c>
      <c r="AL255" s="53" t="b">
        <f aca="false">IFERROR(__xludf.dummyfunction("""COMPUTED_VALUE"""),FALSE())</f>
        <v>0</v>
      </c>
      <c r="AM255" s="53" t="b">
        <f aca="false">IFERROR(__xludf.dummyfunction("""COMPUTED_VALUE"""),TRUE())</f>
        <v>1</v>
      </c>
      <c r="AN255" s="53" t="b">
        <f aca="false">IFERROR(__xludf.dummyfunction("""COMPUTED_VALUE"""),TRUE())</f>
        <v>1</v>
      </c>
      <c r="AO255" s="46"/>
    </row>
    <row r="256" customFormat="false" ht="15.75" hidden="false" customHeight="true" outlineLevel="0" collapsed="false">
      <c r="A256" s="37" t="str">
        <f aca="false">IFERROR(__xludf.dummyfunction("""COMPUTED_VALUE"""),"Sinh học")</f>
        <v>Sinh học</v>
      </c>
      <c r="B256" s="37" t="str">
        <f aca="false">IFERROR(__xludf.dummyfunction("""COMPUTED_VALUE"""),"TOV_TSA_S04")</f>
        <v>TOV_TSA_S04</v>
      </c>
      <c r="C256" s="59" t="str">
        <f aca="false">IFERROR(__xludf.dummyfunction("""COMPUTED_VALUE"""),"Trao đổi chất và chuyển hóa năng lượng ở thực vật")</f>
        <v>Trao đổi chất và chuyển hóa năng lượng ở thực vật</v>
      </c>
      <c r="D256" s="39" t="str">
        <f aca="false">IFERROR(__xludf.dummyfunction("""COMPUTED_VALUE"""),"Vũ Khắc Ngọc")</f>
        <v>Vũ Khắc Ngọc</v>
      </c>
      <c r="E256" s="40" t="n">
        <f aca="false">IFERROR(__xludf.dummyfunction("""COMPUTED_VALUE"""),46242)</f>
        <v>46242</v>
      </c>
      <c r="F256" s="41" t="n">
        <f aca="false">IFERROR(__xludf.dummyfunction("""COMPUTED_VALUE"""),7)</f>
        <v>7</v>
      </c>
      <c r="G256" s="37" t="str">
        <f aca="false">IFERROR(__xludf.dummyfunction("""COMPUTED_VALUE"""),"21:30-23:30")</f>
        <v>21:30-23:30</v>
      </c>
      <c r="H256" s="37"/>
      <c r="I256" s="37"/>
      <c r="J256" s="37"/>
      <c r="K256" s="68" t="str">
        <f aca="false">IFERROR(__xludf.dummyfunction("""COMPUTED_VALUE"""),"Phuongdt")</f>
        <v>Phuongdt</v>
      </c>
      <c r="L256" s="68" t="str">
        <f aca="false">IFERROR(__xludf.dummyfunction("""COMPUTED_VALUE"""),"Bùi Vĩnh Thọ")</f>
        <v>Bùi Vĩnh Thọ</v>
      </c>
      <c r="M256" s="71"/>
      <c r="N256" s="77" t="str">
        <f aca="false">IFERROR(__xludf.dummyfunction("""COMPUTED_VALUE"""),"3110")</f>
        <v>3110</v>
      </c>
      <c r="O256" s="63" t="n">
        <f aca="false">IFERROR(__xludf.dummyfunction("""COMPUTED_VALUE"""),167261)</f>
        <v>167261</v>
      </c>
      <c r="P256" s="63"/>
      <c r="Q256" s="63"/>
      <c r="R256" s="41"/>
      <c r="S256" s="41"/>
      <c r="T256" s="63" t="n">
        <f aca="false">IFERROR(__xludf.dummyfunction("""COMPUTED_VALUE"""),23670)</f>
        <v>23670</v>
      </c>
      <c r="U256" s="63" t="n">
        <f aca="false">IFERROR(__xludf.dummyfunction("""COMPUTED_VALUE"""),10614)</f>
        <v>10614</v>
      </c>
      <c r="V256" s="70" t="n">
        <f aca="false">IFERROR(__xludf.dummyfunction("""COMPUTED_VALUE"""),46245)</f>
        <v>46245</v>
      </c>
      <c r="W256" s="39"/>
      <c r="X256" s="41" t="str">
        <f aca="false">IFERROR(__xludf.dummyfunction("""COMPUTED_VALUE"""),"Phuongdt")</f>
        <v>Phuongdt</v>
      </c>
      <c r="Y256" s="44" t="str">
        <f aca="false">IFERROR(__xludf.dummyfunction("""COMPUTED_VALUE"""),"done")</f>
        <v>done</v>
      </c>
      <c r="Z256" s="57" t="str">
        <f aca="false">IFERROR(__xludf.dummyfunction("""COMPUTED_VALUE"""),"#N/A")</f>
        <v>#N/A</v>
      </c>
      <c r="AA256" s="57"/>
      <c r="AB256" s="41" t="n">
        <f aca="false">IFERROR(__xludf.dummyfunction("""COMPUTED_VALUE"""),8)</f>
        <v>8</v>
      </c>
      <c r="AC256" s="57" t="str">
        <f aca="false">IFERROR(__xludf.dummyfunction("""COMPUTED_VALUE"""),"gv.ngocvk@hocmai.edu.vn")</f>
        <v>gv.ngocvk@hocmai.edu.vn</v>
      </c>
      <c r="AD256" s="46" t="str">
        <f aca="false">IFERROR(__xludf.dummyfunction("""COMPUTED_VALUE"""),"vinhtho0704@gmail.com")</f>
        <v>vinhtho0704@gmail.com</v>
      </c>
      <c r="AE256" s="46"/>
      <c r="AF256" s="74" t="b">
        <f aca="false">IFERROR(__xludf.dummyfunction("""COMPUTED_VALUE"""),FALSE())</f>
        <v>0</v>
      </c>
      <c r="AG256" s="46" t="str">
        <f aca="false">IFERROR(__xludf.dummyfunction("""COMPUTED_VALUE"""),"")</f>
        <v/>
      </c>
      <c r="AH256" s="35"/>
      <c r="AI256" s="53" t="b">
        <f aca="false">IFERROR(__xludf.dummyfunction("""COMPUTED_VALUE"""),TRUE())</f>
        <v>1</v>
      </c>
      <c r="AJ256" s="35"/>
      <c r="AK256" s="35"/>
      <c r="AL256" s="35"/>
      <c r="AM256" s="35"/>
      <c r="AN256" s="35"/>
      <c r="AO256" s="46"/>
    </row>
    <row r="257" customFormat="false" ht="15.75" hidden="false" customHeight="true" outlineLevel="0" collapsed="false">
      <c r="A257" s="37" t="str">
        <f aca="false">IFERROR(__xludf.dummyfunction("""COMPUTED_VALUE"""),"Khoa học")</f>
        <v>Khoa học</v>
      </c>
      <c r="B257" s="37" t="str">
        <f aca="false">IFERROR(__xludf.dummyfunction("""COMPUTED_VALUE"""),"TOS_V-ACT_KH08")</f>
        <v>TOS_V-ACT_KH08</v>
      </c>
      <c r="C257" s="37" t="str">
        <f aca="false">IFERROR(__xludf.dummyfunction("""COMPUTED_VALUE"""),"Phương pháp xây dựng công thức, quy luật mới từ dữ kiện bài đọc.")</f>
        <v>Phương pháp xây dựng công thức, quy luật mới từ dữ kiện bài đọc.</v>
      </c>
      <c r="D257" s="39" t="str">
        <f aca="false">IFERROR(__xludf.dummyfunction("""COMPUTED_VALUE"""),"Lê Văn Minh")</f>
        <v>Lê Văn Minh</v>
      </c>
      <c r="E257" s="40" t="n">
        <f aca="false">IFERROR(__xludf.dummyfunction("""COMPUTED_VALUE"""),46242)</f>
        <v>46242</v>
      </c>
      <c r="F257" s="41" t="n">
        <f aca="false">IFERROR(__xludf.dummyfunction("""COMPUTED_VALUE"""),7)</f>
        <v>7</v>
      </c>
      <c r="G257" s="37" t="str">
        <f aca="false">IFERROR(__xludf.dummyfunction("""COMPUTED_VALUE"""),"20:30-22:00")</f>
        <v>20:30-22:00</v>
      </c>
      <c r="H257" s="37"/>
      <c r="I257" s="37"/>
      <c r="J257" s="37"/>
      <c r="K257" s="68" t="str">
        <f aca="false">IFERROR(__xludf.dummyfunction("""COMPUTED_VALUE"""),"Kimnq")</f>
        <v>Kimnq</v>
      </c>
      <c r="L257" s="68" t="str">
        <f aca="false">IFERROR(__xludf.dummyfunction("""COMPUTED_VALUE"""),"Lê Quốc Việt")</f>
        <v>Lê Quốc Việt</v>
      </c>
      <c r="M257" s="71"/>
      <c r="N257" s="77" t="str">
        <f aca="false">IFERROR(__xludf.dummyfunction("""COMPUTED_VALUE"""),"3340,3126")</f>
        <v>3340,3126</v>
      </c>
      <c r="O257" s="73" t="n">
        <f aca="false">IFERROR(__xludf.dummyfunction("""COMPUTED_VALUE"""),167499.167386)</f>
        <v>167499.167386</v>
      </c>
      <c r="P257" s="63"/>
      <c r="Q257" s="63"/>
      <c r="R257" s="41"/>
      <c r="S257" s="41"/>
      <c r="T257" s="63"/>
      <c r="U257" s="63"/>
      <c r="V257" s="70" t="n">
        <f aca="false">IFERROR(__xludf.dummyfunction("""COMPUTED_VALUE"""),46245)</f>
        <v>46245</v>
      </c>
      <c r="W257" s="39"/>
      <c r="X257" s="41" t="str">
        <f aca="false">IFERROR(__xludf.dummyfunction("""COMPUTED_VALUE"""),"Kimnq")</f>
        <v>Kimnq</v>
      </c>
      <c r="Y257" s="44" t="str">
        <f aca="false">IFERROR(__xludf.dummyfunction("""COMPUTED_VALUE"""),"done")</f>
        <v>done</v>
      </c>
      <c r="Z257" s="57" t="str">
        <f aca="false">IFERROR(__xludf.dummyfunction("""COMPUTED_VALUE"""),"#N/A")</f>
        <v>#N/A</v>
      </c>
      <c r="AA257" s="57"/>
      <c r="AB257" s="41" t="n">
        <f aca="false">IFERROR(__xludf.dummyfunction("""COMPUTED_VALUE"""),8)</f>
        <v>8</v>
      </c>
      <c r="AC257" s="57" t="str">
        <f aca="false">IFERROR(__xludf.dummyfunction("""COMPUTED_VALUE"""),"gv.minhlv@hocmai.edu.vn		")</f>
        <v>gv.minhlv@hocmai.edu.vn		</v>
      </c>
      <c r="AD257" s="46" t="str">
        <f aca="false">IFERROR(__xludf.dummyfunction("""COMPUTED_VALUE"""),"Ralph02091@gmail.com")</f>
        <v>Ralph02091@gmail.com</v>
      </c>
      <c r="AE257" s="46"/>
      <c r="AF257" s="47" t="str">
        <f aca="false">IFERROR(__xludf.dummyfunction("""COMPUTED_VALUE"""),"lophoctoan-946242")</f>
        <v>lophoctoan-946242</v>
      </c>
      <c r="AG257" s="46" t="str">
        <f aca="false">IFERROR(__xludf.dummyfunction("""COMPUTED_VALUE"""),"")</f>
        <v/>
      </c>
      <c r="AH257" s="35"/>
      <c r="AI257" s="35"/>
      <c r="AJ257" s="35"/>
      <c r="AK257" s="35"/>
      <c r="AL257" s="35"/>
      <c r="AM257" s="53" t="b">
        <f aca="false">IFERROR(__xludf.dummyfunction("""COMPUTED_VALUE"""),TRUE())</f>
        <v>1</v>
      </c>
      <c r="AN257" s="53" t="b">
        <f aca="false">IFERROR(__xludf.dummyfunction("""COMPUTED_VALUE"""),TRUE())</f>
        <v>1</v>
      </c>
      <c r="AO257" s="46"/>
    </row>
    <row r="258" customFormat="false" ht="15.75" hidden="false" customHeight="true" outlineLevel="0" collapsed="false">
      <c r="A258" s="37" t="str">
        <f aca="false">IFERROR(__xludf.dummyfunction("""COMPUTED_VALUE"""),"Thực chiến Khoa học")</f>
        <v>Thực chiến Khoa học</v>
      </c>
      <c r="B258" s="37" t="str">
        <f aca="false">IFERROR(__xludf.dummyfunction("""COMPUTED_VALUE"""),"TC_TSA_KH_15")</f>
        <v>TC_TSA_KH_15</v>
      </c>
      <c r="C258" s="59" t="str">
        <f aca="false">IFERROR(__xludf.dummyfunction("""COMPUTED_VALUE"""),"[Bổ trợ]_Chữa bài tập TSA_Tư duy Khoa học số 15")</f>
        <v>[Bổ trợ]_Chữa bài tập TSA_Tư duy Khoa học số 15</v>
      </c>
      <c r="D258" s="39" t="str">
        <f aca="false">IFERROR(__xludf.dummyfunction("""COMPUTED_VALUE"""),"Nguyễn Trọng Trường Anh")</f>
        <v>Nguyễn Trọng Trường Anh</v>
      </c>
      <c r="E258" s="40" t="n">
        <f aca="false">IFERROR(__xludf.dummyfunction("""COMPUTED_VALUE"""),46242)</f>
        <v>46242</v>
      </c>
      <c r="F258" s="41" t="n">
        <f aca="false">IFERROR(__xludf.dummyfunction("""COMPUTED_VALUE"""),7)</f>
        <v>7</v>
      </c>
      <c r="G258" s="37" t="str">
        <f aca="false">IFERROR(__xludf.dummyfunction("""COMPUTED_VALUE"""),"19:00-20:00")</f>
        <v>19:00-20:00</v>
      </c>
      <c r="H258" s="37"/>
      <c r="I258" s="37"/>
      <c r="J258" s="37"/>
      <c r="K258" s="68" t="str">
        <f aca="false">IFERROR(__xludf.dummyfunction("""COMPUTED_VALUE"""),"Trangnth2")</f>
        <v>Trangnth2</v>
      </c>
      <c r="L258" s="68" t="str">
        <f aca="false">IFERROR(__xludf.dummyfunction("""COMPUTED_VALUE"""),"HOCMAI")</f>
        <v>HOCMAI</v>
      </c>
      <c r="M258" s="71"/>
      <c r="N258" s="77" t="str">
        <f aca="false">IFERROR(__xludf.dummyfunction("""COMPUTED_VALUE"""),"3110")</f>
        <v>3110</v>
      </c>
      <c r="O258" s="63" t="n">
        <f aca="false">IFERROR(__xludf.dummyfunction("""COMPUTED_VALUE"""),176068)</f>
        <v>176068</v>
      </c>
      <c r="P258" s="60" t="str">
        <f aca="false">IFERROR(__xludf.dummyfunction("""COMPUTED_VALUE"""),"https://hocmai.vn/bai-giang-truc-tuyen/176068/.html")</f>
        <v>https://hocmai.vn/bai-giang-truc-tuyen/176068/.html</v>
      </c>
      <c r="Q258" s="63"/>
      <c r="R258" s="41"/>
      <c r="S258" s="41"/>
      <c r="T258" s="63"/>
      <c r="U258" s="63"/>
      <c r="V258" s="70" t="n">
        <f aca="false">IFERROR(__xludf.dummyfunction("""COMPUTED_VALUE"""),46245)</f>
        <v>46245</v>
      </c>
      <c r="W258" s="39"/>
      <c r="X258" s="41" t="str">
        <f aca="false">IFERROR(__xludf.dummyfunction("""COMPUTED_VALUE"""),"Vuta")</f>
        <v>Vuta</v>
      </c>
      <c r="Y258" s="44"/>
      <c r="Z258" s="57"/>
      <c r="AA258" s="57"/>
      <c r="AB258" s="41" t="n">
        <f aca="false">IFERROR(__xludf.dummyfunction("""COMPUTED_VALUE"""),8)</f>
        <v>8</v>
      </c>
      <c r="AC258" s="57" t="str">
        <f aca="false">IFERROR(__xludf.dummyfunction("""COMPUTED_VALUE"""),"thochi1981@gmail.com")</f>
        <v>thochi1981@gmail.com</v>
      </c>
      <c r="AD258" s="46"/>
      <c r="AE258" s="46"/>
      <c r="AF258" s="47"/>
      <c r="AG258" s="46"/>
      <c r="AH258" s="53" t="b">
        <f aca="false">IFERROR(__xludf.dummyfunction("""COMPUTED_VALUE"""),FALSE())</f>
        <v>0</v>
      </c>
      <c r="AI258" s="53" t="b">
        <f aca="false">IFERROR(__xludf.dummyfunction("""COMPUTED_VALUE"""),TRUE())</f>
        <v>1</v>
      </c>
      <c r="AJ258" s="53" t="b">
        <f aca="false">IFERROR(__xludf.dummyfunction("""COMPUTED_VALUE"""),FALSE())</f>
        <v>0</v>
      </c>
      <c r="AK258" s="53" t="b">
        <f aca="false">IFERROR(__xludf.dummyfunction("""COMPUTED_VALUE"""),FALSE())</f>
        <v>0</v>
      </c>
      <c r="AL258" s="53" t="b">
        <f aca="false">IFERROR(__xludf.dummyfunction("""COMPUTED_VALUE"""),FALSE())</f>
        <v>0</v>
      </c>
      <c r="AM258" s="53" t="b">
        <f aca="false">IFERROR(__xludf.dummyfunction("""COMPUTED_VALUE"""),FALSE())</f>
        <v>0</v>
      </c>
      <c r="AN258" s="53" t="b">
        <f aca="false">IFERROR(__xludf.dummyfunction("""COMPUTED_VALUE"""),FALSE())</f>
        <v>0</v>
      </c>
      <c r="AO258" s="46"/>
    </row>
    <row r="259" customFormat="false" ht="15.75" hidden="false" customHeight="true" outlineLevel="0" collapsed="false">
      <c r="A259" s="37" t="str">
        <f aca="false">IFERROR(__xludf.dummyfunction("""COMPUTED_VALUE"""),"Thực chiến Định lượng")</f>
        <v>Thực chiến Định lượng</v>
      </c>
      <c r="B259" s="37" t="str">
        <f aca="false">IFERROR(__xludf.dummyfunction("""COMPUTED_VALUE"""),"TC_HSA_ĐL_10")</f>
        <v>TC_HSA_ĐL_10</v>
      </c>
      <c r="C259" s="59" t="str">
        <f aca="false">IFERROR(__xludf.dummyfunction("""COMPUTED_VALUE"""),"[Bổ trợ]_Chữa bài tập _Tư duy Định lượng số 10")</f>
        <v>[Bổ trợ]_Chữa bài tập _Tư duy Định lượng số 10</v>
      </c>
      <c r="D259" s="39" t="str">
        <f aca="false">IFERROR(__xludf.dummyfunction("""COMPUTED_VALUE"""),"Vi Vũ Trí Đức")</f>
        <v>Vi Vũ Trí Đức</v>
      </c>
      <c r="E259" s="40" t="n">
        <f aca="false">IFERROR(__xludf.dummyfunction("""COMPUTED_VALUE"""),46242)</f>
        <v>46242</v>
      </c>
      <c r="F259" s="41" t="n">
        <f aca="false">IFERROR(__xludf.dummyfunction("""COMPUTED_VALUE"""),7)</f>
        <v>7</v>
      </c>
      <c r="G259" s="37" t="str">
        <f aca="false">IFERROR(__xludf.dummyfunction("""COMPUTED_VALUE"""),"21:00-22:00")</f>
        <v>21:00-22:00</v>
      </c>
      <c r="H259" s="37"/>
      <c r="I259" s="37"/>
      <c r="J259" s="37"/>
      <c r="K259" s="68" t="str">
        <f aca="false">IFERROR(__xludf.dummyfunction("""COMPUTED_VALUE"""),"Locdd")</f>
        <v>Locdd</v>
      </c>
      <c r="L259" s="68" t="str">
        <f aca="false">IFERROR(__xludf.dummyfunction("""COMPUTED_VALUE"""),"HOCMAI")</f>
        <v>HOCMAI</v>
      </c>
      <c r="M259" s="71"/>
      <c r="N259" s="77" t="str">
        <f aca="false">IFERROR(__xludf.dummyfunction("""COMPUTED_VALUE"""),"3117")</f>
        <v>3117</v>
      </c>
      <c r="O259" s="63" t="n">
        <f aca="false">IFERROR(__xludf.dummyfunction("""COMPUTED_VALUE"""),176123)</f>
        <v>176123</v>
      </c>
      <c r="P259" s="60" t="str">
        <f aca="false">IFERROR(__xludf.dummyfunction("""COMPUTED_VALUE"""),"https://hocmai.vn/bai-giang-truc-tuyen/176123/.html")</f>
        <v>https://hocmai.vn/bai-giang-truc-tuyen/176123/.html</v>
      </c>
      <c r="Q259" s="63"/>
      <c r="R259" s="41"/>
      <c r="S259" s="41"/>
      <c r="T259" s="63"/>
      <c r="U259" s="63"/>
      <c r="V259" s="70" t="n">
        <f aca="false">IFERROR(__xludf.dummyfunction("""COMPUTED_VALUE"""),46245)</f>
        <v>46245</v>
      </c>
      <c r="W259" s="39"/>
      <c r="X259" s="41" t="str">
        <f aca="false">IFERROR(__xludf.dummyfunction("""COMPUTED_VALUE"""),"Vuta")</f>
        <v>Vuta</v>
      </c>
      <c r="Y259" s="44"/>
      <c r="Z259" s="57"/>
      <c r="AA259" s="57"/>
      <c r="AB259" s="41" t="n">
        <f aca="false">IFERROR(__xludf.dummyfunction("""COMPUTED_VALUE"""),8)</f>
        <v>8</v>
      </c>
      <c r="AC259" s="57" t="str">
        <f aca="false">IFERROR(__xludf.dummyfunction("""COMPUTED_VALUE"""),"tdstawesome@gmail.com")</f>
        <v>tdstawesome@gmail.com</v>
      </c>
      <c r="AD259" s="46"/>
      <c r="AE259" s="46"/>
      <c r="AF259" s="47"/>
      <c r="AG259" s="46"/>
      <c r="AH259" s="53" t="b">
        <f aca="false">IFERROR(__xludf.dummyfunction("""COMPUTED_VALUE"""),FALSE())</f>
        <v>0</v>
      </c>
      <c r="AI259" s="53" t="b">
        <f aca="false">IFERROR(__xludf.dummyfunction("""COMPUTED_VALUE"""),FALSE())</f>
        <v>0</v>
      </c>
      <c r="AJ259" s="53" t="b">
        <f aca="false">IFERROR(__xludf.dummyfunction("""COMPUTED_VALUE"""),TRUE())</f>
        <v>1</v>
      </c>
      <c r="AK259" s="53" t="b">
        <f aca="false">IFERROR(__xludf.dummyfunction("""COMPUTED_VALUE"""),TRUE())</f>
        <v>1</v>
      </c>
      <c r="AL259" s="53" t="b">
        <f aca="false">IFERROR(__xludf.dummyfunction("""COMPUTED_VALUE"""),FALSE())</f>
        <v>0</v>
      </c>
      <c r="AM259" s="53" t="b">
        <f aca="false">IFERROR(__xludf.dummyfunction("""COMPUTED_VALUE"""),FALSE())</f>
        <v>0</v>
      </c>
      <c r="AN259" s="53" t="b">
        <f aca="false">IFERROR(__xludf.dummyfunction("""COMPUTED_VALUE"""),FALSE())</f>
        <v>0</v>
      </c>
      <c r="AO259" s="46"/>
    </row>
    <row r="260" customFormat="false" ht="15.75" hidden="false" customHeight="true" outlineLevel="0" collapsed="false">
      <c r="A260" s="37" t="str">
        <f aca="false">IFERROR(__xludf.dummyfunction("""COMPUTED_VALUE"""),"Thực chiến Tiếng Việt")</f>
        <v>Thực chiến Tiếng Việt</v>
      </c>
      <c r="B260" s="37" t="str">
        <f aca="false">IFERROR(__xludf.dummyfunction("""COMPUTED_VALUE"""),"TC_V-ACT_TV_08")</f>
        <v>TC_V-ACT_TV_08</v>
      </c>
      <c r="C260" s="59" t="str">
        <f aca="false">IFERROR(__xludf.dummyfunction("""COMPUTED_VALUE"""),"[Bổ trợ]_Chữa bài tập_V-ACT_Tiếng Việt số 08")</f>
        <v>[Bổ trợ]_Chữa bài tập_V-ACT_Tiếng Việt số 08</v>
      </c>
      <c r="D260" s="39" t="str">
        <f aca="false">IFERROR(__xludf.dummyfunction("""COMPUTED_VALUE"""),"Nguyễn Thị Khánh Ly")</f>
        <v>Nguyễn Thị Khánh Ly</v>
      </c>
      <c r="E260" s="40" t="n">
        <f aca="false">IFERROR(__xludf.dummyfunction("""COMPUTED_VALUE"""),46242)</f>
        <v>46242</v>
      </c>
      <c r="F260" s="41" t="n">
        <f aca="false">IFERROR(__xludf.dummyfunction("""COMPUTED_VALUE"""),7)</f>
        <v>7</v>
      </c>
      <c r="G260" s="37" t="str">
        <f aca="false">IFERROR(__xludf.dummyfunction("""COMPUTED_VALUE"""),"19:00-20:00")</f>
        <v>19:00-20:00</v>
      </c>
      <c r="H260" s="37"/>
      <c r="I260" s="37"/>
      <c r="J260" s="37"/>
      <c r="K260" s="68" t="str">
        <f aca="false">IFERROR(__xludf.dummyfunction("""COMPUTED_VALUE"""),"Hoantt")</f>
        <v>Hoantt</v>
      </c>
      <c r="L260" s="68" t="str">
        <f aca="false">IFERROR(__xludf.dummyfunction("""COMPUTED_VALUE"""),"HOCMAI")</f>
        <v>HOCMAI</v>
      </c>
      <c r="M260" s="71"/>
      <c r="N260" s="77" t="str">
        <f aca="false">IFERROR(__xludf.dummyfunction("""COMPUTED_VALUE"""),"3125")</f>
        <v>3125</v>
      </c>
      <c r="O260" s="63" t="n">
        <f aca="false">IFERROR(__xludf.dummyfunction("""COMPUTED_VALUE"""),176113)</f>
        <v>176113</v>
      </c>
      <c r="P260" s="60" t="str">
        <f aca="false">IFERROR(__xludf.dummyfunction("""COMPUTED_VALUE"""),"https://hocmai.vn/bai-giang-truc-tuyen/176113/.html")</f>
        <v>https://hocmai.vn/bai-giang-truc-tuyen/176113/.html</v>
      </c>
      <c r="Q260" s="63"/>
      <c r="R260" s="41"/>
      <c r="S260" s="41"/>
      <c r="T260" s="63"/>
      <c r="U260" s="63"/>
      <c r="V260" s="70" t="n">
        <f aca="false">IFERROR(__xludf.dummyfunction("""COMPUTED_VALUE"""),46245)</f>
        <v>46245</v>
      </c>
      <c r="W260" s="39"/>
      <c r="X260" s="41" t="str">
        <f aca="false">IFERROR(__xludf.dummyfunction("""COMPUTED_VALUE"""),"Vuta")</f>
        <v>Vuta</v>
      </c>
      <c r="Y260" s="44"/>
      <c r="Z260" s="57"/>
      <c r="AA260" s="57"/>
      <c r="AB260" s="41" t="n">
        <f aca="false">IFERROR(__xludf.dummyfunction("""COMPUTED_VALUE"""),8)</f>
        <v>8</v>
      </c>
      <c r="AC260" s="57" t="str">
        <f aca="false">IFERROR(__xludf.dummyfunction("""COMPUTED_VALUE"""),"khanhly16092003@gmail.com")</f>
        <v>khanhly16092003@gmail.com</v>
      </c>
      <c r="AD260" s="46"/>
      <c r="AE260" s="46"/>
      <c r="AF260" s="47"/>
      <c r="AG260" s="46"/>
      <c r="AH260" s="53" t="b">
        <f aca="false">IFERROR(__xludf.dummyfunction("""COMPUTED_VALUE"""),FALSE())</f>
        <v>0</v>
      </c>
      <c r="AI260" s="53" t="b">
        <f aca="false">IFERROR(__xludf.dummyfunction("""COMPUTED_VALUE"""),FALSE())</f>
        <v>0</v>
      </c>
      <c r="AJ260" s="53" t="b">
        <f aca="false">IFERROR(__xludf.dummyfunction("""COMPUTED_VALUE"""),FALSE())</f>
        <v>0</v>
      </c>
      <c r="AK260" s="53" t="b">
        <f aca="false">IFERROR(__xludf.dummyfunction("""COMPUTED_VALUE"""),FALSE())</f>
        <v>0</v>
      </c>
      <c r="AL260" s="53" t="b">
        <f aca="false">IFERROR(__xludf.dummyfunction("""COMPUTED_VALUE"""),FALSE())</f>
        <v>0</v>
      </c>
      <c r="AM260" s="53" t="b">
        <f aca="false">IFERROR(__xludf.dummyfunction("""COMPUTED_VALUE"""),TRUE())</f>
        <v>1</v>
      </c>
      <c r="AN260" s="53" t="b">
        <f aca="false">IFERROR(__xludf.dummyfunction("""COMPUTED_VALUE"""),TRUE())</f>
        <v>1</v>
      </c>
      <c r="AO260" s="46"/>
    </row>
    <row r="261" customFormat="false" ht="15.75" hidden="false" customHeight="true" outlineLevel="0" collapsed="false">
      <c r="A261" s="37" t="str">
        <f aca="false">IFERROR(__xludf.dummyfunction("""COMPUTED_VALUE"""),"Toán")</f>
        <v>Toán</v>
      </c>
      <c r="B261" s="37" t="str">
        <f aca="false">IFERROR(__xludf.dummyfunction("""COMPUTED_VALUE"""),"NT_N_17")</f>
        <v>NT_N_17</v>
      </c>
      <c r="C261" s="59" t="str">
        <f aca="false">IFERROR(__xludf.dummyfunction("""COMPUTED_VALUE"""),"Ứng dụng vectơ và hệ tọa độ trong các bài toán thực tế")</f>
        <v>Ứng dụng vectơ và hệ tọa độ trong các bài toán thực tế</v>
      </c>
      <c r="D261" s="39" t="str">
        <f aca="false">IFERROR(__xludf.dummyfunction("""COMPUTED_VALUE"""),"Nguyễn Hoài Nam")</f>
        <v>Nguyễn Hoài Nam</v>
      </c>
      <c r="E261" s="40" t="n">
        <f aca="false">IFERROR(__xludf.dummyfunction("""COMPUTED_VALUE"""),46243)</f>
        <v>46243</v>
      </c>
      <c r="F261" s="41" t="str">
        <f aca="false">IFERROR(__xludf.dummyfunction("""COMPUTED_VALUE"""),"CN")</f>
        <v>CN</v>
      </c>
      <c r="G261" s="37" t="str">
        <f aca="false">IFERROR(__xludf.dummyfunction("""COMPUTED_VALUE"""),"21:00-22:30")</f>
        <v>21:00-22:30</v>
      </c>
      <c r="H261" s="37"/>
      <c r="I261" s="37"/>
      <c r="J261" s="37"/>
      <c r="K261" s="68" t="str">
        <f aca="false">IFERROR(__xludf.dummyfunction("""COMPUTED_VALUE"""),"lent")</f>
        <v>lent</v>
      </c>
      <c r="L261" s="68" t="str">
        <f aca="false">IFERROR(__xludf.dummyfunction("""COMPUTED_VALUE"""),"Tưởng Thị Huyền Trang")</f>
        <v>Tưởng Thị Huyền Trang</v>
      </c>
      <c r="M261" s="69" t="str">
        <f aca="false">IFERROR(__xludf.dummyfunction("""COMPUTED_VALUE"""),"https://hocmai.sharepoint.com/Education_Development/Lists/San_xuat_video/DispForm.aspx?ID=12204")</f>
        <v>https://hocmai.sharepoint.com/Education_Development/Lists/San_xuat_video/DispForm.aspx?ID=12204</v>
      </c>
      <c r="N261" s="78" t="n">
        <f aca="false">IFERROR(__xludf.dummyfunction("""COMPUTED_VALUE"""),3313)</f>
        <v>3313</v>
      </c>
      <c r="O261" s="63" t="n">
        <f aca="false">IFERROR(__xludf.dummyfunction("""COMPUTED_VALUE"""),166642)</f>
        <v>166642</v>
      </c>
      <c r="P261" s="63"/>
      <c r="Q261" s="63" t="n">
        <f aca="false">IFERROR(__xludf.dummyfunction("""COMPUTED_VALUE"""),8031)</f>
        <v>8031</v>
      </c>
      <c r="R261" s="41"/>
      <c r="S261" s="41"/>
      <c r="T261" s="63" t="n">
        <f aca="false">IFERROR(__xludf.dummyfunction("""COMPUTED_VALUE"""),8032)</f>
        <v>8032</v>
      </c>
      <c r="U261" s="63"/>
      <c r="V261" s="70" t="n">
        <f aca="false">IFERROR(__xludf.dummyfunction("""COMPUTED_VALUE"""),46245)</f>
        <v>46245</v>
      </c>
      <c r="W261" s="39"/>
      <c r="X261" s="41" t="str">
        <f aca="false">IFERROR(__xludf.dummyfunction("""COMPUTED_VALUE"""),"Huent7")</f>
        <v>Huent7</v>
      </c>
      <c r="Y261" s="44"/>
      <c r="Z261" s="57"/>
      <c r="AA261" s="57"/>
      <c r="AB261" s="41" t="n">
        <f aca="false">IFERROR(__xludf.dummyfunction("""COMPUTED_VALUE"""),8)</f>
        <v>8</v>
      </c>
      <c r="AC261" s="57"/>
      <c r="AD261" s="46"/>
      <c r="AE261" s="46"/>
      <c r="AF261" s="47" t="str">
        <f aca="false">IFERROR(__xludf.dummyfunction("""COMPUTED_VALUE"""),"lophoctoan-946243")</f>
        <v>lophoctoan-946243</v>
      </c>
      <c r="AG261" s="46" t="str">
        <f aca="false">IFERROR(__xludf.dummyfunction("""COMPUTED_VALUE"""),"")</f>
        <v/>
      </c>
      <c r="AH261" s="53" t="b">
        <f aca="false">IFERROR(__xludf.dummyfunction("""COMPUTED_VALUE"""),TRUE())</f>
        <v>1</v>
      </c>
      <c r="AI261" s="35"/>
      <c r="AJ261" s="35"/>
      <c r="AK261" s="35"/>
      <c r="AL261" s="35"/>
      <c r="AM261" s="35"/>
      <c r="AN261" s="35"/>
      <c r="AO261" s="46"/>
    </row>
    <row r="262" customFormat="false" ht="15.75" hidden="false" customHeight="true" outlineLevel="0" collapsed="false">
      <c r="A262" s="37" t="str">
        <f aca="false">IFERROR(__xludf.dummyfunction("""COMPUTED_VALUE"""),"Toán")</f>
        <v>Toán</v>
      </c>
      <c r="B262" s="37" t="str">
        <f aca="false">IFERROR(__xludf.dummyfunction("""COMPUTED_VALUE"""),"NT_T_33")</f>
        <v>NT_T_33</v>
      </c>
      <c r="C262" s="59" t="str">
        <f aca="false">IFERROR(__xludf.dummyfunction("""COMPUTED_VALUE"""),"Các bài toán thực tế tính thể tích vật thể")</f>
        <v>Các bài toán thực tế tính thể tích vật thể</v>
      </c>
      <c r="D262" s="39" t="str">
        <f aca="false">IFERROR(__xludf.dummyfunction("""COMPUTED_VALUE"""),"Nguyễn Thanh Tùng")</f>
        <v>Nguyễn Thanh Tùng</v>
      </c>
      <c r="E262" s="40" t="n">
        <f aca="false">IFERROR(__xludf.dummyfunction("""COMPUTED_VALUE"""),46243)</f>
        <v>46243</v>
      </c>
      <c r="F262" s="41" t="str">
        <f aca="false">IFERROR(__xludf.dummyfunction("""COMPUTED_VALUE"""),"CN")</f>
        <v>CN</v>
      </c>
      <c r="G262" s="37" t="str">
        <f aca="false">IFERROR(__xludf.dummyfunction("""COMPUTED_VALUE"""),"18:00-20:00")</f>
        <v>18:00-20:00</v>
      </c>
      <c r="H262" s="37"/>
      <c r="I262" s="37"/>
      <c r="J262" s="62"/>
      <c r="K262" s="68" t="str">
        <f aca="false">IFERROR(__xludf.dummyfunction("""COMPUTED_VALUE"""),"Khanhnl")</f>
        <v>Khanhnl</v>
      </c>
      <c r="L262" s="68" t="str">
        <f aca="false">IFERROR(__xludf.dummyfunction("""COMPUTED_VALUE"""),"Tưởng Thị Huyền Trang")</f>
        <v>Tưởng Thị Huyền Trang</v>
      </c>
      <c r="M262" s="69" t="str">
        <f aca="false">IFERROR(__xludf.dummyfunction("""COMPUTED_VALUE"""),"https://hocmai.sharepoint.com/Education_Development/Lists/San_xuat_video/DispForm.aspx?ID=12172")</f>
        <v>https://hocmai.sharepoint.com/Education_Development/Lists/San_xuat_video/DispForm.aspx?ID=12172</v>
      </c>
      <c r="N262" s="63" t="n">
        <f aca="false">IFERROR(__xludf.dummyfunction("""COMPUTED_VALUE"""),3312)</f>
        <v>3312</v>
      </c>
      <c r="O262" s="63" t="n">
        <f aca="false">IFERROR(__xludf.dummyfunction("""COMPUTED_VALUE"""),166566)</f>
        <v>166566</v>
      </c>
      <c r="P262" s="63"/>
      <c r="Q262" s="63" t="n">
        <f aca="false">IFERROR(__xludf.dummyfunction("""COMPUTED_VALUE"""),7948)</f>
        <v>7948</v>
      </c>
      <c r="R262" s="41"/>
      <c r="S262" s="41"/>
      <c r="T262" s="63" t="n">
        <f aca="false">IFERROR(__xludf.dummyfunction("""COMPUTED_VALUE"""),7949)</f>
        <v>7949</v>
      </c>
      <c r="U262" s="63"/>
      <c r="V262" s="70" t="n">
        <f aca="false">IFERROR(__xludf.dummyfunction("""COMPUTED_VALUE"""),46246)</f>
        <v>46246</v>
      </c>
      <c r="W262" s="39"/>
      <c r="X262" s="41" t="str">
        <f aca="false">IFERROR(__xludf.dummyfunction("""COMPUTED_VALUE"""),"Huent7")</f>
        <v>Huent7</v>
      </c>
      <c r="Y262" s="44"/>
      <c r="Z262" s="57"/>
      <c r="AA262" s="57"/>
      <c r="AB262" s="41" t="n">
        <f aca="false">IFERROR(__xludf.dummyfunction("""COMPUTED_VALUE"""),8)</f>
        <v>8</v>
      </c>
      <c r="AC262" s="57"/>
      <c r="AD262" s="46"/>
      <c r="AE262" s="46"/>
      <c r="AF262" s="47" t="str">
        <f aca="false">IFERROR(__xludf.dummyfunction("""COMPUTED_VALUE"""),"lophoctoan-946243")</f>
        <v>lophoctoan-946243</v>
      </c>
      <c r="AG262" s="46" t="str">
        <f aca="false">IFERROR(__xludf.dummyfunction("""COMPUTED_VALUE"""),"")</f>
        <v/>
      </c>
      <c r="AH262" s="53" t="b">
        <f aca="false">IFERROR(__xludf.dummyfunction("""COMPUTED_VALUE"""),TRUE())</f>
        <v>1</v>
      </c>
      <c r="AI262" s="35"/>
      <c r="AJ262" s="35"/>
      <c r="AK262" s="35"/>
      <c r="AL262" s="35"/>
      <c r="AM262" s="35"/>
      <c r="AN262" s="35"/>
      <c r="AO262" s="46"/>
    </row>
    <row r="263" customFormat="false" ht="15.75" hidden="false" customHeight="true" outlineLevel="0" collapsed="false">
      <c r="A263" s="37" t="str">
        <f aca="false">IFERROR(__xludf.dummyfunction("""COMPUTED_VALUE"""),"Thực chiến Toán")</f>
        <v>Thực chiến Toán</v>
      </c>
      <c r="B263" s="37" t="str">
        <f aca="false">IFERROR(__xludf.dummyfunction("""COMPUTED_VALUE"""),"TC_TSA_T_14")</f>
        <v>TC_TSA_T_14</v>
      </c>
      <c r="C263" s="59" t="str">
        <f aca="false">IFERROR(__xludf.dummyfunction("""COMPUTED_VALUE"""),"[Bổ trợ]_Chữa bài tập TSA_Tư duy Toán học số 14")</f>
        <v>[Bổ trợ]_Chữa bài tập TSA_Tư duy Toán học số 14</v>
      </c>
      <c r="D263" s="39" t="str">
        <f aca="false">IFERROR(__xludf.dummyfunction("""COMPUTED_VALUE"""),"Phạm Huy Hoàng")</f>
        <v>Phạm Huy Hoàng</v>
      </c>
      <c r="E263" s="40" t="n">
        <f aca="false">IFERROR(__xludf.dummyfunction("""COMPUTED_VALUE"""),46243)</f>
        <v>46243</v>
      </c>
      <c r="F263" s="41" t="str">
        <f aca="false">IFERROR(__xludf.dummyfunction("""COMPUTED_VALUE"""),"CN")</f>
        <v>CN</v>
      </c>
      <c r="G263" s="37" t="str">
        <f aca="false">IFERROR(__xludf.dummyfunction("""COMPUTED_VALUE"""),"15:00-16:00")</f>
        <v>15:00-16:00</v>
      </c>
      <c r="H263" s="37"/>
      <c r="I263" s="37"/>
      <c r="J263" s="37"/>
      <c r="K263" s="68" t="str">
        <f aca="false">IFERROR(__xludf.dummyfunction("""COMPUTED_VALUE"""),"Locdd")</f>
        <v>Locdd</v>
      </c>
      <c r="L263" s="68" t="str">
        <f aca="false">IFERROR(__xludf.dummyfunction("""COMPUTED_VALUE"""),"HOCMAI")</f>
        <v>HOCMAI</v>
      </c>
      <c r="M263" s="71"/>
      <c r="N263" s="77" t="str">
        <f aca="false">IFERROR(__xludf.dummyfunction("""COMPUTED_VALUE"""),"3108")</f>
        <v>3108</v>
      </c>
      <c r="O263" s="63" t="n">
        <f aca="false">IFERROR(__xludf.dummyfunction("""COMPUTED_VALUE"""),176046)</f>
        <v>176046</v>
      </c>
      <c r="P263" s="60" t="str">
        <f aca="false">IFERROR(__xludf.dummyfunction("""COMPUTED_VALUE"""),"https://hocmai.vn/bai-giang-truc-tuyen/176046/.html")</f>
        <v>https://hocmai.vn/bai-giang-truc-tuyen/176046/.html</v>
      </c>
      <c r="Q263" s="63"/>
      <c r="R263" s="41"/>
      <c r="S263" s="41"/>
      <c r="T263" s="63"/>
      <c r="U263" s="63"/>
      <c r="V263" s="70" t="n">
        <f aca="false">IFERROR(__xludf.dummyfunction("""COMPUTED_VALUE"""),46246)</f>
        <v>46246</v>
      </c>
      <c r="W263" s="39"/>
      <c r="X263" s="41" t="str">
        <f aca="false">IFERROR(__xludf.dummyfunction("""COMPUTED_VALUE"""),"Vuta")</f>
        <v>Vuta</v>
      </c>
      <c r="Y263" s="44"/>
      <c r="Z263" s="57"/>
      <c r="AA263" s="57"/>
      <c r="AB263" s="41" t="n">
        <f aca="false">IFERROR(__xludf.dummyfunction("""COMPUTED_VALUE"""),8)</f>
        <v>8</v>
      </c>
      <c r="AC263" s="57" t="str">
        <f aca="false">IFERROR(__xludf.dummyfunction("""COMPUTED_VALUE"""),"0376611308")</f>
        <v>0376611308</v>
      </c>
      <c r="AD263" s="46"/>
      <c r="AE263" s="46"/>
      <c r="AF263" s="47"/>
      <c r="AG263" s="46"/>
      <c r="AH263" s="53" t="b">
        <f aca="false">IFERROR(__xludf.dummyfunction("""COMPUTED_VALUE"""),FALSE())</f>
        <v>0</v>
      </c>
      <c r="AI263" s="53" t="b">
        <f aca="false">IFERROR(__xludf.dummyfunction("""COMPUTED_VALUE"""),TRUE())</f>
        <v>1</v>
      </c>
      <c r="AJ263" s="53" t="b">
        <f aca="false">IFERROR(__xludf.dummyfunction("""COMPUTED_VALUE"""),FALSE())</f>
        <v>0</v>
      </c>
      <c r="AK263" s="53" t="b">
        <f aca="false">IFERROR(__xludf.dummyfunction("""COMPUTED_VALUE"""),FALSE())</f>
        <v>0</v>
      </c>
      <c r="AL263" s="53" t="b">
        <f aca="false">IFERROR(__xludf.dummyfunction("""COMPUTED_VALUE"""),FALSE())</f>
        <v>0</v>
      </c>
      <c r="AM263" s="53" t="b">
        <f aca="false">IFERROR(__xludf.dummyfunction("""COMPUTED_VALUE"""),FALSE())</f>
        <v>0</v>
      </c>
      <c r="AN263" s="53" t="b">
        <f aca="false">IFERROR(__xludf.dummyfunction("""COMPUTED_VALUE"""),FALSE())</f>
        <v>0</v>
      </c>
      <c r="AO263" s="46"/>
    </row>
    <row r="264" customFormat="false" ht="15.75" hidden="false" customHeight="true" outlineLevel="0" collapsed="false">
      <c r="A264" s="37" t="str">
        <f aca="false">IFERROR(__xludf.dummyfunction("""COMPUTED_VALUE"""),"Thực chiến Đọc hiểu")</f>
        <v>Thực chiến Đọc hiểu</v>
      </c>
      <c r="B264" s="37" t="str">
        <f aca="false">IFERROR(__xludf.dummyfunction("""COMPUTED_VALUE"""),"TC_TSA_DH_05")</f>
        <v>TC_TSA_DH_05</v>
      </c>
      <c r="C264" s="59" t="str">
        <f aca="false">IFERROR(__xludf.dummyfunction("""COMPUTED_VALUE"""),"[Bổ trợ]_Chữa bài tập TSA_Tư duy Đọc hiểu số 05")</f>
        <v>[Bổ trợ]_Chữa bài tập TSA_Tư duy Đọc hiểu số 05</v>
      </c>
      <c r="D264" s="39" t="str">
        <f aca="false">IFERROR(__xludf.dummyfunction("""COMPUTED_VALUE"""),"Đào Hồng Phúc")</f>
        <v>Đào Hồng Phúc</v>
      </c>
      <c r="E264" s="40" t="n">
        <f aca="false">IFERROR(__xludf.dummyfunction("""COMPUTED_VALUE"""),46243)</f>
        <v>46243</v>
      </c>
      <c r="F264" s="41" t="str">
        <f aca="false">IFERROR(__xludf.dummyfunction("""COMPUTED_VALUE"""),"CN")</f>
        <v>CN</v>
      </c>
      <c r="G264" s="37" t="str">
        <f aca="false">IFERROR(__xludf.dummyfunction("""COMPUTED_VALUE"""),"10:00-11:00")</f>
        <v>10:00-11:00</v>
      </c>
      <c r="H264" s="37"/>
      <c r="I264" s="37"/>
      <c r="J264" s="42" t="str">
        <f aca="false">IFERROR(__xludf.dummyfunction("""COMPUTED_VALUE"""),"https://drive.google.com/drive/folders/1o0lXzjEIU_ZsFcWSdUcMQZOsy_g9xGRo?usp=sharing")</f>
        <v>https://drive.google.com/drive/folders/1o0lXzjEIU_ZsFcWSdUcMQZOsy_g9xGRo?usp=sharing</v>
      </c>
      <c r="K264" s="68" t="str">
        <f aca="false">IFERROR(__xludf.dummyfunction("""COMPUTED_VALUE"""),"Hangvt3")</f>
        <v>Hangvt3</v>
      </c>
      <c r="L264" s="68" t="str">
        <f aca="false">IFERROR(__xludf.dummyfunction("""COMPUTED_VALUE"""),"HOCMAI")</f>
        <v>HOCMAI</v>
      </c>
      <c r="M264" s="71"/>
      <c r="N264" s="77" t="str">
        <f aca="false">IFERROR(__xludf.dummyfunction("""COMPUTED_VALUE"""),"3109")</f>
        <v>3109</v>
      </c>
      <c r="O264" s="63" t="n">
        <f aca="false">IFERROR(__xludf.dummyfunction("""COMPUTED_VALUE"""),176060)</f>
        <v>176060</v>
      </c>
      <c r="P264" s="60" t="str">
        <f aca="false">IFERROR(__xludf.dummyfunction("""COMPUTED_VALUE"""),"https://hocmai.vn/bai-giang-truc-tuyen/176060/.html")</f>
        <v>https://hocmai.vn/bai-giang-truc-tuyen/176060/.html</v>
      </c>
      <c r="Q264" s="63"/>
      <c r="R264" s="41"/>
      <c r="S264" s="41"/>
      <c r="T264" s="63"/>
      <c r="U264" s="63"/>
      <c r="V264" s="70" t="n">
        <f aca="false">IFERROR(__xludf.dummyfunction("""COMPUTED_VALUE"""),46246)</f>
        <v>46246</v>
      </c>
      <c r="W264" s="39" t="str">
        <f aca="false">IFERROR(__xludf.dummyfunction("""COMPUTED_VALUE"""),"Hoàn thành TL live")</f>
        <v>Hoàn thành TL live</v>
      </c>
      <c r="X264" s="41" t="str">
        <f aca="false">IFERROR(__xludf.dummyfunction("""COMPUTED_VALUE"""),"Vuta")</f>
        <v>Vuta</v>
      </c>
      <c r="Y264" s="44"/>
      <c r="Z264" s="57"/>
      <c r="AA264" s="57"/>
      <c r="AB264" s="41" t="n">
        <f aca="false">IFERROR(__xludf.dummyfunction("""COMPUTED_VALUE"""),8)</f>
        <v>8</v>
      </c>
      <c r="AC264" s="57" t="str">
        <f aca="false">IFERROR(__xludf.dummyfunction("""COMPUTED_VALUE"""),"0987781413")</f>
        <v>0987781413</v>
      </c>
      <c r="AD264" s="46"/>
      <c r="AE264" s="46"/>
      <c r="AF264" s="47"/>
      <c r="AG264" s="46"/>
      <c r="AH264" s="53" t="b">
        <f aca="false">IFERROR(__xludf.dummyfunction("""COMPUTED_VALUE"""),FALSE())</f>
        <v>0</v>
      </c>
      <c r="AI264" s="53" t="b">
        <f aca="false">IFERROR(__xludf.dummyfunction("""COMPUTED_VALUE"""),TRUE())</f>
        <v>1</v>
      </c>
      <c r="AJ264" s="53" t="b">
        <f aca="false">IFERROR(__xludf.dummyfunction("""COMPUTED_VALUE"""),FALSE())</f>
        <v>0</v>
      </c>
      <c r="AK264" s="53" t="b">
        <f aca="false">IFERROR(__xludf.dummyfunction("""COMPUTED_VALUE"""),FALSE())</f>
        <v>0</v>
      </c>
      <c r="AL264" s="53" t="b">
        <f aca="false">IFERROR(__xludf.dummyfunction("""COMPUTED_VALUE"""),FALSE())</f>
        <v>0</v>
      </c>
      <c r="AM264" s="53" t="b">
        <f aca="false">IFERROR(__xludf.dummyfunction("""COMPUTED_VALUE"""),FALSE())</f>
        <v>0</v>
      </c>
      <c r="AN264" s="53" t="b">
        <f aca="false">IFERROR(__xludf.dummyfunction("""COMPUTED_VALUE"""),FALSE())</f>
        <v>0</v>
      </c>
      <c r="AO264" s="46"/>
    </row>
    <row r="265" customFormat="false" ht="15.75" hidden="false" customHeight="true" outlineLevel="0" collapsed="false">
      <c r="A265" s="37" t="str">
        <f aca="false">IFERROR(__xludf.dummyfunction("""COMPUTED_VALUE"""),"Thực chiến Định tính")</f>
        <v>Thực chiến Định tính</v>
      </c>
      <c r="B265" s="37" t="str">
        <f aca="false">IFERROR(__xludf.dummyfunction("""COMPUTED_VALUE"""),"TC_HSA_ĐT_04")</f>
        <v>TC_HSA_ĐT_04</v>
      </c>
      <c r="C265" s="59" t="str">
        <f aca="false">IFERROR(__xludf.dummyfunction("""COMPUTED_VALUE"""),"[Bổ trợ]_Chữa bài tập _Tư duy Định tính số 04")</f>
        <v>[Bổ trợ]_Chữa bài tập _Tư duy Định tính số 04</v>
      </c>
      <c r="D265" s="39" t="str">
        <f aca="false">IFERROR(__xludf.dummyfunction("""COMPUTED_VALUE"""),"Nguyễn Thị Thanh Hoa")</f>
        <v>Nguyễn Thị Thanh Hoa</v>
      </c>
      <c r="E265" s="40" t="n">
        <f aca="false">IFERROR(__xludf.dummyfunction("""COMPUTED_VALUE"""),46243)</f>
        <v>46243</v>
      </c>
      <c r="F265" s="41" t="str">
        <f aca="false">IFERROR(__xludf.dummyfunction("""COMPUTED_VALUE"""),"CN")</f>
        <v>CN</v>
      </c>
      <c r="G265" s="37" t="str">
        <f aca="false">IFERROR(__xludf.dummyfunction("""COMPUTED_VALUE"""),"17:00-18:00")</f>
        <v>17:00-18:00</v>
      </c>
      <c r="H265" s="37"/>
      <c r="I265" s="37"/>
      <c r="J265" s="37"/>
      <c r="K265" s="68" t="str">
        <f aca="false">IFERROR(__xludf.dummyfunction("""COMPUTED_VALUE"""),"Hoantt")</f>
        <v>Hoantt</v>
      </c>
      <c r="L265" s="68" t="str">
        <f aca="false">IFERROR(__xludf.dummyfunction("""COMPUTED_VALUE"""),"HOCMAI")</f>
        <v>HOCMAI</v>
      </c>
      <c r="M265" s="71"/>
      <c r="N265" s="77" t="str">
        <f aca="false">IFERROR(__xludf.dummyfunction("""COMPUTED_VALUE"""),"3118")</f>
        <v>3118</v>
      </c>
      <c r="O265" s="63" t="n">
        <f aca="false">IFERROR(__xludf.dummyfunction("""COMPUTED_VALUE"""),176137)</f>
        <v>176137</v>
      </c>
      <c r="P265" s="60" t="str">
        <f aca="false">IFERROR(__xludf.dummyfunction("""COMPUTED_VALUE"""),"https://hocmai.vn/bai-giang-truc-tuyen/176137/.html")</f>
        <v>https://hocmai.vn/bai-giang-truc-tuyen/176137/.html</v>
      </c>
      <c r="Q265" s="63"/>
      <c r="R265" s="41"/>
      <c r="S265" s="41"/>
      <c r="T265" s="63"/>
      <c r="U265" s="63"/>
      <c r="V265" s="70" t="n">
        <f aca="false">IFERROR(__xludf.dummyfunction("""COMPUTED_VALUE"""),46246)</f>
        <v>46246</v>
      </c>
      <c r="W265" s="39"/>
      <c r="X265" s="41" t="str">
        <f aca="false">IFERROR(__xludf.dummyfunction("""COMPUTED_VALUE"""),"Vuta")</f>
        <v>Vuta</v>
      </c>
      <c r="Y265" s="44"/>
      <c r="Z265" s="57"/>
      <c r="AA265" s="57"/>
      <c r="AB265" s="41" t="n">
        <f aca="false">IFERROR(__xludf.dummyfunction("""COMPUTED_VALUE"""),8)</f>
        <v>8</v>
      </c>
      <c r="AC265" s="57" t="str">
        <f aca="false">IFERROR(__xludf.dummyfunction("""COMPUTED_VALUE"""),"hoantt@hocmai.vn")</f>
        <v>hoantt@hocmai.vn</v>
      </c>
      <c r="AD265" s="46"/>
      <c r="AE265" s="46"/>
      <c r="AF265" s="47"/>
      <c r="AG265" s="46"/>
      <c r="AH265" s="53" t="b">
        <f aca="false">IFERROR(__xludf.dummyfunction("""COMPUTED_VALUE"""),FALSE())</f>
        <v>0</v>
      </c>
      <c r="AI265" s="53" t="b">
        <f aca="false">IFERROR(__xludf.dummyfunction("""COMPUTED_VALUE"""),FALSE())</f>
        <v>0</v>
      </c>
      <c r="AJ265" s="53" t="b">
        <f aca="false">IFERROR(__xludf.dummyfunction("""COMPUTED_VALUE"""),TRUE())</f>
        <v>1</v>
      </c>
      <c r="AK265" s="53" t="b">
        <f aca="false">IFERROR(__xludf.dummyfunction("""COMPUTED_VALUE"""),TRUE())</f>
        <v>1</v>
      </c>
      <c r="AL265" s="53" t="b">
        <f aca="false">IFERROR(__xludf.dummyfunction("""COMPUTED_VALUE"""),FALSE())</f>
        <v>0</v>
      </c>
      <c r="AM265" s="53" t="b">
        <f aca="false">IFERROR(__xludf.dummyfunction("""COMPUTED_VALUE"""),FALSE())</f>
        <v>0</v>
      </c>
      <c r="AN265" s="53" t="b">
        <f aca="false">IFERROR(__xludf.dummyfunction("""COMPUTED_VALUE"""),FALSE())</f>
        <v>0</v>
      </c>
      <c r="AO265" s="46"/>
    </row>
    <row r="266" customFormat="false" ht="15.75" hidden="false" customHeight="true" outlineLevel="0" collapsed="false">
      <c r="A266" s="37" t="str">
        <f aca="false">IFERROR(__xludf.dummyfunction("""COMPUTED_VALUE"""),"Thực chiến Định lượng")</f>
        <v>Thực chiến Định lượng</v>
      </c>
      <c r="B266" s="37" t="str">
        <f aca="false">IFERROR(__xludf.dummyfunction("""COMPUTED_VALUE"""),"TC_HSA_ĐL_11")</f>
        <v>TC_HSA_ĐL_11</v>
      </c>
      <c r="C266" s="59" t="str">
        <f aca="false">IFERROR(__xludf.dummyfunction("""COMPUTED_VALUE"""),"[Bổ trợ]_Chữa bài tập _Tư duy Định lượng số 11")</f>
        <v>[Bổ trợ]_Chữa bài tập _Tư duy Định lượng số 11</v>
      </c>
      <c r="D266" s="39" t="str">
        <f aca="false">IFERROR(__xludf.dummyfunction("""COMPUTED_VALUE"""),"Nguyễn Trọng Trường Anh")</f>
        <v>Nguyễn Trọng Trường Anh</v>
      </c>
      <c r="E266" s="40" t="n">
        <f aca="false">IFERROR(__xludf.dummyfunction("""COMPUTED_VALUE"""),46243)</f>
        <v>46243</v>
      </c>
      <c r="F266" s="41" t="str">
        <f aca="false">IFERROR(__xludf.dummyfunction("""COMPUTED_VALUE"""),"CN")</f>
        <v>CN</v>
      </c>
      <c r="G266" s="37" t="str">
        <f aca="false">IFERROR(__xludf.dummyfunction("""COMPUTED_VALUE"""),"10:00-11:00")</f>
        <v>10:00-11:00</v>
      </c>
      <c r="H266" s="37"/>
      <c r="I266" s="37"/>
      <c r="J266" s="37"/>
      <c r="K266" s="68" t="str">
        <f aca="false">IFERROR(__xludf.dummyfunction("""COMPUTED_VALUE"""),"Locdd")</f>
        <v>Locdd</v>
      </c>
      <c r="L266" s="68" t="str">
        <f aca="false">IFERROR(__xludf.dummyfunction("""COMPUTED_VALUE"""),"HOCMAI")</f>
        <v>HOCMAI</v>
      </c>
      <c r="M266" s="71"/>
      <c r="N266" s="77" t="str">
        <f aca="false">IFERROR(__xludf.dummyfunction("""COMPUTED_VALUE"""),"3117")</f>
        <v>3117</v>
      </c>
      <c r="O266" s="63" t="n">
        <f aca="false">IFERROR(__xludf.dummyfunction("""COMPUTED_VALUE"""),176124)</f>
        <v>176124</v>
      </c>
      <c r="P266" s="60" t="str">
        <f aca="false">IFERROR(__xludf.dummyfunction("""COMPUTED_VALUE"""),"https://hocmai.vn/bai-giang-truc-tuyen/176124/.html")</f>
        <v>https://hocmai.vn/bai-giang-truc-tuyen/176124/.html</v>
      </c>
      <c r="Q266" s="63"/>
      <c r="R266" s="41"/>
      <c r="S266" s="41"/>
      <c r="T266" s="63"/>
      <c r="U266" s="63"/>
      <c r="V266" s="70" t="n">
        <f aca="false">IFERROR(__xludf.dummyfunction("""COMPUTED_VALUE"""),46246)</f>
        <v>46246</v>
      </c>
      <c r="W266" s="39"/>
      <c r="X266" s="41" t="str">
        <f aca="false">IFERROR(__xludf.dummyfunction("""COMPUTED_VALUE"""),"Vuta")</f>
        <v>Vuta</v>
      </c>
      <c r="Y266" s="44"/>
      <c r="Z266" s="57"/>
      <c r="AA266" s="57"/>
      <c r="AB266" s="41" t="n">
        <f aca="false">IFERROR(__xludf.dummyfunction("""COMPUTED_VALUE"""),8)</f>
        <v>8</v>
      </c>
      <c r="AC266" s="57" t="str">
        <f aca="false">IFERROR(__xludf.dummyfunction("""COMPUTED_VALUE"""),"thochi1981@gmail.com")</f>
        <v>thochi1981@gmail.com</v>
      </c>
      <c r="AD266" s="46"/>
      <c r="AE266" s="46"/>
      <c r="AF266" s="47"/>
      <c r="AG266" s="46"/>
      <c r="AH266" s="53" t="b">
        <f aca="false">IFERROR(__xludf.dummyfunction("""COMPUTED_VALUE"""),FALSE())</f>
        <v>0</v>
      </c>
      <c r="AI266" s="53" t="b">
        <f aca="false">IFERROR(__xludf.dummyfunction("""COMPUTED_VALUE"""),FALSE())</f>
        <v>0</v>
      </c>
      <c r="AJ266" s="53" t="b">
        <f aca="false">IFERROR(__xludf.dummyfunction("""COMPUTED_VALUE"""),TRUE())</f>
        <v>1</v>
      </c>
      <c r="AK266" s="53" t="b">
        <f aca="false">IFERROR(__xludf.dummyfunction("""COMPUTED_VALUE"""),TRUE())</f>
        <v>1</v>
      </c>
      <c r="AL266" s="53" t="b">
        <f aca="false">IFERROR(__xludf.dummyfunction("""COMPUTED_VALUE"""),FALSE())</f>
        <v>0</v>
      </c>
      <c r="AM266" s="53" t="b">
        <f aca="false">IFERROR(__xludf.dummyfunction("""COMPUTED_VALUE"""),FALSE())</f>
        <v>0</v>
      </c>
      <c r="AN266" s="53" t="b">
        <f aca="false">IFERROR(__xludf.dummyfunction("""COMPUTED_VALUE"""),FALSE())</f>
        <v>0</v>
      </c>
      <c r="AO266" s="46"/>
    </row>
    <row r="267" customFormat="false" ht="15.75" hidden="false" customHeight="true" outlineLevel="0" collapsed="false">
      <c r="A267" s="37" t="str">
        <f aca="false">IFERROR(__xludf.dummyfunction("""COMPUTED_VALUE"""),"Thực chiến Toán")</f>
        <v>Thực chiến Toán</v>
      </c>
      <c r="B267" s="37" t="str">
        <f aca="false">IFERROR(__xludf.dummyfunction("""COMPUTED_VALUE"""),"TC_V-ACT_T_11")</f>
        <v>TC_V-ACT_T_11</v>
      </c>
      <c r="C267" s="59" t="str">
        <f aca="false">IFERROR(__xludf.dummyfunction("""COMPUTED_VALUE"""),"[Bổ trợ]_Chữa bài tập_V-ACT_Toán số 11")</f>
        <v>[Bổ trợ]_Chữa bài tập_V-ACT_Toán số 11</v>
      </c>
      <c r="D267" s="39" t="str">
        <f aca="false">IFERROR(__xludf.dummyfunction("""COMPUTED_VALUE"""),"Lê Thế Anh")</f>
        <v>Lê Thế Anh</v>
      </c>
      <c r="E267" s="40" t="n">
        <f aca="false">IFERROR(__xludf.dummyfunction("""COMPUTED_VALUE"""),46243)</f>
        <v>46243</v>
      </c>
      <c r="F267" s="41" t="str">
        <f aca="false">IFERROR(__xludf.dummyfunction("""COMPUTED_VALUE"""),"CN")</f>
        <v>CN</v>
      </c>
      <c r="G267" s="37" t="str">
        <f aca="false">IFERROR(__xludf.dummyfunction("""COMPUTED_VALUE"""),"10:00-11:00")</f>
        <v>10:00-11:00</v>
      </c>
      <c r="H267" s="37"/>
      <c r="I267" s="37"/>
      <c r="J267" s="37"/>
      <c r="K267" s="68" t="str">
        <f aca="false">IFERROR(__xludf.dummyfunction("""COMPUTED_VALUE"""),"lent")</f>
        <v>lent</v>
      </c>
      <c r="L267" s="68" t="str">
        <f aca="false">IFERROR(__xludf.dummyfunction("""COMPUTED_VALUE"""),"HOCMAI")</f>
        <v>HOCMAI</v>
      </c>
      <c r="M267" s="71"/>
      <c r="N267" s="77" t="str">
        <f aca="false">IFERROR(__xludf.dummyfunction("""COMPUTED_VALUE"""),"3124")</f>
        <v>3124</v>
      </c>
      <c r="O267" s="63" t="n">
        <f aca="false">IFERROR(__xludf.dummyfunction("""COMPUTED_VALUE"""),176088)</f>
        <v>176088</v>
      </c>
      <c r="P267" s="60" t="str">
        <f aca="false">IFERROR(__xludf.dummyfunction("""COMPUTED_VALUE"""),"https://hocmai.vn/bai-giang-truc-tuyen/176088/.html")</f>
        <v>https://hocmai.vn/bai-giang-truc-tuyen/176088/.html</v>
      </c>
      <c r="Q267" s="63"/>
      <c r="R267" s="41"/>
      <c r="S267" s="41"/>
      <c r="T267" s="63"/>
      <c r="U267" s="63"/>
      <c r="V267" s="70" t="n">
        <f aca="false">IFERROR(__xludf.dummyfunction("""COMPUTED_VALUE"""),46246)</f>
        <v>46246</v>
      </c>
      <c r="W267" s="39"/>
      <c r="X267" s="41" t="str">
        <f aca="false">IFERROR(__xludf.dummyfunction("""COMPUTED_VALUE"""),"Vuta")</f>
        <v>Vuta</v>
      </c>
      <c r="Y267" s="44"/>
      <c r="Z267" s="57"/>
      <c r="AA267" s="57"/>
      <c r="AB267" s="41" t="n">
        <f aca="false">IFERROR(__xludf.dummyfunction("""COMPUTED_VALUE"""),8)</f>
        <v>8</v>
      </c>
      <c r="AC267" s="57" t="str">
        <f aca="false">IFERROR(__xludf.dummyfunction("""COMPUTED_VALUE"""),"ss.vact01@ctv.hocmai.vn")</f>
        <v>ss.vact01@ctv.hocmai.vn</v>
      </c>
      <c r="AD267" s="46"/>
      <c r="AE267" s="46"/>
      <c r="AF267" s="47"/>
      <c r="AG267" s="46"/>
      <c r="AH267" s="53" t="b">
        <f aca="false">IFERROR(__xludf.dummyfunction("""COMPUTED_VALUE"""),FALSE())</f>
        <v>0</v>
      </c>
      <c r="AI267" s="53" t="b">
        <f aca="false">IFERROR(__xludf.dummyfunction("""COMPUTED_VALUE"""),FALSE())</f>
        <v>0</v>
      </c>
      <c r="AJ267" s="53" t="b">
        <f aca="false">IFERROR(__xludf.dummyfunction("""COMPUTED_VALUE"""),FALSE())</f>
        <v>0</v>
      </c>
      <c r="AK267" s="53" t="b">
        <f aca="false">IFERROR(__xludf.dummyfunction("""COMPUTED_VALUE"""),FALSE())</f>
        <v>0</v>
      </c>
      <c r="AL267" s="53" t="b">
        <f aca="false">IFERROR(__xludf.dummyfunction("""COMPUTED_VALUE"""),FALSE())</f>
        <v>0</v>
      </c>
      <c r="AM267" s="53" t="b">
        <f aca="false">IFERROR(__xludf.dummyfunction("""COMPUTED_VALUE"""),TRUE())</f>
        <v>1</v>
      </c>
      <c r="AN267" s="53" t="b">
        <f aca="false">IFERROR(__xludf.dummyfunction("""COMPUTED_VALUE"""),TRUE())</f>
        <v>1</v>
      </c>
      <c r="AO267" s="46"/>
    </row>
    <row r="268" customFormat="false" ht="15.75" hidden="false" customHeight="true" outlineLevel="0" collapsed="false">
      <c r="A268" s="37" t="str">
        <f aca="false">IFERROR(__xludf.dummyfunction("""COMPUTED_VALUE"""),"Đọc hiểu")</f>
        <v>Đọc hiểu</v>
      </c>
      <c r="B268" s="37" t="str">
        <f aca="false">IFERROR(__xludf.dummyfunction("""COMPUTED_VALUE"""),"TOV_TSA_DH09")</f>
        <v>TOV_TSA_DH09</v>
      </c>
      <c r="C268" s="59" t="str">
        <f aca="false">IFERROR(__xludf.dummyfunction("""COMPUTED_VALUE"""),"Mạch lạc, liên kết và cấu trúc lập luận của văn bản")</f>
        <v>Mạch lạc, liên kết và cấu trúc lập luận của văn bản</v>
      </c>
      <c r="D268" s="39" t="str">
        <f aca="false">IFERROR(__xludf.dummyfunction("""COMPUTED_VALUE"""),"Vũ Khắc Ngọc")</f>
        <v>Vũ Khắc Ngọc</v>
      </c>
      <c r="E268" s="40" t="n">
        <f aca="false">IFERROR(__xludf.dummyfunction("""COMPUTED_VALUE"""),46244)</f>
        <v>46244</v>
      </c>
      <c r="F268" s="41" t="n">
        <f aca="false">IFERROR(__xludf.dummyfunction("""COMPUTED_VALUE"""),2)</f>
        <v>2</v>
      </c>
      <c r="G268" s="37" t="str">
        <f aca="false">IFERROR(__xludf.dummyfunction("""COMPUTED_VALUE"""),"21:30-23:30")</f>
        <v>21:30-23:30</v>
      </c>
      <c r="H268" s="37"/>
      <c r="I268" s="37"/>
      <c r="J268" s="42" t="str">
        <f aca="false">IFERROR(__xludf.dummyfunction("""COMPUTED_VALUE"""),"https://drive.google.com/drive/folders/1VbCBRy_rbZgynFx3_rGRZCGRtMLe637F")</f>
        <v>https://drive.google.com/drive/folders/1VbCBRy_rbZgynFx3_rGRZCGRtMLe637F</v>
      </c>
      <c r="K268" s="68" t="str">
        <f aca="false">IFERROR(__xludf.dummyfunction("""COMPUTED_VALUE"""),"Hangvt3")</f>
        <v>Hangvt3</v>
      </c>
      <c r="L268" s="68" t="str">
        <f aca="false">IFERROR(__xludf.dummyfunction("""COMPUTED_VALUE"""),"Phan Đức Kiên")</f>
        <v>Phan Đức Kiên</v>
      </c>
      <c r="M268" s="71"/>
      <c r="N268" s="77" t="str">
        <f aca="false">IFERROR(__xludf.dummyfunction("""COMPUTED_VALUE"""),"3109")</f>
        <v>3109</v>
      </c>
      <c r="O268" s="63" t="n">
        <f aca="false">IFERROR(__xludf.dummyfunction("""COMPUTED_VALUE"""),167232)</f>
        <v>167232</v>
      </c>
      <c r="P268" s="63"/>
      <c r="Q268" s="63"/>
      <c r="R268" s="41"/>
      <c r="S268" s="41"/>
      <c r="T268" s="63"/>
      <c r="U268" s="63"/>
      <c r="V268" s="70" t="n">
        <f aca="false">IFERROR(__xludf.dummyfunction("""COMPUTED_VALUE"""),46247)</f>
        <v>46247</v>
      </c>
      <c r="W268" s="39" t="str">
        <f aca="false">IFERROR(__xludf.dummyfunction("""COMPUTED_VALUE"""),"Hoàn thành TL live")</f>
        <v>Hoàn thành TL live</v>
      </c>
      <c r="X268" s="41" t="str">
        <f aca="false">IFERROR(__xludf.dummyfunction("""COMPUTED_VALUE"""),"Huent7")</f>
        <v>Huent7</v>
      </c>
      <c r="Y268" s="44" t="str">
        <f aca="false">IFERROR(__xludf.dummyfunction("""COMPUTED_VALUE"""),"done")</f>
        <v>done</v>
      </c>
      <c r="Z268" s="57" t="str">
        <f aca="false">IFERROR(__xludf.dummyfunction("""COMPUTED_VALUE"""),"#N/A")</f>
        <v>#N/A</v>
      </c>
      <c r="AA268" s="57"/>
      <c r="AB268" s="41" t="n">
        <f aca="false">IFERROR(__xludf.dummyfunction("""COMPUTED_VALUE"""),8)</f>
        <v>8</v>
      </c>
      <c r="AC268" s="57" t="str">
        <f aca="false">IFERROR(__xludf.dummyfunction("""COMPUTED_VALUE"""),"gv.ngocvk@hocmai.edu.vn")</f>
        <v>gv.ngocvk@hocmai.edu.vn</v>
      </c>
      <c r="AD268" s="46" t="str">
        <f aca="false">IFERROR(__xludf.dummyfunction("""COMPUTED_VALUE"""),"duckien010607@gmail.com")</f>
        <v>duckien010607@gmail.com</v>
      </c>
      <c r="AE268" s="46"/>
      <c r="AF268" s="47" t="str">
        <f aca="false">IFERROR(__xludf.dummyfunction("""COMPUTED_VALUE"""),"lophoctoan-946244")</f>
        <v>lophoctoan-946244</v>
      </c>
      <c r="AG268" s="46" t="str">
        <f aca="false">IFERROR(__xludf.dummyfunction("""COMPUTED_VALUE"""),"")</f>
        <v/>
      </c>
      <c r="AH268" s="35"/>
      <c r="AI268" s="53" t="b">
        <f aca="false">IFERROR(__xludf.dummyfunction("""COMPUTED_VALUE"""),TRUE())</f>
        <v>1</v>
      </c>
      <c r="AJ268" s="35"/>
      <c r="AK268" s="35"/>
      <c r="AL268" s="35"/>
      <c r="AM268" s="35"/>
      <c r="AN268" s="35"/>
      <c r="AO268" s="46"/>
    </row>
    <row r="269" customFormat="false" ht="15.75" hidden="false" customHeight="true" outlineLevel="0" collapsed="false">
      <c r="A269" s="37" t="str">
        <f aca="false">IFERROR(__xludf.dummyfunction("""COMPUTED_VALUE"""),"Tiếng Anh")</f>
        <v>Tiếng Anh</v>
      </c>
      <c r="B269" s="37" t="str">
        <f aca="false">IFERROR(__xludf.dummyfunction("""COMPUTED_VALUE"""),"TOV_HV_TA09")</f>
        <v>TOV_HV_TA09</v>
      </c>
      <c r="C269" s="59" t="str">
        <f aca="false">IFERROR(__xludf.dummyfunction("""COMPUTED_VALUE"""),"Kỹ năng làm dạng bài Tìm từ Đồng Nghĩa - Trái Nghĩa")</f>
        <v>Kỹ năng làm dạng bài Tìm từ Đồng Nghĩa - Trái Nghĩa</v>
      </c>
      <c r="D269" s="39" t="str">
        <f aca="false">IFERROR(__xludf.dummyfunction("""COMPUTED_VALUE"""),"Nguyễn Thanh Hương")</f>
        <v>Nguyễn Thanh Hương</v>
      </c>
      <c r="E269" s="40" t="n">
        <f aca="false">IFERROR(__xludf.dummyfunction("""COMPUTED_VALUE"""),46244)</f>
        <v>46244</v>
      </c>
      <c r="F269" s="41" t="n">
        <f aca="false">IFERROR(__xludf.dummyfunction("""COMPUTED_VALUE"""),2)</f>
        <v>2</v>
      </c>
      <c r="G269" s="37" t="str">
        <f aca="false">IFERROR(__xludf.dummyfunction("""COMPUTED_VALUE"""),"20:00-22:00")</f>
        <v>20:00-22:00</v>
      </c>
      <c r="H269" s="37"/>
      <c r="I269" s="37"/>
      <c r="J269" s="37"/>
      <c r="K269" s="68" t="str">
        <f aca="false">IFERROR(__xludf.dummyfunction("""COMPUTED_VALUE"""),"huyennn2")</f>
        <v>huyennn2</v>
      </c>
      <c r="L269" s="68" t="str">
        <f aca="false">IFERROR(__xludf.dummyfunction("""COMPUTED_VALUE"""),"Nguyễn Lê Thụy Quyên ")</f>
        <v>Nguyễn Lê Thụy Quyên </v>
      </c>
      <c r="M269" s="71"/>
      <c r="N269" s="77" t="str">
        <f aca="false">IFERROR(__xludf.dummyfunction("""COMPUTED_VALUE"""),"3140,3165,3339")</f>
        <v>3140,3165,3339</v>
      </c>
      <c r="O269" s="73" t="str">
        <f aca="false">IFERROR(__xludf.dummyfunction("""COMPUTED_VALUE"""),"167545,167613,167637")</f>
        <v>167545,167613,167637</v>
      </c>
      <c r="P269" s="63" t="str">
        <f aca="false">IFERROR(__xludf.dummyfunction("""COMPUTED_VALUE"""),"9030,9038,9047,9119")</f>
        <v>9030,9038,9047,9119</v>
      </c>
      <c r="Q269" s="63"/>
      <c r="R269" s="41"/>
      <c r="S269" s="41"/>
      <c r="T269" s="63"/>
      <c r="U269" s="63"/>
      <c r="V269" s="70" t="n">
        <f aca="false">IFERROR(__xludf.dummyfunction("""COMPUTED_VALUE"""),46247)</f>
        <v>46247</v>
      </c>
      <c r="W269" s="39"/>
      <c r="X269" s="41" t="str">
        <f aca="false">IFERROR(__xludf.dummyfunction("""COMPUTED_VALUE"""),"huyennn2")</f>
        <v>huyennn2</v>
      </c>
      <c r="Y269" s="44" t="str">
        <f aca="false">IFERROR(__xludf.dummyfunction("""COMPUTED_VALUE"""),"done")</f>
        <v>done</v>
      </c>
      <c r="Z269" s="57" t="str">
        <f aca="false">IFERROR(__xludf.dummyfunction("""COMPUTED_VALUE"""),"#N/A")</f>
        <v>#N/A</v>
      </c>
      <c r="AA269" s="57"/>
      <c r="AB269" s="41" t="n">
        <f aca="false">IFERROR(__xludf.dummyfunction("""COMPUTED_VALUE"""),8)</f>
        <v>8</v>
      </c>
      <c r="AC269" s="57" t="str">
        <f aca="false">IFERROR(__xludf.dummyfunction("""COMPUTED_VALUE"""),"gv.huongnt@hocmai.edu.vn ")</f>
        <v>gv.huongnt@hocmai.edu.vn </v>
      </c>
      <c r="AD269" s="46" t="str">
        <f aca="false">IFERROR(__xludf.dummyfunction("""COMPUTED_VALUE"""),"nguyenlethuyquyencp@gmail.com")</f>
        <v>nguyenlethuyquyencp@gmail.com</v>
      </c>
      <c r="AE269" s="46"/>
      <c r="AF269" s="47" t="str">
        <f aca="false">IFERROR(__xludf.dummyfunction("""COMPUTED_VALUE"""),"lophoctienganh46244")</f>
        <v>lophoctienganh46244</v>
      </c>
      <c r="AG269" s="46" t="str">
        <f aca="false">IFERROR(__xludf.dummyfunction("""COMPUTED_VALUE"""),"")</f>
        <v/>
      </c>
      <c r="AH269" s="35"/>
      <c r="AI269" s="35"/>
      <c r="AJ269" s="53" t="b">
        <f aca="false">IFERROR(__xludf.dummyfunction("""COMPUTED_VALUE"""),TRUE())</f>
        <v>1</v>
      </c>
      <c r="AK269" s="53" t="b">
        <f aca="false">IFERROR(__xludf.dummyfunction("""COMPUTED_VALUE"""),TRUE())</f>
        <v>1</v>
      </c>
      <c r="AL269" s="35"/>
      <c r="AM269" s="53" t="b">
        <f aca="false">IFERROR(__xludf.dummyfunction("""COMPUTED_VALUE"""),TRUE())</f>
        <v>1</v>
      </c>
      <c r="AN269" s="53" t="b">
        <f aca="false">IFERROR(__xludf.dummyfunction("""COMPUTED_VALUE"""),TRUE())</f>
        <v>1</v>
      </c>
      <c r="AO269" s="46"/>
    </row>
    <row r="270" customFormat="false" ht="15.75" hidden="false" customHeight="true" outlineLevel="0" collapsed="false">
      <c r="A270" s="37" t="str">
        <f aca="false">IFERROR(__xludf.dummyfunction("""COMPUTED_VALUE"""),"Hóa học")</f>
        <v>Hóa học</v>
      </c>
      <c r="B270" s="37" t="str">
        <f aca="false">IFERROR(__xludf.dummyfunction("""COMPUTED_VALUE"""),"TOV_HSA_HH09")</f>
        <v>TOV_HSA_HH09</v>
      </c>
      <c r="C270" s="59" t="str">
        <f aca="false">IFERROR(__xludf.dummyfunction("""COMPUTED_VALUE"""),"Dẫn xuất halogen – alcohol – phenol – hợp chất carbonyl – carboxylic acid")</f>
        <v>Dẫn xuất halogen – alcohol – phenol – hợp chất carbonyl – carboxylic acid</v>
      </c>
      <c r="D270" s="39" t="str">
        <f aca="false">IFERROR(__xludf.dummyfunction("""COMPUTED_VALUE"""),"Chu Hải Long")</f>
        <v>Chu Hải Long</v>
      </c>
      <c r="E270" s="40" t="n">
        <f aca="false">IFERROR(__xludf.dummyfunction("""COMPUTED_VALUE"""),46244)</f>
        <v>46244</v>
      </c>
      <c r="F270" s="41" t="n">
        <f aca="false">IFERROR(__xludf.dummyfunction("""COMPUTED_VALUE"""),2)</f>
        <v>2</v>
      </c>
      <c r="G270" s="37" t="str">
        <f aca="false">IFERROR(__xludf.dummyfunction("""COMPUTED_VALUE"""),"19:45-21:45")</f>
        <v>19:45-21:45</v>
      </c>
      <c r="H270" s="42" t="str">
        <f aca="false">IFERROR(__xludf.dummyfunction("""COMPUTED_VALUE"""),"https://hocmai.vn/mod/scorm/view_file.php?id=183730")</f>
        <v>https://hocmai.vn/mod/scorm/view_file.php?id=183730</v>
      </c>
      <c r="I270" s="37"/>
      <c r="J270" s="42" t="str">
        <f aca="false">IFERROR(__xludf.dummyfunction("""COMPUTED_VALUE"""),"9. TOV_HSA_HH09 – DẪN XUẤT HALOGEN – ALCOHOL – PHENOL – HỢP CHẤT CARBONYL – CARBOXYLIC ACID")</f>
        <v>9. TOV_HSA_HH09 – DẪN XUẤT HALOGEN – ALCOHOL – PHENOL – HỢP CHẤT CARBONYL – CARBOXYLIC ACID</v>
      </c>
      <c r="K270" s="68" t="str">
        <f aca="false">IFERROR(__xludf.dummyfunction("""COMPUTED_VALUE"""),"Huebt")</f>
        <v>Huebt</v>
      </c>
      <c r="L270" s="68" t="str">
        <f aca="false">IFERROR(__xludf.dummyfunction("""COMPUTED_VALUE"""),"Võ Hương Giang")</f>
        <v>Võ Hương Giang</v>
      </c>
      <c r="M270" s="71"/>
      <c r="N270" s="77" t="str">
        <f aca="false">IFERROR(__xludf.dummyfunction("""COMPUTED_VALUE"""),"3120")</f>
        <v>3120</v>
      </c>
      <c r="O270" s="63" t="n">
        <f aca="false">IFERROR(__xludf.dummyfunction("""COMPUTED_VALUE"""),167433)</f>
        <v>167433</v>
      </c>
      <c r="P270" s="63"/>
      <c r="Q270" s="63"/>
      <c r="R270" s="41"/>
      <c r="S270" s="41"/>
      <c r="T270" s="63"/>
      <c r="U270" s="63" t="n">
        <f aca="false">IFERROR(__xludf.dummyfunction("""COMPUTED_VALUE"""),10486)</f>
        <v>10486</v>
      </c>
      <c r="V270" s="70" t="n">
        <f aca="false">IFERROR(__xludf.dummyfunction("""COMPUTED_VALUE"""),46247)</f>
        <v>46247</v>
      </c>
      <c r="W270" s="39" t="str">
        <f aca="false">IFERROR(__xludf.dummyfunction("""COMPUTED_VALUE"""),"Hoàn thành TL live")</f>
        <v>Hoàn thành TL live</v>
      </c>
      <c r="X270" s="41" t="str">
        <f aca="false">IFERROR(__xludf.dummyfunction("""COMPUTED_VALUE"""),"Huebt")</f>
        <v>Huebt</v>
      </c>
      <c r="Y270" s="44" t="str">
        <f aca="false">IFERROR(__xludf.dummyfunction("""COMPUTED_VALUE"""),"done")</f>
        <v>done</v>
      </c>
      <c r="Z270" s="57" t="str">
        <f aca="false">IFERROR(__xludf.dummyfunction("""COMPUTED_VALUE"""),"#N/A")</f>
        <v>#N/A</v>
      </c>
      <c r="AA270" s="57"/>
      <c r="AB270" s="41" t="n">
        <f aca="false">IFERROR(__xludf.dummyfunction("""COMPUTED_VALUE"""),8)</f>
        <v>8</v>
      </c>
      <c r="AC270" s="57" t="str">
        <f aca="false">IFERROR(__xludf.dummyfunction("""COMPUTED_VALUE"""),"gv.longch@hocmai.edu.vn")</f>
        <v>gv.longch@hocmai.edu.vn</v>
      </c>
      <c r="AD270" s="46" t="str">
        <f aca="false">IFERROR(__xludf.dummyfunction("""COMPUTED_VALUE"""),"giangvh@ctv.hocmai.vn")</f>
        <v>giangvh@ctv.hocmai.vn</v>
      </c>
      <c r="AE270" s="46"/>
      <c r="AF270" s="74" t="b">
        <f aca="false">IFERROR(__xludf.dummyfunction("""COMPUTED_VALUE"""),FALSE())</f>
        <v>0</v>
      </c>
      <c r="AG270" s="46" t="str">
        <f aca="false">IFERROR(__xludf.dummyfunction("""COMPUTED_VALUE"""),"")</f>
        <v/>
      </c>
      <c r="AH270" s="35"/>
      <c r="AI270" s="35"/>
      <c r="AJ270" s="53" t="b">
        <f aca="false">IFERROR(__xludf.dummyfunction("""COMPUTED_VALUE"""),TRUE())</f>
        <v>1</v>
      </c>
      <c r="AK270" s="53" t="b">
        <f aca="false">IFERROR(__xludf.dummyfunction("""COMPUTED_VALUE"""),TRUE())</f>
        <v>1</v>
      </c>
      <c r="AL270" s="35"/>
      <c r="AM270" s="35"/>
      <c r="AN270" s="35"/>
      <c r="AO270" s="46"/>
    </row>
    <row r="271" customFormat="false" ht="15.75" hidden="false" customHeight="true" outlineLevel="0" collapsed="false">
      <c r="A271" s="37" t="str">
        <f aca="false">IFERROR(__xludf.dummyfunction("""COMPUTED_VALUE"""),"Thực chiến Toán")</f>
        <v>Thực chiến Toán</v>
      </c>
      <c r="B271" s="37" t="str">
        <f aca="false">IFERROR(__xludf.dummyfunction("""COMPUTED_VALUE"""),"TC_TSA_T_15")</f>
        <v>TC_TSA_T_15</v>
      </c>
      <c r="C271" s="59" t="str">
        <f aca="false">IFERROR(__xludf.dummyfunction("""COMPUTED_VALUE"""),"[Bổ trợ]_Chữa bài tập TSA_Tư duy Toán học số 15")</f>
        <v>[Bổ trợ]_Chữa bài tập TSA_Tư duy Toán học số 15</v>
      </c>
      <c r="D271" s="39" t="str">
        <f aca="false">IFERROR(__xludf.dummyfunction("""COMPUTED_VALUE"""),"Phạm Huy Hoàng")</f>
        <v>Phạm Huy Hoàng</v>
      </c>
      <c r="E271" s="40" t="n">
        <f aca="false">IFERROR(__xludf.dummyfunction("""COMPUTED_VALUE"""),46244)</f>
        <v>46244</v>
      </c>
      <c r="F271" s="41" t="n">
        <f aca="false">IFERROR(__xludf.dummyfunction("""COMPUTED_VALUE"""),2)</f>
        <v>2</v>
      </c>
      <c r="G271" s="37" t="str">
        <f aca="false">IFERROR(__xludf.dummyfunction("""COMPUTED_VALUE"""),"19:00-20:00")</f>
        <v>19:00-20:00</v>
      </c>
      <c r="H271" s="37"/>
      <c r="I271" s="37"/>
      <c r="J271" s="37"/>
      <c r="K271" s="68" t="str">
        <f aca="false">IFERROR(__xludf.dummyfunction("""COMPUTED_VALUE"""),"Locdd")</f>
        <v>Locdd</v>
      </c>
      <c r="L271" s="68" t="str">
        <f aca="false">IFERROR(__xludf.dummyfunction("""COMPUTED_VALUE"""),"HOCMAI")</f>
        <v>HOCMAI</v>
      </c>
      <c r="M271" s="71"/>
      <c r="N271" s="77" t="str">
        <f aca="false">IFERROR(__xludf.dummyfunction("""COMPUTED_VALUE"""),"3108")</f>
        <v>3108</v>
      </c>
      <c r="O271" s="63" t="n">
        <f aca="false">IFERROR(__xludf.dummyfunction("""COMPUTED_VALUE"""),176047)</f>
        <v>176047</v>
      </c>
      <c r="P271" s="60" t="str">
        <f aca="false">IFERROR(__xludf.dummyfunction("""COMPUTED_VALUE"""),"https://hocmai.vn/bai-giang-truc-tuyen/176047/.html")</f>
        <v>https://hocmai.vn/bai-giang-truc-tuyen/176047/.html</v>
      </c>
      <c r="Q271" s="63"/>
      <c r="R271" s="41"/>
      <c r="S271" s="41"/>
      <c r="T271" s="63"/>
      <c r="U271" s="63"/>
      <c r="V271" s="70" t="n">
        <f aca="false">IFERROR(__xludf.dummyfunction("""COMPUTED_VALUE"""),46247)</f>
        <v>46247</v>
      </c>
      <c r="W271" s="39"/>
      <c r="X271" s="41" t="str">
        <f aca="false">IFERROR(__xludf.dummyfunction("""COMPUTED_VALUE"""),"Vuta")</f>
        <v>Vuta</v>
      </c>
      <c r="Y271" s="44"/>
      <c r="Z271" s="57"/>
      <c r="AA271" s="57"/>
      <c r="AB271" s="41" t="n">
        <f aca="false">IFERROR(__xludf.dummyfunction("""COMPUTED_VALUE"""),8)</f>
        <v>8</v>
      </c>
      <c r="AC271" s="57" t="str">
        <f aca="false">IFERROR(__xludf.dummyfunction("""COMPUTED_VALUE"""),"0376611308")</f>
        <v>0376611308</v>
      </c>
      <c r="AD271" s="46"/>
      <c r="AE271" s="46"/>
      <c r="AF271" s="47"/>
      <c r="AG271" s="46"/>
      <c r="AH271" s="53" t="b">
        <f aca="false">IFERROR(__xludf.dummyfunction("""COMPUTED_VALUE"""),FALSE())</f>
        <v>0</v>
      </c>
      <c r="AI271" s="53" t="b">
        <f aca="false">IFERROR(__xludf.dummyfunction("""COMPUTED_VALUE"""),TRUE())</f>
        <v>1</v>
      </c>
      <c r="AJ271" s="53" t="b">
        <f aca="false">IFERROR(__xludf.dummyfunction("""COMPUTED_VALUE"""),FALSE())</f>
        <v>0</v>
      </c>
      <c r="AK271" s="53" t="b">
        <f aca="false">IFERROR(__xludf.dummyfunction("""COMPUTED_VALUE"""),FALSE())</f>
        <v>0</v>
      </c>
      <c r="AL271" s="53" t="b">
        <f aca="false">IFERROR(__xludf.dummyfunction("""COMPUTED_VALUE"""),FALSE())</f>
        <v>0</v>
      </c>
      <c r="AM271" s="53" t="b">
        <f aca="false">IFERROR(__xludf.dummyfunction("""COMPUTED_VALUE"""),FALSE())</f>
        <v>0</v>
      </c>
      <c r="AN271" s="53" t="b">
        <f aca="false">IFERROR(__xludf.dummyfunction("""COMPUTED_VALUE"""),FALSE())</f>
        <v>0</v>
      </c>
      <c r="AO271" s="46"/>
    </row>
    <row r="272" customFormat="false" ht="15.75" hidden="false" customHeight="true" outlineLevel="0" collapsed="false">
      <c r="A272" s="37" t="str">
        <f aca="false">IFERROR(__xludf.dummyfunction("""COMPUTED_VALUE"""),"Thực chiến Tiếng Anh")</f>
        <v>Thực chiến Tiếng Anh</v>
      </c>
      <c r="B272" s="37" t="str">
        <f aca="false">IFERROR(__xludf.dummyfunction("""COMPUTED_VALUE"""),"TC_HSA_TA_05")</f>
        <v>TC_HSA_TA_05</v>
      </c>
      <c r="C272" s="59" t="str">
        <f aca="false">IFERROR(__xludf.dummyfunction("""COMPUTED_VALUE"""),"[Bổ trợ]_Chữa bài tập _Tiếng Anh số 05")</f>
        <v>[Bổ trợ]_Chữa bài tập _Tiếng Anh số 05</v>
      </c>
      <c r="D272" s="39" t="str">
        <f aca="false">IFERROR(__xludf.dummyfunction("""COMPUTED_VALUE"""),"Trần Đức Lương")</f>
        <v>Trần Đức Lương</v>
      </c>
      <c r="E272" s="40" t="n">
        <f aca="false">IFERROR(__xludf.dummyfunction("""COMPUTED_VALUE"""),46244)</f>
        <v>46244</v>
      </c>
      <c r="F272" s="41" t="n">
        <f aca="false">IFERROR(__xludf.dummyfunction("""COMPUTED_VALUE"""),2)</f>
        <v>2</v>
      </c>
      <c r="G272" s="37" t="str">
        <f aca="false">IFERROR(__xludf.dummyfunction("""COMPUTED_VALUE"""),"18:00-19:00")</f>
        <v>18:00-19:00</v>
      </c>
      <c r="H272" s="37"/>
      <c r="I272" s="37"/>
      <c r="J272" s="42" t="str">
        <f aca="false">IFERROR(__xludf.dummyfunction("""COMPUTED_VALUE"""),"https://drive.google.com/drive/folders/1-pzTmcHRbayUEFMWWg3uHyotrXfMMkC3?usp=drive_link")</f>
        <v>https://drive.google.com/drive/folders/1-pzTmcHRbayUEFMWWg3uHyotrXfMMkC3?usp=drive_link</v>
      </c>
      <c r="K272" s="68" t="str">
        <f aca="false">IFERROR(__xludf.dummyfunction("""COMPUTED_VALUE"""),"Huyenn2")</f>
        <v>Huyenn2</v>
      </c>
      <c r="L272" s="68" t="str">
        <f aca="false">IFERROR(__xludf.dummyfunction("""COMPUTED_VALUE"""),"HOCMAI")</f>
        <v>HOCMAI</v>
      </c>
      <c r="M272" s="71"/>
      <c r="N272" s="77" t="str">
        <f aca="false">IFERROR(__xludf.dummyfunction("""COMPUTED_VALUE"""),"3140")</f>
        <v>3140</v>
      </c>
      <c r="O272" s="63" t="n">
        <f aca="false">IFERROR(__xludf.dummyfunction("""COMPUTED_VALUE"""),176143)</f>
        <v>176143</v>
      </c>
      <c r="P272" s="60" t="str">
        <f aca="false">IFERROR(__xludf.dummyfunction("""COMPUTED_VALUE"""),"https://hocmai.vn/bai-giang-truc-tuyen/176143/.html")</f>
        <v>https://hocmai.vn/bai-giang-truc-tuyen/176143/.html</v>
      </c>
      <c r="Q272" s="63"/>
      <c r="R272" s="41"/>
      <c r="S272" s="41"/>
      <c r="T272" s="63"/>
      <c r="U272" s="63"/>
      <c r="V272" s="70" t="n">
        <f aca="false">IFERROR(__xludf.dummyfunction("""COMPUTED_VALUE"""),46247)</f>
        <v>46247</v>
      </c>
      <c r="W272" s="39" t="str">
        <f aca="false">IFERROR(__xludf.dummyfunction("""COMPUTED_VALUE"""),"Hoàn thành TL live")</f>
        <v>Hoàn thành TL live</v>
      </c>
      <c r="X272" s="41" t="str">
        <f aca="false">IFERROR(__xludf.dummyfunction("""COMPUTED_VALUE"""),"Vuta")</f>
        <v>Vuta</v>
      </c>
      <c r="Y272" s="44"/>
      <c r="Z272" s="57"/>
      <c r="AA272" s="57"/>
      <c r="AB272" s="41" t="n">
        <f aca="false">IFERROR(__xludf.dummyfunction("""COMPUTED_VALUE"""),8)</f>
        <v>8</v>
      </c>
      <c r="AC272" s="57" t="str">
        <f aca="false">IFERROR(__xludf.dummyfunction("""COMPUTED_VALUE"""),"ss.hsa01@ctv.hocmai.vn")</f>
        <v>ss.hsa01@ctv.hocmai.vn</v>
      </c>
      <c r="AD272" s="46"/>
      <c r="AE272" s="46"/>
      <c r="AF272" s="47"/>
      <c r="AG272" s="46"/>
      <c r="AH272" s="53" t="b">
        <f aca="false">IFERROR(__xludf.dummyfunction("""COMPUTED_VALUE"""),FALSE())</f>
        <v>0</v>
      </c>
      <c r="AI272" s="53" t="b">
        <f aca="false">IFERROR(__xludf.dummyfunction("""COMPUTED_VALUE"""),FALSE())</f>
        <v>0</v>
      </c>
      <c r="AJ272" s="53" t="b">
        <f aca="false">IFERROR(__xludf.dummyfunction("""COMPUTED_VALUE"""),TRUE())</f>
        <v>1</v>
      </c>
      <c r="AK272" s="53" t="b">
        <f aca="false">IFERROR(__xludf.dummyfunction("""COMPUTED_VALUE"""),TRUE())</f>
        <v>1</v>
      </c>
      <c r="AL272" s="53" t="b">
        <f aca="false">IFERROR(__xludf.dummyfunction("""COMPUTED_VALUE"""),FALSE())</f>
        <v>0</v>
      </c>
      <c r="AM272" s="53" t="b">
        <f aca="false">IFERROR(__xludf.dummyfunction("""COMPUTED_VALUE"""),FALSE())</f>
        <v>0</v>
      </c>
      <c r="AN272" s="53" t="b">
        <f aca="false">IFERROR(__xludf.dummyfunction("""COMPUTED_VALUE"""),FALSE())</f>
        <v>0</v>
      </c>
      <c r="AO272" s="46"/>
    </row>
    <row r="273" customFormat="false" ht="15.75" hidden="false" customHeight="true" outlineLevel="0" collapsed="false">
      <c r="A273" s="37" t="str">
        <f aca="false">IFERROR(__xludf.dummyfunction("""COMPUTED_VALUE"""),"Thực chiến Vật lí")</f>
        <v>Thực chiến Vật lí</v>
      </c>
      <c r="B273" s="37" t="str">
        <f aca="false">IFERROR(__xludf.dummyfunction("""COMPUTED_VALUE"""),"TC_HSA_KH_05")</f>
        <v>TC_HSA_KH_05</v>
      </c>
      <c r="C273" s="59" t="str">
        <f aca="false">IFERROR(__xludf.dummyfunction("""COMPUTED_VALUE"""),"[Bổ trợ]_Chữa bài tập _Vật lí số 05")</f>
        <v>[Bổ trợ]_Chữa bài tập _Vật lí số 05</v>
      </c>
      <c r="D273" s="39" t="str">
        <f aca="false">IFERROR(__xludf.dummyfunction("""COMPUTED_VALUE"""),"Phạm Nguyễn Thủy Hoa")</f>
        <v>Phạm Nguyễn Thủy Hoa</v>
      </c>
      <c r="E273" s="40" t="n">
        <f aca="false">IFERROR(__xludf.dummyfunction("""COMPUTED_VALUE"""),46244)</f>
        <v>46244</v>
      </c>
      <c r="F273" s="41" t="n">
        <f aca="false">IFERROR(__xludf.dummyfunction("""COMPUTED_VALUE"""),2)</f>
        <v>2</v>
      </c>
      <c r="G273" s="37" t="str">
        <f aca="false">IFERROR(__xludf.dummyfunction("""COMPUTED_VALUE"""),"22:00-23:00")</f>
        <v>22:00-23:00</v>
      </c>
      <c r="H273" s="37"/>
      <c r="I273" s="37"/>
      <c r="J273" s="42" t="str">
        <f aca="false">IFERROR(__xludf.dummyfunction("""COMPUTED_VALUE"""),"https://drive.google.com/drive/folders/1xPK9hQGpbUfGhJK76Q1dkBSPH_CVaEJ6")</f>
        <v>https://drive.google.com/drive/folders/1xPK9hQGpbUfGhJK76Q1dkBSPH_CVaEJ6</v>
      </c>
      <c r="K273" s="68" t="str">
        <f aca="false">IFERROR(__xludf.dummyfunction("""COMPUTED_VALUE"""),"Trangnth2")</f>
        <v>Trangnth2</v>
      </c>
      <c r="L273" s="68" t="str">
        <f aca="false">IFERROR(__xludf.dummyfunction("""COMPUTED_VALUE"""),"HOCMAI")</f>
        <v>HOCMAI</v>
      </c>
      <c r="M273" s="71"/>
      <c r="N273" s="77" t="str">
        <f aca="false">IFERROR(__xludf.dummyfunction("""COMPUTED_VALUE"""),"3119")</f>
        <v>3119</v>
      </c>
      <c r="O273" s="63" t="n">
        <f aca="false">IFERROR(__xludf.dummyfunction("""COMPUTED_VALUE"""),176148)</f>
        <v>176148</v>
      </c>
      <c r="P273" s="60" t="str">
        <f aca="false">IFERROR(__xludf.dummyfunction("""COMPUTED_VALUE"""),"https://hocmai.vn/bai-giang-truc-tuyen/176148/.html")</f>
        <v>https://hocmai.vn/bai-giang-truc-tuyen/176148/.html</v>
      </c>
      <c r="Q273" s="63"/>
      <c r="R273" s="41"/>
      <c r="S273" s="41"/>
      <c r="T273" s="63"/>
      <c r="U273" s="63"/>
      <c r="V273" s="70" t="n">
        <f aca="false">IFERROR(__xludf.dummyfunction("""COMPUTED_VALUE"""),46247)</f>
        <v>46247</v>
      </c>
      <c r="W273" s="39" t="str">
        <f aca="false">IFERROR(__xludf.dummyfunction("""COMPUTED_VALUE"""),"Hoàn thành TL live")</f>
        <v>Hoàn thành TL live</v>
      </c>
      <c r="X273" s="41" t="str">
        <f aca="false">IFERROR(__xludf.dummyfunction("""COMPUTED_VALUE"""),"Vuta")</f>
        <v>Vuta</v>
      </c>
      <c r="Y273" s="44"/>
      <c r="Z273" s="57"/>
      <c r="AA273" s="57"/>
      <c r="AB273" s="41" t="n">
        <f aca="false">IFERROR(__xludf.dummyfunction("""COMPUTED_VALUE"""),8)</f>
        <v>8</v>
      </c>
      <c r="AC273" s="57" t="str">
        <f aca="false">IFERROR(__xludf.dummyfunction("""COMPUTED_VALUE"""),"phamthuyhoa2008@gmail.com")</f>
        <v>phamthuyhoa2008@gmail.com</v>
      </c>
      <c r="AD273" s="46"/>
      <c r="AE273" s="46"/>
      <c r="AF273" s="47"/>
      <c r="AG273" s="46"/>
      <c r="AH273" s="53" t="b">
        <f aca="false">IFERROR(__xludf.dummyfunction("""COMPUTED_VALUE"""),FALSE())</f>
        <v>0</v>
      </c>
      <c r="AI273" s="53" t="b">
        <f aca="false">IFERROR(__xludf.dummyfunction("""COMPUTED_VALUE"""),FALSE())</f>
        <v>0</v>
      </c>
      <c r="AJ273" s="53" t="b">
        <f aca="false">IFERROR(__xludf.dummyfunction("""COMPUTED_VALUE"""),TRUE())</f>
        <v>1</v>
      </c>
      <c r="AK273" s="53" t="b">
        <f aca="false">IFERROR(__xludf.dummyfunction("""COMPUTED_VALUE"""),TRUE())</f>
        <v>1</v>
      </c>
      <c r="AL273" s="53" t="b">
        <f aca="false">IFERROR(__xludf.dummyfunction("""COMPUTED_VALUE"""),FALSE())</f>
        <v>0</v>
      </c>
      <c r="AM273" s="53" t="b">
        <f aca="false">IFERROR(__xludf.dummyfunction("""COMPUTED_VALUE"""),FALSE())</f>
        <v>0</v>
      </c>
      <c r="AN273" s="53" t="b">
        <f aca="false">IFERROR(__xludf.dummyfunction("""COMPUTED_VALUE"""),FALSE())</f>
        <v>0</v>
      </c>
      <c r="AO273" s="46"/>
    </row>
    <row r="274" customFormat="false" ht="15.75" hidden="false" customHeight="true" outlineLevel="0" collapsed="false">
      <c r="A274" s="37" t="str">
        <f aca="false">IFERROR(__xludf.dummyfunction("""COMPUTED_VALUE"""),"Thực chiến Toán")</f>
        <v>Thực chiến Toán</v>
      </c>
      <c r="B274" s="37" t="str">
        <f aca="false">IFERROR(__xludf.dummyfunction("""COMPUTED_VALUE"""),"TC_V-ACT_T_12")</f>
        <v>TC_V-ACT_T_12</v>
      </c>
      <c r="C274" s="37" t="str">
        <f aca="false">IFERROR(__xludf.dummyfunction("""COMPUTED_VALUE"""),"[Bổ trợ]_Chữa bài tập_V-ACT_Toán số 12")</f>
        <v>[Bổ trợ]_Chữa bài tập_V-ACT_Toán số 12</v>
      </c>
      <c r="D274" s="39" t="str">
        <f aca="false">IFERROR(__xludf.dummyfunction("""COMPUTED_VALUE"""),"Lê Thế Anh")</f>
        <v>Lê Thế Anh</v>
      </c>
      <c r="E274" s="40" t="n">
        <f aca="false">IFERROR(__xludf.dummyfunction("""COMPUTED_VALUE"""),46244)</f>
        <v>46244</v>
      </c>
      <c r="F274" s="41" t="n">
        <f aca="false">IFERROR(__xludf.dummyfunction("""COMPUTED_VALUE"""),2)</f>
        <v>2</v>
      </c>
      <c r="G274" s="37" t="str">
        <f aca="false">IFERROR(__xludf.dummyfunction("""COMPUTED_VALUE"""),"18:45-19:45")</f>
        <v>18:45-19:45</v>
      </c>
      <c r="H274" s="37"/>
      <c r="I274" s="37"/>
      <c r="J274" s="37"/>
      <c r="K274" s="68" t="str">
        <f aca="false">IFERROR(__xludf.dummyfunction("""COMPUTED_VALUE"""),"lent")</f>
        <v>lent</v>
      </c>
      <c r="L274" s="68" t="str">
        <f aca="false">IFERROR(__xludf.dummyfunction("""COMPUTED_VALUE"""),"HOCMAI")</f>
        <v>HOCMAI</v>
      </c>
      <c r="M274" s="71"/>
      <c r="N274" s="77" t="str">
        <f aca="false">IFERROR(__xludf.dummyfunction("""COMPUTED_VALUE"""),"3124")</f>
        <v>3124</v>
      </c>
      <c r="O274" s="63" t="n">
        <f aca="false">IFERROR(__xludf.dummyfunction("""COMPUTED_VALUE"""),176089)</f>
        <v>176089</v>
      </c>
      <c r="P274" s="60" t="str">
        <f aca="false">IFERROR(__xludf.dummyfunction("""COMPUTED_VALUE"""),"https://hocmai.vn/bai-giang-truc-tuyen/176089/.html")</f>
        <v>https://hocmai.vn/bai-giang-truc-tuyen/176089/.html</v>
      </c>
      <c r="Q274" s="63"/>
      <c r="R274" s="41"/>
      <c r="S274" s="41"/>
      <c r="T274" s="63"/>
      <c r="U274" s="63"/>
      <c r="V274" s="70" t="n">
        <f aca="false">IFERROR(__xludf.dummyfunction("""COMPUTED_VALUE"""),46247)</f>
        <v>46247</v>
      </c>
      <c r="W274" s="39"/>
      <c r="X274" s="41" t="str">
        <f aca="false">IFERROR(__xludf.dummyfunction("""COMPUTED_VALUE"""),"Vuta")</f>
        <v>Vuta</v>
      </c>
      <c r="Y274" s="44"/>
      <c r="Z274" s="57"/>
      <c r="AA274" s="57"/>
      <c r="AB274" s="41" t="n">
        <f aca="false">IFERROR(__xludf.dummyfunction("""COMPUTED_VALUE"""),8)</f>
        <v>8</v>
      </c>
      <c r="AC274" s="57" t="str">
        <f aca="false">IFERROR(__xludf.dummyfunction("""COMPUTED_VALUE"""),"ss.vact01@ctv.hocmai.vn")</f>
        <v>ss.vact01@ctv.hocmai.vn</v>
      </c>
      <c r="AD274" s="46"/>
      <c r="AE274" s="46"/>
      <c r="AF274" s="47"/>
      <c r="AG274" s="46"/>
      <c r="AH274" s="53" t="b">
        <f aca="false">IFERROR(__xludf.dummyfunction("""COMPUTED_VALUE"""),FALSE())</f>
        <v>0</v>
      </c>
      <c r="AI274" s="53" t="b">
        <f aca="false">IFERROR(__xludf.dummyfunction("""COMPUTED_VALUE"""),FALSE())</f>
        <v>0</v>
      </c>
      <c r="AJ274" s="53" t="b">
        <f aca="false">IFERROR(__xludf.dummyfunction("""COMPUTED_VALUE"""),FALSE())</f>
        <v>0</v>
      </c>
      <c r="AK274" s="53" t="b">
        <f aca="false">IFERROR(__xludf.dummyfunction("""COMPUTED_VALUE"""),FALSE())</f>
        <v>0</v>
      </c>
      <c r="AL274" s="53" t="b">
        <f aca="false">IFERROR(__xludf.dummyfunction("""COMPUTED_VALUE"""),FALSE())</f>
        <v>0</v>
      </c>
      <c r="AM274" s="53" t="b">
        <f aca="false">IFERROR(__xludf.dummyfunction("""COMPUTED_VALUE"""),TRUE())</f>
        <v>1</v>
      </c>
      <c r="AN274" s="53" t="b">
        <f aca="false">IFERROR(__xludf.dummyfunction("""COMPUTED_VALUE"""),TRUE())</f>
        <v>1</v>
      </c>
      <c r="AO274" s="46"/>
    </row>
    <row r="275" customFormat="false" ht="15.75" hidden="false" customHeight="true" outlineLevel="0" collapsed="false">
      <c r="A275" s="37" t="str">
        <f aca="false">IFERROR(__xludf.dummyfunction("""COMPUTED_VALUE"""),"Toán")</f>
        <v>Toán</v>
      </c>
      <c r="B275" s="37" t="str">
        <f aca="false">IFERROR(__xludf.dummyfunction("""COMPUTED_VALUE"""),"TOV_TC_T09")</f>
        <v>TOV_TC_T09</v>
      </c>
      <c r="C275" s="59" t="str">
        <f aca="false">IFERROR(__xludf.dummyfunction("""COMPUTED_VALUE"""),"Các bài toán đếm liên quan tới hình học")</f>
        <v>Các bài toán đếm liên quan tới hình học</v>
      </c>
      <c r="D275" s="39" t="str">
        <f aca="false">IFERROR(__xludf.dummyfunction("""COMPUTED_VALUE"""),"Nguyễn Thanh Tùng")</f>
        <v>Nguyễn Thanh Tùng</v>
      </c>
      <c r="E275" s="40" t="n">
        <f aca="false">IFERROR(__xludf.dummyfunction("""COMPUTED_VALUE"""),46245)</f>
        <v>46245</v>
      </c>
      <c r="F275" s="41" t="n">
        <f aca="false">IFERROR(__xludf.dummyfunction("""COMPUTED_VALUE"""),3)</f>
        <v>3</v>
      </c>
      <c r="G275" s="37" t="str">
        <f aca="false">IFERROR(__xludf.dummyfunction("""COMPUTED_VALUE"""),"21:00-23:00")</f>
        <v>21:00-23:00</v>
      </c>
      <c r="H275" s="37"/>
      <c r="I275" s="37"/>
      <c r="J275" s="37"/>
      <c r="K275" s="68" t="str">
        <f aca="false">IFERROR(__xludf.dummyfunction("""COMPUTED_VALUE"""),"Lent")</f>
        <v>Lent</v>
      </c>
      <c r="L275" s="68" t="str">
        <f aca="false">IFERROR(__xludf.dummyfunction("""COMPUTED_VALUE"""),"Tưởng Thị Huyền Trang")</f>
        <v>Tưởng Thị Huyền Trang</v>
      </c>
      <c r="M275" s="71"/>
      <c r="N275" s="77" t="str">
        <f aca="false">IFERROR(__xludf.dummyfunction("""COMPUTED_VALUE"""),"3108,3117,3315,3127,3314")</f>
        <v>3108,3117,3315,3127,3314</v>
      </c>
      <c r="O275" s="63" t="str">
        <f aca="false">IFERROR(__xludf.dummyfunction("""COMPUTED_VALUE"""),"168371, 168586, 168327, 167467, 167067")</f>
        <v>168371, 168586, 168327, 167467, 167067</v>
      </c>
      <c r="P275" s="63" t="str">
        <f aca="false">IFERROR(__xludf.dummyfunction("""COMPUTED_VALUE"""),"9025,9028,9036,9104,9106,9017,9102")</f>
        <v>9025,9028,9036,9104,9106,9017,9102</v>
      </c>
      <c r="Q275" s="63" t="n">
        <f aca="false">IFERROR(__xludf.dummyfunction("""COMPUTED_VALUE"""),167067)</f>
        <v>167067</v>
      </c>
      <c r="R275" s="41"/>
      <c r="S275" s="41"/>
      <c r="T275" s="63"/>
      <c r="U275" s="63"/>
      <c r="V275" s="70" t="n">
        <f aca="false">IFERROR(__xludf.dummyfunction("""COMPUTED_VALUE"""),46248)</f>
        <v>46248</v>
      </c>
      <c r="W275" s="39"/>
      <c r="X275" s="41" t="str">
        <f aca="false">IFERROR(__xludf.dummyfunction("""COMPUTED_VALUE"""),"Lent")</f>
        <v>Lent</v>
      </c>
      <c r="Y275" s="44" t="str">
        <f aca="false">IFERROR(__xludf.dummyfunction("""COMPUTED_VALUE"""),"done")</f>
        <v>done</v>
      </c>
      <c r="Z275" s="57" t="str">
        <f aca="false">IFERROR(__xludf.dummyfunction("""COMPUTED_VALUE"""),"#N/A")</f>
        <v>#N/A</v>
      </c>
      <c r="AA275" s="57"/>
      <c r="AB275" s="41" t="n">
        <f aca="false">IFERROR(__xludf.dummyfunction("""COMPUTED_VALUE"""),8)</f>
        <v>8</v>
      </c>
      <c r="AC275" s="57" t="str">
        <f aca="false">IFERROR(__xludf.dummyfunction("""COMPUTED_VALUE"""),"gv.tungnt@hocmai.edu.vn ")</f>
        <v>gv.tungnt@hocmai.edu.vn </v>
      </c>
      <c r="AD275" s="46" t="str">
        <f aca="false">IFERROR(__xludf.dummyfunction("""COMPUTED_VALUE"""),"trangcrazy699@gmail.com")</f>
        <v>trangcrazy699@gmail.com</v>
      </c>
      <c r="AE275" s="46"/>
      <c r="AF275" s="47" t="str">
        <f aca="false">IFERROR(__xludf.dummyfunction("""COMPUTED_VALUE"""),"lophoctoan-946245")</f>
        <v>lophoctoan-946245</v>
      </c>
      <c r="AG275" s="46" t="str">
        <f aca="false">IFERROR(__xludf.dummyfunction("""COMPUTED_VALUE"""),"")</f>
        <v/>
      </c>
      <c r="AH275" s="35"/>
      <c r="AI275" s="53" t="b">
        <f aca="false">IFERROR(__xludf.dummyfunction("""COMPUTED_VALUE"""),TRUE())</f>
        <v>1</v>
      </c>
      <c r="AJ275" s="53" t="b">
        <f aca="false">IFERROR(__xludf.dummyfunction("""COMPUTED_VALUE"""),TRUE())</f>
        <v>1</v>
      </c>
      <c r="AK275" s="53" t="b">
        <f aca="false">IFERROR(__xludf.dummyfunction("""COMPUTED_VALUE"""),TRUE())</f>
        <v>1</v>
      </c>
      <c r="AL275" s="53" t="b">
        <f aca="false">IFERROR(__xludf.dummyfunction("""COMPUTED_VALUE"""),TRUE())</f>
        <v>1</v>
      </c>
      <c r="AM275" s="35"/>
      <c r="AN275" s="35"/>
      <c r="AO275" s="46"/>
    </row>
    <row r="276" customFormat="false" ht="15.75" hidden="false" customHeight="true" outlineLevel="0" collapsed="false">
      <c r="A276" s="37" t="str">
        <f aca="false">IFERROR(__xludf.dummyfunction("""COMPUTED_VALUE"""),"Tiếng Việt")</f>
        <v>Tiếng Việt</v>
      </c>
      <c r="B276" s="37" t="str">
        <f aca="false">IFERROR(__xludf.dummyfunction("""COMPUTED_VALUE"""),"TOV_V-ACT_TV07")</f>
        <v>TOV_V-ACT_TV07</v>
      </c>
      <c r="C276" s="59" t="str">
        <f aca="false">IFERROR(__xludf.dummyfunction("""COMPUTED_VALUE"""),"Một số đặc điểm của thơ ca trung đại Việt Nam")</f>
        <v>Một số đặc điểm của thơ ca trung đại Việt Nam</v>
      </c>
      <c r="D276" s="39" t="str">
        <f aca="false">IFERROR(__xludf.dummyfunction("""COMPUTED_VALUE"""),"Văn Trịnh Quỳnh An")</f>
        <v>Văn Trịnh Quỳnh An</v>
      </c>
      <c r="E276" s="40" t="n">
        <f aca="false">IFERROR(__xludf.dummyfunction("""COMPUTED_VALUE"""),46245)</f>
        <v>46245</v>
      </c>
      <c r="F276" s="41" t="n">
        <f aca="false">IFERROR(__xludf.dummyfunction("""COMPUTED_VALUE"""),3)</f>
        <v>3</v>
      </c>
      <c r="G276" s="37" t="str">
        <f aca="false">IFERROR(__xludf.dummyfunction("""COMPUTED_VALUE"""),"20:00-21:30")</f>
        <v>20:00-21:30</v>
      </c>
      <c r="H276" s="37"/>
      <c r="I276" s="37"/>
      <c r="J276" s="37"/>
      <c r="K276" s="68" t="str">
        <f aca="false">IFERROR(__xludf.dummyfunction("""COMPUTED_VALUE"""),"Hangvt3")</f>
        <v>Hangvt3</v>
      </c>
      <c r="L276" s="68" t="str">
        <f aca="false">IFERROR(__xludf.dummyfunction("""COMPUTED_VALUE"""),"Bùi Vĩnh Thọ")</f>
        <v>Bùi Vĩnh Thọ</v>
      </c>
      <c r="M276" s="71"/>
      <c r="N276" s="77" t="str">
        <f aca="false">IFERROR(__xludf.dummyfunction("""COMPUTED_VALUE"""),"3125,3338")</f>
        <v>3125,3338</v>
      </c>
      <c r="O276" s="73" t="n">
        <f aca="false">IFERROR(__xludf.dummyfunction("""COMPUTED_VALUE"""),167359.174774)</f>
        <v>167359.174774</v>
      </c>
      <c r="P276" s="63" t="n">
        <f aca="false">IFERROR(__xludf.dummyfunction("""COMPUTED_VALUE"""),174774)</f>
        <v>174774</v>
      </c>
      <c r="Q276" s="63"/>
      <c r="R276" s="41"/>
      <c r="S276" s="41"/>
      <c r="T276" s="63"/>
      <c r="U276" s="63"/>
      <c r="V276" s="70" t="n">
        <f aca="false">IFERROR(__xludf.dummyfunction("""COMPUTED_VALUE"""),46248)</f>
        <v>46248</v>
      </c>
      <c r="W276" s="39"/>
      <c r="X276" s="41" t="str">
        <f aca="false">IFERROR(__xludf.dummyfunction("""COMPUTED_VALUE"""),"Phuongdt")</f>
        <v>Phuongdt</v>
      </c>
      <c r="Y276" s="44" t="str">
        <f aca="false">IFERROR(__xludf.dummyfunction("""COMPUTED_VALUE"""),"done")</f>
        <v>done</v>
      </c>
      <c r="Z276" s="57" t="str">
        <f aca="false">IFERROR(__xludf.dummyfunction("""COMPUTED_VALUE"""),"#N/A")</f>
        <v>#N/A</v>
      </c>
      <c r="AA276" s="57"/>
      <c r="AB276" s="41" t="n">
        <f aca="false">IFERROR(__xludf.dummyfunction("""COMPUTED_VALUE"""),8)</f>
        <v>8</v>
      </c>
      <c r="AC276" s="57" t="str">
        <f aca="false">IFERROR(__xludf.dummyfunction("""COMPUTED_VALUE"""),"gv.anvtq@hocmai.edu.vn ")</f>
        <v>gv.anvtq@hocmai.edu.vn </v>
      </c>
      <c r="AD276" s="46" t="str">
        <f aca="false">IFERROR(__xludf.dummyfunction("""COMPUTED_VALUE"""),"vinhtho0704@gmail.com")</f>
        <v>vinhtho0704@gmail.com</v>
      </c>
      <c r="AE276" s="46"/>
      <c r="AF276" s="74" t="b">
        <f aca="false">IFERROR(__xludf.dummyfunction("""COMPUTED_VALUE"""),FALSE())</f>
        <v>0</v>
      </c>
      <c r="AG276" s="46" t="str">
        <f aca="false">IFERROR(__xludf.dummyfunction("""COMPUTED_VALUE"""),"")</f>
        <v/>
      </c>
      <c r="AH276" s="35"/>
      <c r="AI276" s="35"/>
      <c r="AJ276" s="35"/>
      <c r="AK276" s="35"/>
      <c r="AL276" s="35"/>
      <c r="AM276" s="53" t="b">
        <f aca="false">IFERROR(__xludf.dummyfunction("""COMPUTED_VALUE"""),TRUE())</f>
        <v>1</v>
      </c>
      <c r="AN276" s="53" t="b">
        <f aca="false">IFERROR(__xludf.dummyfunction("""COMPUTED_VALUE"""),TRUE())</f>
        <v>1</v>
      </c>
      <c r="AO276" s="46"/>
    </row>
    <row r="277" customFormat="false" ht="15.75" hidden="false" customHeight="true" outlineLevel="0" collapsed="false">
      <c r="A277" s="37" t="str">
        <f aca="false">IFERROR(__xludf.dummyfunction("""COMPUTED_VALUE"""),"Địa lí")</f>
        <v>Địa lí</v>
      </c>
      <c r="B277" s="37" t="str">
        <f aca="false">IFERROR(__xludf.dummyfunction("""COMPUTED_VALUE"""),"TOV_HSA_ĐL06")</f>
        <v>TOV_HSA_ĐL06</v>
      </c>
      <c r="C277" s="59" t="str">
        <f aca="false">IFERROR(__xludf.dummyfunction("""COMPUTED_VALUE"""),"Một số vấn đề địa lí kinh tế – xã hội thế giới")</f>
        <v>Một số vấn đề địa lí kinh tế – xã hội thế giới</v>
      </c>
      <c r="D277" s="39" t="str">
        <f aca="false">IFERROR(__xludf.dummyfunction("""COMPUTED_VALUE"""),"Nguyễn Văn Vinh")</f>
        <v>Nguyễn Văn Vinh</v>
      </c>
      <c r="E277" s="40" t="n">
        <f aca="false">IFERROR(__xludf.dummyfunction("""COMPUTED_VALUE"""),46245)</f>
        <v>46245</v>
      </c>
      <c r="F277" s="41" t="n">
        <f aca="false">IFERROR(__xludf.dummyfunction("""COMPUTED_VALUE"""),3)</f>
        <v>3</v>
      </c>
      <c r="G277" s="37" t="str">
        <f aca="false">IFERROR(__xludf.dummyfunction("""COMPUTED_VALUE"""),"18:30-20:30")</f>
        <v>18:30-20:30</v>
      </c>
      <c r="H277" s="37"/>
      <c r="I277" s="37"/>
      <c r="J277" s="37"/>
      <c r="K277" s="68" t="str">
        <f aca="false">IFERROR(__xludf.dummyfunction("""COMPUTED_VALUE"""),"Trinhntt")</f>
        <v>Trinhntt</v>
      </c>
      <c r="L277" s="68" t="str">
        <f aca="false">IFERROR(__xludf.dummyfunction("""COMPUTED_VALUE"""),"Phan Đức Kiên")</f>
        <v>Phan Đức Kiên</v>
      </c>
      <c r="M277" s="71"/>
      <c r="N277" s="77" t="str">
        <f aca="false">IFERROR(__xludf.dummyfunction("""COMPUTED_VALUE"""),"3123")</f>
        <v>3123</v>
      </c>
      <c r="O277" s="63" t="n">
        <f aca="false">IFERROR(__xludf.dummyfunction("""COMPUTED_VALUE"""),174752)</f>
        <v>174752</v>
      </c>
      <c r="P277" s="63"/>
      <c r="Q277" s="63" t="n">
        <f aca="false">IFERROR(__xludf.dummyfunction("""COMPUTED_VALUE"""),174752)</f>
        <v>174752</v>
      </c>
      <c r="R277" s="41"/>
      <c r="S277" s="41"/>
      <c r="T277" s="63"/>
      <c r="U277" s="63"/>
      <c r="V277" s="70" t="n">
        <f aca="false">IFERROR(__xludf.dummyfunction("""COMPUTED_VALUE"""),46248)</f>
        <v>46248</v>
      </c>
      <c r="W277" s="39"/>
      <c r="X277" s="41" t="str">
        <f aca="false">IFERROR(__xludf.dummyfunction("""COMPUTED_VALUE"""),"Huent7")</f>
        <v>Huent7</v>
      </c>
      <c r="Y277" s="44"/>
      <c r="Z277" s="57" t="str">
        <f aca="false">IFERROR(__xludf.dummyfunction("""COMPUTED_VALUE"""),"#N/A")</f>
        <v>#N/A</v>
      </c>
      <c r="AA277" s="57"/>
      <c r="AB277" s="41"/>
      <c r="AC277" s="57" t="str">
        <f aca="false">IFERROR(__xludf.dummyfunction("""COMPUTED_VALUE"""),"gv.vinhnv@hocmai.edu.vn")</f>
        <v>gv.vinhnv@hocmai.edu.vn</v>
      </c>
      <c r="AD277" s="46" t="str">
        <f aca="false">IFERROR(__xludf.dummyfunction("""COMPUTED_VALUE"""),"duckien010607@gmail.com")</f>
        <v>duckien010607@gmail.com</v>
      </c>
      <c r="AE277" s="46"/>
      <c r="AF277" s="74" t="b">
        <f aca="false">IFERROR(__xludf.dummyfunction("""COMPUTED_VALUE"""),FALSE())</f>
        <v>0</v>
      </c>
      <c r="AG277" s="46" t="str">
        <f aca="false">IFERROR(__xludf.dummyfunction("""COMPUTED_VALUE"""),"")</f>
        <v/>
      </c>
      <c r="AH277" s="35"/>
      <c r="AI277" s="35"/>
      <c r="AJ277" s="53" t="b">
        <f aca="false">IFERROR(__xludf.dummyfunction("""COMPUTED_VALUE"""),TRUE())</f>
        <v>1</v>
      </c>
      <c r="AK277" s="53" t="b">
        <f aca="false">IFERROR(__xludf.dummyfunction("""COMPUTED_VALUE"""),TRUE())</f>
        <v>1</v>
      </c>
      <c r="AL277" s="35"/>
      <c r="AM277" s="35"/>
      <c r="AN277" s="35"/>
      <c r="AO277" s="46"/>
    </row>
    <row r="278" customFormat="false" ht="15.75" hidden="false" customHeight="true" outlineLevel="0" collapsed="false">
      <c r="A278" s="37" t="str">
        <f aca="false">IFERROR(__xludf.dummyfunction("""COMPUTED_VALUE"""),"Thực chiến Khoa học")</f>
        <v>Thực chiến Khoa học</v>
      </c>
      <c r="B278" s="37" t="str">
        <f aca="false">IFERROR(__xludf.dummyfunction("""COMPUTED_VALUE"""),"TC_TSA_KH_16")</f>
        <v>TC_TSA_KH_16</v>
      </c>
      <c r="C278" s="37" t="str">
        <f aca="false">IFERROR(__xludf.dummyfunction("""COMPUTED_VALUE"""),"[Bổ trợ]_Chữa bài tập TSA_Tư duy Khoa học số 16")</f>
        <v>[Bổ trợ]_Chữa bài tập TSA_Tư duy Khoa học số 16</v>
      </c>
      <c r="D278" s="39" t="str">
        <f aca="false">IFERROR(__xludf.dummyfunction("""COMPUTED_VALUE"""),"Nguyễn Trọng Trường Anh")</f>
        <v>Nguyễn Trọng Trường Anh</v>
      </c>
      <c r="E278" s="40" t="n">
        <f aca="false">IFERROR(__xludf.dummyfunction("""COMPUTED_VALUE"""),46245)</f>
        <v>46245</v>
      </c>
      <c r="F278" s="41" t="n">
        <f aca="false">IFERROR(__xludf.dummyfunction("""COMPUTED_VALUE"""),3)</f>
        <v>3</v>
      </c>
      <c r="G278" s="37" t="str">
        <f aca="false">IFERROR(__xludf.dummyfunction("""COMPUTED_VALUE"""),"19:00-20:00")</f>
        <v>19:00-20:00</v>
      </c>
      <c r="H278" s="37"/>
      <c r="I278" s="68"/>
      <c r="J278" s="37"/>
      <c r="K278" s="68" t="str">
        <f aca="false">IFERROR(__xludf.dummyfunction("""COMPUTED_VALUE"""),"Trangnth2")</f>
        <v>Trangnth2</v>
      </c>
      <c r="L278" s="68" t="str">
        <f aca="false">IFERROR(__xludf.dummyfunction("""COMPUTED_VALUE"""),"HOCMAI")</f>
        <v>HOCMAI</v>
      </c>
      <c r="M278" s="71"/>
      <c r="N278" s="77" t="str">
        <f aca="false">IFERROR(__xludf.dummyfunction("""COMPUTED_VALUE"""),"3110")</f>
        <v>3110</v>
      </c>
      <c r="O278" s="63" t="n">
        <f aca="false">IFERROR(__xludf.dummyfunction("""COMPUTED_VALUE"""),176069)</f>
        <v>176069</v>
      </c>
      <c r="P278" s="60" t="str">
        <f aca="false">IFERROR(__xludf.dummyfunction("""COMPUTED_VALUE"""),"https://hocmai.vn/bai-giang-truc-tuyen/176069/.html")</f>
        <v>https://hocmai.vn/bai-giang-truc-tuyen/176069/.html</v>
      </c>
      <c r="Q278" s="63"/>
      <c r="R278" s="41"/>
      <c r="S278" s="41"/>
      <c r="T278" s="63"/>
      <c r="U278" s="63"/>
      <c r="V278" s="70" t="n">
        <f aca="false">IFERROR(__xludf.dummyfunction("""COMPUTED_VALUE"""),46248)</f>
        <v>46248</v>
      </c>
      <c r="W278" s="39"/>
      <c r="X278" s="41" t="str">
        <f aca="false">IFERROR(__xludf.dummyfunction("""COMPUTED_VALUE"""),"Vuta")</f>
        <v>Vuta</v>
      </c>
      <c r="Y278" s="44"/>
      <c r="Z278" s="57"/>
      <c r="AA278" s="57"/>
      <c r="AB278" s="41" t="n">
        <f aca="false">IFERROR(__xludf.dummyfunction("""COMPUTED_VALUE"""),8)</f>
        <v>8</v>
      </c>
      <c r="AC278" s="57" t="str">
        <f aca="false">IFERROR(__xludf.dummyfunction("""COMPUTED_VALUE"""),"thochi1981@gmail.com")</f>
        <v>thochi1981@gmail.com</v>
      </c>
      <c r="AD278" s="46"/>
      <c r="AE278" s="46"/>
      <c r="AF278" s="47"/>
      <c r="AG278" s="46"/>
      <c r="AH278" s="53" t="b">
        <f aca="false">IFERROR(__xludf.dummyfunction("""COMPUTED_VALUE"""),FALSE())</f>
        <v>0</v>
      </c>
      <c r="AI278" s="53" t="b">
        <f aca="false">IFERROR(__xludf.dummyfunction("""COMPUTED_VALUE"""),TRUE())</f>
        <v>1</v>
      </c>
      <c r="AJ278" s="53" t="b">
        <f aca="false">IFERROR(__xludf.dummyfunction("""COMPUTED_VALUE"""),FALSE())</f>
        <v>0</v>
      </c>
      <c r="AK278" s="53" t="b">
        <f aca="false">IFERROR(__xludf.dummyfunction("""COMPUTED_VALUE"""),FALSE())</f>
        <v>0</v>
      </c>
      <c r="AL278" s="53" t="b">
        <f aca="false">IFERROR(__xludf.dummyfunction("""COMPUTED_VALUE"""),FALSE())</f>
        <v>0</v>
      </c>
      <c r="AM278" s="53" t="b">
        <f aca="false">IFERROR(__xludf.dummyfunction("""COMPUTED_VALUE"""),FALSE())</f>
        <v>0</v>
      </c>
      <c r="AN278" s="53" t="b">
        <f aca="false">IFERROR(__xludf.dummyfunction("""COMPUTED_VALUE"""),FALSE())</f>
        <v>0</v>
      </c>
      <c r="AO278" s="46"/>
    </row>
    <row r="279" customFormat="false" ht="15.75" hidden="false" customHeight="true" outlineLevel="0" collapsed="false">
      <c r="A279" s="37" t="str">
        <f aca="false">IFERROR(__xludf.dummyfunction("""COMPUTED_VALUE"""),"Thực chiến Tiếng Anh")</f>
        <v>Thực chiến Tiếng Anh</v>
      </c>
      <c r="B279" s="37" t="str">
        <f aca="false">IFERROR(__xludf.dummyfunction("""COMPUTED_VALUE"""),"TC_V-ACT_TA_10")</f>
        <v>TC_V-ACT_TA_10</v>
      </c>
      <c r="C279" s="59" t="str">
        <f aca="false">IFERROR(__xludf.dummyfunction("""COMPUTED_VALUE"""),"[Bổ trợ]_Chữa bài tập_V-ACT_Tiếng Anh số 10")</f>
        <v>[Bổ trợ]_Chữa bài tập_V-ACT_Tiếng Anh số 10</v>
      </c>
      <c r="D279" s="39" t="str">
        <f aca="false">IFERROR(__xludf.dummyfunction("""COMPUTED_VALUE"""),"Dung Thành Vinh")</f>
        <v>Dung Thành Vinh</v>
      </c>
      <c r="E279" s="40" t="n">
        <f aca="false">IFERROR(__xludf.dummyfunction("""COMPUTED_VALUE"""),46245)</f>
        <v>46245</v>
      </c>
      <c r="F279" s="41" t="n">
        <f aca="false">IFERROR(__xludf.dummyfunction("""COMPUTED_VALUE"""),3)</f>
        <v>3</v>
      </c>
      <c r="G279" s="37" t="str">
        <f aca="false">IFERROR(__xludf.dummyfunction("""COMPUTED_VALUE"""),"18:00-19:00")</f>
        <v>18:00-19:00</v>
      </c>
      <c r="H279" s="37"/>
      <c r="I279" s="68"/>
      <c r="J279" s="42" t="str">
        <f aca="false">IFERROR(__xludf.dummyfunction("""COMPUTED_VALUE"""),"https://drive.google.com/drive/folders/1w_-tCLlDXoYGrWtIknRXe9pthJb_a9cc?usp=drive_link")</f>
        <v>https://drive.google.com/drive/folders/1w_-tCLlDXoYGrWtIknRXe9pthJb_a9cc?usp=drive_link</v>
      </c>
      <c r="K279" s="68" t="str">
        <f aca="false">IFERROR(__xludf.dummyfunction("""COMPUTED_VALUE"""),"Huyenn2")</f>
        <v>Huyenn2</v>
      </c>
      <c r="L279" s="68" t="str">
        <f aca="false">IFERROR(__xludf.dummyfunction("""COMPUTED_VALUE"""),"HOCMAI")</f>
        <v>HOCMAI</v>
      </c>
      <c r="M279" s="71"/>
      <c r="N279" s="77" t="str">
        <f aca="false">IFERROR(__xludf.dummyfunction("""COMPUTED_VALUE"""),"3165")</f>
        <v>3165</v>
      </c>
      <c r="O279" s="63" t="n">
        <f aca="false">IFERROR(__xludf.dummyfunction("""COMPUTED_VALUE"""),176103)</f>
        <v>176103</v>
      </c>
      <c r="P279" s="60" t="str">
        <f aca="false">IFERROR(__xludf.dummyfunction("""COMPUTED_VALUE"""),"https://hocmai.vn/bai-giang-truc-tuyen/176103/.html")</f>
        <v>https://hocmai.vn/bai-giang-truc-tuyen/176103/.html</v>
      </c>
      <c r="Q279" s="63"/>
      <c r="R279" s="41"/>
      <c r="S279" s="41"/>
      <c r="T279" s="63"/>
      <c r="U279" s="63"/>
      <c r="V279" s="70" t="n">
        <f aca="false">IFERROR(__xludf.dummyfunction("""COMPUTED_VALUE"""),46248)</f>
        <v>46248</v>
      </c>
      <c r="W279" s="39" t="str">
        <f aca="false">IFERROR(__xludf.dummyfunction("""COMPUTED_VALUE"""),"Hoàn thành TL live")</f>
        <v>Hoàn thành TL live</v>
      </c>
      <c r="X279" s="41" t="str">
        <f aca="false">IFERROR(__xludf.dummyfunction("""COMPUTED_VALUE"""),"Vuta")</f>
        <v>Vuta</v>
      </c>
      <c r="Y279" s="44"/>
      <c r="Z279" s="57"/>
      <c r="AA279" s="57"/>
      <c r="AB279" s="41" t="n">
        <f aca="false">IFERROR(__xludf.dummyfunction("""COMPUTED_VALUE"""),8)</f>
        <v>8</v>
      </c>
      <c r="AC279" s="57" t="str">
        <f aca="false">IFERROR(__xludf.dummyfunction("""COMPUTED_VALUE"""),"shimlim04@gmail.com")</f>
        <v>shimlim04@gmail.com</v>
      </c>
      <c r="AD279" s="46"/>
      <c r="AE279" s="46"/>
      <c r="AF279" s="47"/>
      <c r="AG279" s="46"/>
      <c r="AH279" s="53" t="b">
        <f aca="false">IFERROR(__xludf.dummyfunction("""COMPUTED_VALUE"""),FALSE())</f>
        <v>0</v>
      </c>
      <c r="AI279" s="53" t="b">
        <f aca="false">IFERROR(__xludf.dummyfunction("""COMPUTED_VALUE"""),FALSE())</f>
        <v>0</v>
      </c>
      <c r="AJ279" s="53" t="b">
        <f aca="false">IFERROR(__xludf.dummyfunction("""COMPUTED_VALUE"""),FALSE())</f>
        <v>0</v>
      </c>
      <c r="AK279" s="53" t="b">
        <f aca="false">IFERROR(__xludf.dummyfunction("""COMPUTED_VALUE"""),FALSE())</f>
        <v>0</v>
      </c>
      <c r="AL279" s="53" t="b">
        <f aca="false">IFERROR(__xludf.dummyfunction("""COMPUTED_VALUE"""),FALSE())</f>
        <v>0</v>
      </c>
      <c r="AM279" s="53" t="b">
        <f aca="false">IFERROR(__xludf.dummyfunction("""COMPUTED_VALUE"""),TRUE())</f>
        <v>1</v>
      </c>
      <c r="AN279" s="53" t="b">
        <f aca="false">IFERROR(__xludf.dummyfunction("""COMPUTED_VALUE"""),TRUE())</f>
        <v>1</v>
      </c>
      <c r="AO279" s="46"/>
    </row>
    <row r="280" customFormat="false" ht="15.75" hidden="false" customHeight="true" outlineLevel="0" collapsed="false">
      <c r="A280" s="37" t="str">
        <f aca="false">IFERROR(__xludf.dummyfunction("""COMPUTED_VALUE"""),"Định tính")</f>
        <v>Định tính</v>
      </c>
      <c r="B280" s="37" t="str">
        <f aca="false">IFERROR(__xludf.dummyfunction("""COMPUTED_VALUE"""),"TOV_HSA_DT08")</f>
        <v>TOV_HSA_DT08</v>
      </c>
      <c r="C280" s="59" t="str">
        <f aca="false">IFERROR(__xludf.dummyfunction("""COMPUTED_VALUE"""),"Thơ trữ tình: Hình tượng, ngôn ngữ và cảm xúc chủ đạo")</f>
        <v>Thơ trữ tình: Hình tượng, ngôn ngữ và cảm xúc chủ đạo</v>
      </c>
      <c r="D280" s="39" t="str">
        <f aca="false">IFERROR(__xludf.dummyfunction("""COMPUTED_VALUE"""),"Vương Thúy Hằng")</f>
        <v>Vương Thúy Hằng</v>
      </c>
      <c r="E280" s="40" t="n">
        <f aca="false">IFERROR(__xludf.dummyfunction("""COMPUTED_VALUE"""),46246)</f>
        <v>46246</v>
      </c>
      <c r="F280" s="41" t="n">
        <f aca="false">IFERROR(__xludf.dummyfunction("""COMPUTED_VALUE"""),4)</f>
        <v>4</v>
      </c>
      <c r="G280" s="37" t="str">
        <f aca="false">IFERROR(__xludf.dummyfunction("""COMPUTED_VALUE"""),"21:00-23:00")</f>
        <v>21:00-23:00</v>
      </c>
      <c r="H280" s="37"/>
      <c r="I280" s="68"/>
      <c r="J280" s="42" t="str">
        <f aca="false">IFERROR(__xludf.dummyfunction("""COMPUTED_VALUE"""),"https://drive.google.com/drive/folders/1B8qhxHklQcrXpH21jLtH0La1DGt69F8g")</f>
        <v>https://drive.google.com/drive/folders/1B8qhxHklQcrXpH21jLtH0La1DGt69F8g</v>
      </c>
      <c r="K280" s="68" t="str">
        <f aca="false">IFERROR(__xludf.dummyfunction("""COMPUTED_VALUE"""),"Hangvt3")</f>
        <v>Hangvt3</v>
      </c>
      <c r="L280" s="68" t="str">
        <f aca="false">IFERROR(__xludf.dummyfunction("""COMPUTED_VALUE"""),"Kiều Bảo Minh")</f>
        <v>Kiều Bảo Minh</v>
      </c>
      <c r="M280" s="71"/>
      <c r="N280" s="77" t="str">
        <f aca="false">IFERROR(__xludf.dummyfunction("""COMPUTED_VALUE"""),"3118")</f>
        <v>3118</v>
      </c>
      <c r="O280" s="63" t="n">
        <f aca="false">IFERROR(__xludf.dummyfunction("""COMPUTED_VALUE"""),167297)</f>
        <v>167297</v>
      </c>
      <c r="P280" s="63"/>
      <c r="Q280" s="63"/>
      <c r="R280" s="41"/>
      <c r="S280" s="41"/>
      <c r="T280" s="63"/>
      <c r="U280" s="63"/>
      <c r="V280" s="70" t="n">
        <f aca="false">IFERROR(__xludf.dummyfunction("""COMPUTED_VALUE"""),46249)</f>
        <v>46249</v>
      </c>
      <c r="W280" s="39"/>
      <c r="X280" s="41" t="str">
        <f aca="false">IFERROR(__xludf.dummyfunction("""COMPUTED_VALUE"""),"Phuongdt")</f>
        <v>Phuongdt</v>
      </c>
      <c r="Y280" s="44" t="str">
        <f aca="false">IFERROR(__xludf.dummyfunction("""COMPUTED_VALUE"""),"done")</f>
        <v>done</v>
      </c>
      <c r="Z280" s="57" t="str">
        <f aca="false">IFERROR(__xludf.dummyfunction("""COMPUTED_VALUE"""),"#N/A")</f>
        <v>#N/A</v>
      </c>
      <c r="AA280" s="57"/>
      <c r="AB280" s="41" t="n">
        <f aca="false">IFERROR(__xludf.dummyfunction("""COMPUTED_VALUE"""),8)</f>
        <v>8</v>
      </c>
      <c r="AC280" s="57" t="str">
        <f aca="false">IFERROR(__xludf.dummyfunction("""COMPUTED_VALUE"""),"gv.hangvt@hocmai.edu.vn ")</f>
        <v>gv.hangvt@hocmai.edu.vn </v>
      </c>
      <c r="AD280" s="46" t="str">
        <f aca="false">IFERROR(__xludf.dummyfunction("""COMPUTED_VALUE"""),"mkieu2662@gmail.com")</f>
        <v>mkieu2662@gmail.com</v>
      </c>
      <c r="AE280" s="46"/>
      <c r="AF280" s="74" t="b">
        <f aca="false">IFERROR(__xludf.dummyfunction("""COMPUTED_VALUE"""),FALSE())</f>
        <v>0</v>
      </c>
      <c r="AG280" s="46" t="str">
        <f aca="false">IFERROR(__xludf.dummyfunction("""COMPUTED_VALUE"""),"")</f>
        <v/>
      </c>
      <c r="AH280" s="35"/>
      <c r="AI280" s="35"/>
      <c r="AJ280" s="53" t="b">
        <f aca="false">IFERROR(__xludf.dummyfunction("""COMPUTED_VALUE"""),TRUE())</f>
        <v>1</v>
      </c>
      <c r="AK280" s="53" t="b">
        <f aca="false">IFERROR(__xludf.dummyfunction("""COMPUTED_VALUE"""),TRUE())</f>
        <v>1</v>
      </c>
      <c r="AL280" s="35"/>
      <c r="AM280" s="35"/>
      <c r="AN280" s="35"/>
      <c r="AO280" s="46"/>
    </row>
    <row r="281" customFormat="false" ht="15.75" hidden="false" customHeight="true" outlineLevel="0" collapsed="false">
      <c r="A281" s="39" t="str">
        <f aca="false">IFERROR(__xludf.dummyfunction("""COMPUTED_VALUE"""),"Thực chiến Toán")</f>
        <v>Thực chiến Toán</v>
      </c>
      <c r="B281" s="39" t="str">
        <f aca="false">IFERROR(__xludf.dummyfunction("""COMPUTED_VALUE"""),"TC_TSA_T_16")</f>
        <v>TC_TSA_T_16</v>
      </c>
      <c r="C281" s="39" t="str">
        <f aca="false">IFERROR(__xludf.dummyfunction("""COMPUTED_VALUE"""),"[Bổ trợ]_Chữa bài tập TSA_Tư duy Toán học số 16")</f>
        <v>[Bổ trợ]_Chữa bài tập TSA_Tư duy Toán học số 16</v>
      </c>
      <c r="D281" s="39" t="str">
        <f aca="false">IFERROR(__xludf.dummyfunction("""COMPUTED_VALUE"""),"Phạm Huy Hoàng")</f>
        <v>Phạm Huy Hoàng</v>
      </c>
      <c r="E281" s="40" t="n">
        <f aca="false">IFERROR(__xludf.dummyfunction("""COMPUTED_VALUE"""),46246)</f>
        <v>46246</v>
      </c>
      <c r="F281" s="41" t="n">
        <f aca="false">IFERROR(__xludf.dummyfunction("""COMPUTED_VALUE"""),4)</f>
        <v>4</v>
      </c>
      <c r="G281" s="37" t="str">
        <f aca="false">IFERROR(__xludf.dummyfunction("""COMPUTED_VALUE"""),"19:00-20:00")</f>
        <v>19:00-20:00</v>
      </c>
      <c r="H281" s="37"/>
      <c r="I281" s="68"/>
      <c r="J281" s="37"/>
      <c r="K281" s="68" t="str">
        <f aca="false">IFERROR(__xludf.dummyfunction("""COMPUTED_VALUE"""),"Locdd")</f>
        <v>Locdd</v>
      </c>
      <c r="L281" s="68" t="str">
        <f aca="false">IFERROR(__xludf.dummyfunction("""COMPUTED_VALUE"""),"HOCMAI")</f>
        <v>HOCMAI</v>
      </c>
      <c r="M281" s="71"/>
      <c r="N281" s="77" t="str">
        <f aca="false">IFERROR(__xludf.dummyfunction("""COMPUTED_VALUE"""),"3108")</f>
        <v>3108</v>
      </c>
      <c r="O281" s="63" t="n">
        <f aca="false">IFERROR(__xludf.dummyfunction("""COMPUTED_VALUE"""),176048)</f>
        <v>176048</v>
      </c>
      <c r="P281" s="60" t="str">
        <f aca="false">IFERROR(__xludf.dummyfunction("""COMPUTED_VALUE"""),"https://hocmai.vn/bai-giang-truc-tuyen/176048/.html")</f>
        <v>https://hocmai.vn/bai-giang-truc-tuyen/176048/.html</v>
      </c>
      <c r="Q281" s="63"/>
      <c r="R281" s="41"/>
      <c r="S281" s="41"/>
      <c r="T281" s="63"/>
      <c r="U281" s="63"/>
      <c r="V281" s="70" t="n">
        <f aca="false">IFERROR(__xludf.dummyfunction("""COMPUTED_VALUE"""),46249)</f>
        <v>46249</v>
      </c>
      <c r="W281" s="39"/>
      <c r="X281" s="41" t="str">
        <f aca="false">IFERROR(__xludf.dummyfunction("""COMPUTED_VALUE"""),"Vuta")</f>
        <v>Vuta</v>
      </c>
      <c r="Y281" s="44"/>
      <c r="Z281" s="57"/>
      <c r="AA281" s="57"/>
      <c r="AB281" s="41" t="n">
        <f aca="false">IFERROR(__xludf.dummyfunction("""COMPUTED_VALUE"""),8)</f>
        <v>8</v>
      </c>
      <c r="AC281" s="57" t="str">
        <f aca="false">IFERROR(__xludf.dummyfunction("""COMPUTED_VALUE"""),"0376611308")</f>
        <v>0376611308</v>
      </c>
      <c r="AD281" s="46"/>
      <c r="AE281" s="46"/>
      <c r="AF281" s="47"/>
      <c r="AG281" s="46"/>
      <c r="AH281" s="53" t="b">
        <f aca="false">IFERROR(__xludf.dummyfunction("""COMPUTED_VALUE"""),FALSE())</f>
        <v>0</v>
      </c>
      <c r="AI281" s="53" t="b">
        <f aca="false">IFERROR(__xludf.dummyfunction("""COMPUTED_VALUE"""),TRUE())</f>
        <v>1</v>
      </c>
      <c r="AJ281" s="53" t="b">
        <f aca="false">IFERROR(__xludf.dummyfunction("""COMPUTED_VALUE"""),FALSE())</f>
        <v>0</v>
      </c>
      <c r="AK281" s="53" t="b">
        <f aca="false">IFERROR(__xludf.dummyfunction("""COMPUTED_VALUE"""),FALSE())</f>
        <v>0</v>
      </c>
      <c r="AL281" s="53" t="b">
        <f aca="false">IFERROR(__xludf.dummyfunction("""COMPUTED_VALUE"""),FALSE())</f>
        <v>0</v>
      </c>
      <c r="AM281" s="53" t="b">
        <f aca="false">IFERROR(__xludf.dummyfunction("""COMPUTED_VALUE"""),FALSE())</f>
        <v>0</v>
      </c>
      <c r="AN281" s="53" t="b">
        <f aca="false">IFERROR(__xludf.dummyfunction("""COMPUTED_VALUE"""),FALSE())</f>
        <v>0</v>
      </c>
      <c r="AO281" s="46"/>
    </row>
    <row r="282" customFormat="false" ht="15.75" hidden="false" customHeight="true" outlineLevel="0" collapsed="false">
      <c r="A282" s="37" t="str">
        <f aca="false">IFERROR(__xludf.dummyfunction("""COMPUTED_VALUE"""),"Thực chiến Định lượng")</f>
        <v>Thực chiến Định lượng</v>
      </c>
      <c r="B282" s="37" t="str">
        <f aca="false">IFERROR(__xludf.dummyfunction("""COMPUTED_VALUE"""),"TC_HSA_ĐL_12")</f>
        <v>TC_HSA_ĐL_12</v>
      </c>
      <c r="C282" s="37" t="str">
        <f aca="false">IFERROR(__xludf.dummyfunction("""COMPUTED_VALUE"""),"[Bổ trợ]_Chữa bài tập _Tư duy Định lượng số 12")</f>
        <v>[Bổ trợ]_Chữa bài tập _Tư duy Định lượng số 12</v>
      </c>
      <c r="D282" s="39" t="str">
        <f aca="false">IFERROR(__xludf.dummyfunction("""COMPUTED_VALUE"""),"Vi Vũ Trí Đức")</f>
        <v>Vi Vũ Trí Đức</v>
      </c>
      <c r="E282" s="40" t="n">
        <f aca="false">IFERROR(__xludf.dummyfunction("""COMPUTED_VALUE"""),46246)</f>
        <v>46246</v>
      </c>
      <c r="F282" s="41" t="n">
        <f aca="false">IFERROR(__xludf.dummyfunction("""COMPUTED_VALUE"""),4)</f>
        <v>4</v>
      </c>
      <c r="G282" s="37" t="str">
        <f aca="false">IFERROR(__xludf.dummyfunction("""COMPUTED_VALUE"""),"19:00-20:00")</f>
        <v>19:00-20:00</v>
      </c>
      <c r="H282" s="37"/>
      <c r="I282" s="68"/>
      <c r="J282" s="37"/>
      <c r="K282" s="68" t="str">
        <f aca="false">IFERROR(__xludf.dummyfunction("""COMPUTED_VALUE"""),"Locdd")</f>
        <v>Locdd</v>
      </c>
      <c r="L282" s="68" t="str">
        <f aca="false">IFERROR(__xludf.dummyfunction("""COMPUTED_VALUE"""),"HOCMAI")</f>
        <v>HOCMAI</v>
      </c>
      <c r="M282" s="71"/>
      <c r="N282" s="77" t="str">
        <f aca="false">IFERROR(__xludf.dummyfunction("""COMPUTED_VALUE"""),"3117")</f>
        <v>3117</v>
      </c>
      <c r="O282" s="63" t="n">
        <f aca="false">IFERROR(__xludf.dummyfunction("""COMPUTED_VALUE"""),176125)</f>
        <v>176125</v>
      </c>
      <c r="P282" s="60" t="str">
        <f aca="false">IFERROR(__xludf.dummyfunction("""COMPUTED_VALUE"""),"https://hocmai.vn/bai-giang-truc-tuyen/176125/.html")</f>
        <v>https://hocmai.vn/bai-giang-truc-tuyen/176125/.html</v>
      </c>
      <c r="Q282" s="63"/>
      <c r="R282" s="41"/>
      <c r="S282" s="41"/>
      <c r="T282" s="63"/>
      <c r="U282" s="63"/>
      <c r="V282" s="70" t="n">
        <f aca="false">IFERROR(__xludf.dummyfunction("""COMPUTED_VALUE"""),46249)</f>
        <v>46249</v>
      </c>
      <c r="W282" s="39"/>
      <c r="X282" s="41" t="str">
        <f aca="false">IFERROR(__xludf.dummyfunction("""COMPUTED_VALUE"""),"Vuta")</f>
        <v>Vuta</v>
      </c>
      <c r="Y282" s="44"/>
      <c r="Z282" s="57"/>
      <c r="AA282" s="57"/>
      <c r="AB282" s="41" t="n">
        <f aca="false">IFERROR(__xludf.dummyfunction("""COMPUTED_VALUE"""),8)</f>
        <v>8</v>
      </c>
      <c r="AC282" s="57" t="str">
        <f aca="false">IFERROR(__xludf.dummyfunction("""COMPUTED_VALUE"""),"tdstawesome@gmail.com")</f>
        <v>tdstawesome@gmail.com</v>
      </c>
      <c r="AD282" s="46"/>
      <c r="AE282" s="46"/>
      <c r="AF282" s="47"/>
      <c r="AG282" s="46"/>
      <c r="AH282" s="53" t="b">
        <f aca="false">IFERROR(__xludf.dummyfunction("""COMPUTED_VALUE"""),FALSE())</f>
        <v>0</v>
      </c>
      <c r="AI282" s="53" t="b">
        <f aca="false">IFERROR(__xludf.dummyfunction("""COMPUTED_VALUE"""),FALSE())</f>
        <v>0</v>
      </c>
      <c r="AJ282" s="53" t="b">
        <f aca="false">IFERROR(__xludf.dummyfunction("""COMPUTED_VALUE"""),TRUE())</f>
        <v>1</v>
      </c>
      <c r="AK282" s="53" t="b">
        <f aca="false">IFERROR(__xludf.dummyfunction("""COMPUTED_VALUE"""),TRUE())</f>
        <v>1</v>
      </c>
      <c r="AL282" s="53" t="b">
        <f aca="false">IFERROR(__xludf.dummyfunction("""COMPUTED_VALUE"""),FALSE())</f>
        <v>0</v>
      </c>
      <c r="AM282" s="53" t="b">
        <f aca="false">IFERROR(__xludf.dummyfunction("""COMPUTED_VALUE"""),FALSE())</f>
        <v>0</v>
      </c>
      <c r="AN282" s="53" t="b">
        <f aca="false">IFERROR(__xludf.dummyfunction("""COMPUTED_VALUE"""),FALSE())</f>
        <v>0</v>
      </c>
      <c r="AO282" s="46"/>
    </row>
    <row r="283" customFormat="false" ht="15.75" hidden="false" customHeight="true" outlineLevel="0" collapsed="false">
      <c r="A283" s="37" t="str">
        <f aca="false">IFERROR(__xludf.dummyfunction("""COMPUTED_VALUE"""),"Thực chiến Tiếng Việt")</f>
        <v>Thực chiến Tiếng Việt</v>
      </c>
      <c r="B283" s="37" t="str">
        <f aca="false">IFERROR(__xludf.dummyfunction("""COMPUTED_VALUE"""),"TC_V-ACT_TV_09")</f>
        <v>TC_V-ACT_TV_09</v>
      </c>
      <c r="C283" s="59" t="str">
        <f aca="false">IFERROR(__xludf.dummyfunction("""COMPUTED_VALUE"""),"[Bổ trợ]_Chữa bài tập_V-ACT_Tiếng Việt số 09")</f>
        <v>[Bổ trợ]_Chữa bài tập_V-ACT_Tiếng Việt số 09</v>
      </c>
      <c r="D283" s="39" t="str">
        <f aca="false">IFERROR(__xludf.dummyfunction("""COMPUTED_VALUE"""),"Nguyễn Thị Khánh Ly")</f>
        <v>Nguyễn Thị Khánh Ly</v>
      </c>
      <c r="E283" s="40" t="n">
        <f aca="false">IFERROR(__xludf.dummyfunction("""COMPUTED_VALUE"""),46246)</f>
        <v>46246</v>
      </c>
      <c r="F283" s="41" t="n">
        <f aca="false">IFERROR(__xludf.dummyfunction("""COMPUTED_VALUE"""),4)</f>
        <v>4</v>
      </c>
      <c r="G283" s="37" t="str">
        <f aca="false">IFERROR(__xludf.dummyfunction("""COMPUTED_VALUE"""),"21:15-22:15")</f>
        <v>21:15-22:15</v>
      </c>
      <c r="H283" s="37"/>
      <c r="I283" s="37"/>
      <c r="J283" s="37"/>
      <c r="K283" s="68" t="str">
        <f aca="false">IFERROR(__xludf.dummyfunction("""COMPUTED_VALUE"""),"Hoantt")</f>
        <v>Hoantt</v>
      </c>
      <c r="L283" s="68" t="str">
        <f aca="false">IFERROR(__xludf.dummyfunction("""COMPUTED_VALUE"""),"HOCMAI")</f>
        <v>HOCMAI</v>
      </c>
      <c r="M283" s="71"/>
      <c r="N283" s="77" t="str">
        <f aca="false">IFERROR(__xludf.dummyfunction("""COMPUTED_VALUE"""),"3125")</f>
        <v>3125</v>
      </c>
      <c r="O283" s="63" t="n">
        <f aca="false">IFERROR(__xludf.dummyfunction("""COMPUTED_VALUE"""),176114)</f>
        <v>176114</v>
      </c>
      <c r="P283" s="60" t="str">
        <f aca="false">IFERROR(__xludf.dummyfunction("""COMPUTED_VALUE"""),"https://hocmai.vn/bai-giang-truc-tuyen/176114/.html")</f>
        <v>https://hocmai.vn/bai-giang-truc-tuyen/176114/.html</v>
      </c>
      <c r="Q283" s="63"/>
      <c r="R283" s="41"/>
      <c r="S283" s="41"/>
      <c r="T283" s="63"/>
      <c r="U283" s="63"/>
      <c r="V283" s="70" t="n">
        <f aca="false">IFERROR(__xludf.dummyfunction("""COMPUTED_VALUE"""),46249)</f>
        <v>46249</v>
      </c>
      <c r="W283" s="39"/>
      <c r="X283" s="41" t="str">
        <f aca="false">IFERROR(__xludf.dummyfunction("""COMPUTED_VALUE"""),"Vuta")</f>
        <v>Vuta</v>
      </c>
      <c r="Y283" s="44"/>
      <c r="Z283" s="57"/>
      <c r="AA283" s="57"/>
      <c r="AB283" s="41" t="n">
        <f aca="false">IFERROR(__xludf.dummyfunction("""COMPUTED_VALUE"""),8)</f>
        <v>8</v>
      </c>
      <c r="AC283" s="57" t="str">
        <f aca="false">IFERROR(__xludf.dummyfunction("""COMPUTED_VALUE"""),"khanhly16092003@gmail.com")</f>
        <v>khanhly16092003@gmail.com</v>
      </c>
      <c r="AD283" s="46"/>
      <c r="AE283" s="46"/>
      <c r="AF283" s="47"/>
      <c r="AG283" s="46"/>
      <c r="AH283" s="53" t="b">
        <f aca="false">IFERROR(__xludf.dummyfunction("""COMPUTED_VALUE"""),FALSE())</f>
        <v>0</v>
      </c>
      <c r="AI283" s="53" t="b">
        <f aca="false">IFERROR(__xludf.dummyfunction("""COMPUTED_VALUE"""),FALSE())</f>
        <v>0</v>
      </c>
      <c r="AJ283" s="53" t="b">
        <f aca="false">IFERROR(__xludf.dummyfunction("""COMPUTED_VALUE"""),FALSE())</f>
        <v>0</v>
      </c>
      <c r="AK283" s="53" t="b">
        <f aca="false">IFERROR(__xludf.dummyfunction("""COMPUTED_VALUE"""),FALSE())</f>
        <v>0</v>
      </c>
      <c r="AL283" s="53" t="b">
        <f aca="false">IFERROR(__xludf.dummyfunction("""COMPUTED_VALUE"""),FALSE())</f>
        <v>0</v>
      </c>
      <c r="AM283" s="53" t="b">
        <f aca="false">IFERROR(__xludf.dummyfunction("""COMPUTED_VALUE"""),TRUE())</f>
        <v>1</v>
      </c>
      <c r="AN283" s="53" t="b">
        <f aca="false">IFERROR(__xludf.dummyfunction("""COMPUTED_VALUE"""),TRUE())</f>
        <v>1</v>
      </c>
      <c r="AO283" s="46"/>
    </row>
    <row r="284" customFormat="false" ht="15.75" hidden="false" customHeight="true" outlineLevel="0" collapsed="false">
      <c r="A284" s="37" t="str">
        <f aca="false">IFERROR(__xludf.dummyfunction("""COMPUTED_VALUE"""),"Thực chiến Khoa học")</f>
        <v>Thực chiến Khoa học</v>
      </c>
      <c r="B284" s="37" t="str">
        <f aca="false">IFERROR(__xludf.dummyfunction("""COMPUTED_VALUE"""),"TC_V-ACT_KH_05")</f>
        <v>TC_V-ACT_KH_05</v>
      </c>
      <c r="C284" s="59" t="str">
        <f aca="false">IFERROR(__xludf.dummyfunction("""COMPUTED_VALUE"""),"[Bổ trợ]_Chữa bài tập_V-ACT_Tư duy khoa học số 05")</f>
        <v>[Bổ trợ]_Chữa bài tập_V-ACT_Tư duy khoa học số 05</v>
      </c>
      <c r="D284" s="39" t="str">
        <f aca="false">IFERROR(__xludf.dummyfunction("""COMPUTED_VALUE"""),"Lê Thế Anh")</f>
        <v>Lê Thế Anh</v>
      </c>
      <c r="E284" s="40" t="n">
        <f aca="false">IFERROR(__xludf.dummyfunction("""COMPUTED_VALUE"""),46246)</f>
        <v>46246</v>
      </c>
      <c r="F284" s="41" t="n">
        <f aca="false">IFERROR(__xludf.dummyfunction("""COMPUTED_VALUE"""),4)</f>
        <v>4</v>
      </c>
      <c r="G284" s="37" t="str">
        <f aca="false">IFERROR(__xludf.dummyfunction("""COMPUTED_VALUE"""),"19:00-20:00")</f>
        <v>19:00-20:00</v>
      </c>
      <c r="H284" s="37"/>
      <c r="I284" s="37"/>
      <c r="J284" s="42" t="str">
        <f aca="false">IFERROR(__xludf.dummyfunction("""COMPUTED_VALUE"""),"https://drive.google.com/drive/folders/1ePLC-d4VsdTiYckoNAUYo3bCNEDQ-l7E?usp=drive_link")</f>
        <v>https://drive.google.com/drive/folders/1ePLC-d4VsdTiYckoNAUYo3bCNEDQ-l7E?usp=drive_link</v>
      </c>
      <c r="K284" s="68" t="str">
        <f aca="false">IFERROR(__xludf.dummyfunction("""COMPUTED_VALUE"""),"Trangnth2")</f>
        <v>Trangnth2</v>
      </c>
      <c r="L284" s="68" t="str">
        <f aca="false">IFERROR(__xludf.dummyfunction("""COMPUTED_VALUE"""),"HOCMAI")</f>
        <v>HOCMAI</v>
      </c>
      <c r="M284" s="71"/>
      <c r="N284" s="77" t="str">
        <f aca="false">IFERROR(__xludf.dummyfunction("""COMPUTED_VALUE"""),"3126")</f>
        <v>3126</v>
      </c>
      <c r="O284" s="63" t="n">
        <f aca="false">IFERROR(__xludf.dummyfunction("""COMPUTED_VALUE"""),176082)</f>
        <v>176082</v>
      </c>
      <c r="P284" s="60" t="str">
        <f aca="false">IFERROR(__xludf.dummyfunction("""COMPUTED_VALUE"""),"https://hocmai.vn/bai-giang-truc-tuyen/176082/.html")</f>
        <v>https://hocmai.vn/bai-giang-truc-tuyen/176082/.html</v>
      </c>
      <c r="Q284" s="63"/>
      <c r="R284" s="41"/>
      <c r="S284" s="41"/>
      <c r="T284" s="63"/>
      <c r="U284" s="63"/>
      <c r="V284" s="70" t="n">
        <f aca="false">IFERROR(__xludf.dummyfunction("""COMPUTED_VALUE"""),46249)</f>
        <v>46249</v>
      </c>
      <c r="W284" s="39" t="str">
        <f aca="false">IFERROR(__xludf.dummyfunction("""COMPUTED_VALUE"""),"Hoàn thành TL live")</f>
        <v>Hoàn thành TL live</v>
      </c>
      <c r="X284" s="41" t="str">
        <f aca="false">IFERROR(__xludf.dummyfunction("""COMPUTED_VALUE"""),"Vuta")</f>
        <v>Vuta</v>
      </c>
      <c r="Y284" s="44"/>
      <c r="Z284" s="57"/>
      <c r="AA284" s="57"/>
      <c r="AB284" s="41" t="n">
        <f aca="false">IFERROR(__xludf.dummyfunction("""COMPUTED_VALUE"""),8)</f>
        <v>8</v>
      </c>
      <c r="AC284" s="57" t="str">
        <f aca="false">IFERROR(__xludf.dummyfunction("""COMPUTED_VALUE"""),"ss.vact01@ctv.hocmai.vn")</f>
        <v>ss.vact01@ctv.hocmai.vn</v>
      </c>
      <c r="AD284" s="46"/>
      <c r="AE284" s="46"/>
      <c r="AF284" s="47"/>
      <c r="AG284" s="46"/>
      <c r="AH284" s="53" t="b">
        <f aca="false">IFERROR(__xludf.dummyfunction("""COMPUTED_VALUE"""),FALSE())</f>
        <v>0</v>
      </c>
      <c r="AI284" s="53" t="b">
        <f aca="false">IFERROR(__xludf.dummyfunction("""COMPUTED_VALUE"""),FALSE())</f>
        <v>0</v>
      </c>
      <c r="AJ284" s="53" t="b">
        <f aca="false">IFERROR(__xludf.dummyfunction("""COMPUTED_VALUE"""),FALSE())</f>
        <v>0</v>
      </c>
      <c r="AK284" s="53" t="b">
        <f aca="false">IFERROR(__xludf.dummyfunction("""COMPUTED_VALUE"""),FALSE())</f>
        <v>0</v>
      </c>
      <c r="AL284" s="53" t="b">
        <f aca="false">IFERROR(__xludf.dummyfunction("""COMPUTED_VALUE"""),FALSE())</f>
        <v>0</v>
      </c>
      <c r="AM284" s="53" t="b">
        <f aca="false">IFERROR(__xludf.dummyfunction("""COMPUTED_VALUE"""),TRUE())</f>
        <v>1</v>
      </c>
      <c r="AN284" s="53" t="b">
        <f aca="false">IFERROR(__xludf.dummyfunction("""COMPUTED_VALUE"""),TRUE())</f>
        <v>1</v>
      </c>
      <c r="AO284" s="46"/>
    </row>
    <row r="285" customFormat="false" ht="15.75" hidden="false" customHeight="true" outlineLevel="0" collapsed="false">
      <c r="A285" s="37" t="str">
        <f aca="false">IFERROR(__xludf.dummyfunction("""COMPUTED_VALUE"""),"Vật lí")</f>
        <v>Vật lí</v>
      </c>
      <c r="B285" s="37" t="str">
        <f aca="false">IFERROR(__xludf.dummyfunction("""COMPUTED_VALUE"""),"TOV_TSA_L09")</f>
        <v>TOV_TSA_L09</v>
      </c>
      <c r="C285" s="37" t="str">
        <f aca="false">IFERROR(__xludf.dummyfunction("""COMPUTED_VALUE"""),"Điện tích, điện trường và mô hình trường lực")</f>
        <v>Điện tích, điện trường và mô hình trường lực</v>
      </c>
      <c r="D285" s="39" t="str">
        <f aca="false">IFERROR(__xludf.dummyfunction("""COMPUTED_VALUE"""),"Thiều Thị Dung")</f>
        <v>Thiều Thị Dung</v>
      </c>
      <c r="E285" s="40" t="n">
        <f aca="false">IFERROR(__xludf.dummyfunction("""COMPUTED_VALUE"""),46247)</f>
        <v>46247</v>
      </c>
      <c r="F285" s="41" t="n">
        <f aca="false">IFERROR(__xludf.dummyfunction("""COMPUTED_VALUE"""),5)</f>
        <v>5</v>
      </c>
      <c r="G285" s="37" t="str">
        <f aca="false">IFERROR(__xludf.dummyfunction("""COMPUTED_VALUE"""),"21:00-23:00")</f>
        <v>21:00-23:00</v>
      </c>
      <c r="H285" s="37"/>
      <c r="I285" s="37"/>
      <c r="J285" s="37"/>
      <c r="K285" s="68" t="str">
        <f aca="false">IFERROR(__xludf.dummyfunction("""COMPUTED_VALUE"""),"Trangnth2")</f>
        <v>Trangnth2</v>
      </c>
      <c r="L285" s="68" t="str">
        <f aca="false">IFERROR(__xludf.dummyfunction("""COMPUTED_VALUE"""),"Trần Đức Lương")</f>
        <v>Trần Đức Lương</v>
      </c>
      <c r="M285" s="71"/>
      <c r="N285" s="77" t="str">
        <f aca="false">IFERROR(__xludf.dummyfunction("""COMPUTED_VALUE"""),"3110")</f>
        <v>3110</v>
      </c>
      <c r="O285" s="63" t="n">
        <f aca="false">IFERROR(__xludf.dummyfunction("""COMPUTED_VALUE"""),167262)</f>
        <v>167262</v>
      </c>
      <c r="P285" s="63"/>
      <c r="Q285" s="63"/>
      <c r="R285" s="41"/>
      <c r="S285" s="41"/>
      <c r="T285" s="63"/>
      <c r="U285" s="63"/>
      <c r="V285" s="70" t="n">
        <f aca="false">IFERROR(__xludf.dummyfunction("""COMPUTED_VALUE"""),46250)</f>
        <v>46250</v>
      </c>
      <c r="W285" s="39"/>
      <c r="X285" s="41" t="str">
        <f aca="false">IFERROR(__xludf.dummyfunction("""COMPUTED_VALUE"""),"Trangnth2")</f>
        <v>Trangnth2</v>
      </c>
      <c r="Y285" s="44" t="str">
        <f aca="false">IFERROR(__xludf.dummyfunction("""COMPUTED_VALUE"""),"done")</f>
        <v>done</v>
      </c>
      <c r="Z285" s="57" t="str">
        <f aca="false">IFERROR(__xludf.dummyfunction("""COMPUTED_VALUE"""),"#N/A")</f>
        <v>#N/A</v>
      </c>
      <c r="AA285" s="57"/>
      <c r="AB285" s="41" t="n">
        <f aca="false">IFERROR(__xludf.dummyfunction("""COMPUTED_VALUE"""),8)</f>
        <v>8</v>
      </c>
      <c r="AC285" s="57" t="str">
        <f aca="false">IFERROR(__xludf.dummyfunction("""COMPUTED_VALUE"""),"dungtt2@hocmai.vn                ")</f>
        <v>dungtt2@hocmai.vn                </v>
      </c>
      <c r="AD285" s="46" t="str">
        <f aca="false">IFERROR(__xludf.dummyfunction("""COMPUTED_VALUE"""),"ss.hsa01@ctv.hocmai.vn")</f>
        <v>ss.hsa01@ctv.hocmai.vn</v>
      </c>
      <c r="AE285" s="46"/>
      <c r="AF285" s="74" t="b">
        <f aca="false">IFERROR(__xludf.dummyfunction("""COMPUTED_VALUE"""),FALSE())</f>
        <v>0</v>
      </c>
      <c r="AG285" s="46" t="str">
        <f aca="false">IFERROR(__xludf.dummyfunction("""COMPUTED_VALUE"""),"")</f>
        <v/>
      </c>
      <c r="AH285" s="35"/>
      <c r="AI285" s="53" t="b">
        <f aca="false">IFERROR(__xludf.dummyfunction("""COMPUTED_VALUE"""),TRUE())</f>
        <v>1</v>
      </c>
      <c r="AJ285" s="35"/>
      <c r="AK285" s="35"/>
      <c r="AL285" s="35"/>
      <c r="AM285" s="35"/>
      <c r="AN285" s="35"/>
      <c r="AO285" s="46"/>
    </row>
    <row r="286" customFormat="false" ht="15.75" hidden="false" customHeight="true" outlineLevel="0" collapsed="false">
      <c r="A286" s="37" t="str">
        <f aca="false">IFERROR(__xludf.dummyfunction("""COMPUTED_VALUE"""),"Toán")</f>
        <v>Toán</v>
      </c>
      <c r="B286" s="37" t="str">
        <f aca="false">IFERROR(__xludf.dummyfunction("""COMPUTED_VALUE"""),"TOV_HSA_DL09")</f>
        <v>TOV_HSA_DL09</v>
      </c>
      <c r="C286" s="37" t="str">
        <f aca="false">IFERROR(__xludf.dummyfunction("""COMPUTED_VALUE"""),"Bài toán xếp vị trí vào bàn tròn")</f>
        <v>Bài toán xếp vị trí vào bàn tròn</v>
      </c>
      <c r="D286" s="39" t="str">
        <f aca="false">IFERROR(__xludf.dummyfunction("""COMPUTED_VALUE"""),"Nguyễn Thanh Tùng")</f>
        <v>Nguyễn Thanh Tùng</v>
      </c>
      <c r="E286" s="40" t="n">
        <f aca="false">IFERROR(__xludf.dummyfunction("""COMPUTED_VALUE"""),46247)</f>
        <v>46247</v>
      </c>
      <c r="F286" s="41" t="n">
        <f aca="false">IFERROR(__xludf.dummyfunction("""COMPUTED_VALUE"""),5)</f>
        <v>5</v>
      </c>
      <c r="G286" s="37" t="str">
        <f aca="false">IFERROR(__xludf.dummyfunction("""COMPUTED_VALUE"""),"18:00-20:00")</f>
        <v>18:00-20:00</v>
      </c>
      <c r="H286" s="37"/>
      <c r="I286" s="37"/>
      <c r="J286" s="37"/>
      <c r="K286" s="68" t="str">
        <f aca="false">IFERROR(__xludf.dummyfunction("""COMPUTED_VALUE"""),"Lent")</f>
        <v>Lent</v>
      </c>
      <c r="L286" s="68" t="str">
        <f aca="false">IFERROR(__xludf.dummyfunction("""COMPUTED_VALUE"""),"Tưởng Thị Huyền Trang")</f>
        <v>Tưởng Thị Huyền Trang</v>
      </c>
      <c r="M286" s="71"/>
      <c r="N286" s="77" t="str">
        <f aca="false">IFERROR(__xludf.dummyfunction("""COMPUTED_VALUE"""),"3117,3315")</f>
        <v>3117,3315</v>
      </c>
      <c r="O286" s="73" t="n">
        <f aca="false">IFERROR(__xludf.dummyfunction("""COMPUTED_VALUE"""),168587.168328)</f>
        <v>168587.168328</v>
      </c>
      <c r="P286" s="63" t="str">
        <f aca="false">IFERROR(__xludf.dummyfunction("""COMPUTED_VALUE"""),"9028,9036,9104,9106")</f>
        <v>9028,9036,9104,9106</v>
      </c>
      <c r="Q286" s="63" t="n">
        <f aca="false">IFERROR(__xludf.dummyfunction("""COMPUTED_VALUE"""),168328)</f>
        <v>168328</v>
      </c>
      <c r="R286" s="41"/>
      <c r="S286" s="41"/>
      <c r="T286" s="63"/>
      <c r="U286" s="63"/>
      <c r="V286" s="70" t="n">
        <f aca="false">IFERROR(__xludf.dummyfunction("""COMPUTED_VALUE"""),46250)</f>
        <v>46250</v>
      </c>
      <c r="W286" s="39"/>
      <c r="X286" s="41" t="str">
        <f aca="false">IFERROR(__xludf.dummyfunction("""COMPUTED_VALUE"""),"Lent")</f>
        <v>Lent</v>
      </c>
      <c r="Y286" s="44" t="str">
        <f aca="false">IFERROR(__xludf.dummyfunction("""COMPUTED_VALUE"""),"done")</f>
        <v>done</v>
      </c>
      <c r="Z286" s="57" t="str">
        <f aca="false">IFERROR(__xludf.dummyfunction("""COMPUTED_VALUE"""),"#N/A")</f>
        <v>#N/A</v>
      </c>
      <c r="AA286" s="57"/>
      <c r="AB286" s="41" t="n">
        <f aca="false">IFERROR(__xludf.dummyfunction("""COMPUTED_VALUE"""),8)</f>
        <v>8</v>
      </c>
      <c r="AC286" s="57" t="str">
        <f aca="false">IFERROR(__xludf.dummyfunction("""COMPUTED_VALUE"""),"gv.tungnt@hocmai.edu.vn ")</f>
        <v>gv.tungnt@hocmai.edu.vn </v>
      </c>
      <c r="AD286" s="46" t="str">
        <f aca="false">IFERROR(__xludf.dummyfunction("""COMPUTED_VALUE"""),"trangcrazy699@gmail.com")</f>
        <v>trangcrazy699@gmail.com</v>
      </c>
      <c r="AE286" s="46"/>
      <c r="AF286" s="47" t="str">
        <f aca="false">IFERROR(__xludf.dummyfunction("""COMPUTED_VALUE"""),"lophoctoan-946247")</f>
        <v>lophoctoan-946247</v>
      </c>
      <c r="AG286" s="46" t="str">
        <f aca="false">IFERROR(__xludf.dummyfunction("""COMPUTED_VALUE"""),"")</f>
        <v/>
      </c>
      <c r="AH286" s="35"/>
      <c r="AI286" s="35"/>
      <c r="AJ286" s="53" t="b">
        <f aca="false">IFERROR(__xludf.dummyfunction("""COMPUTED_VALUE"""),TRUE())</f>
        <v>1</v>
      </c>
      <c r="AK286" s="53" t="b">
        <f aca="false">IFERROR(__xludf.dummyfunction("""COMPUTED_VALUE"""),TRUE())</f>
        <v>1</v>
      </c>
      <c r="AL286" s="35"/>
      <c r="AM286" s="35"/>
      <c r="AN286" s="35"/>
      <c r="AO286" s="46"/>
    </row>
    <row r="287" customFormat="false" ht="15.75" hidden="false" customHeight="true" outlineLevel="0" collapsed="false">
      <c r="A287" s="37" t="str">
        <f aca="false">IFERROR(__xludf.dummyfunction("""COMPUTED_VALUE"""),"Vật lí")</f>
        <v>Vật lí</v>
      </c>
      <c r="B287" s="37" t="str">
        <f aca="false">IFERROR(__xludf.dummyfunction("""COMPUTED_VALUE"""),"TOV_HSA_VL09")</f>
        <v>TOV_HSA_VL09</v>
      </c>
      <c r="C287" s="59" t="str">
        <f aca="false">IFERROR(__xludf.dummyfunction("""COMPUTED_VALUE"""),"Dòng điện - Mạch điện")</f>
        <v>Dòng điện - Mạch điện</v>
      </c>
      <c r="D287" s="39" t="str">
        <f aca="false">IFERROR(__xludf.dummyfunction("""COMPUTED_VALUE"""),"Nguyễn Hữu Tình")</f>
        <v>Nguyễn Hữu Tình</v>
      </c>
      <c r="E287" s="40" t="n">
        <f aca="false">IFERROR(__xludf.dummyfunction("""COMPUTED_VALUE"""),46247)</f>
        <v>46247</v>
      </c>
      <c r="F287" s="41" t="n">
        <f aca="false">IFERROR(__xludf.dummyfunction("""COMPUTED_VALUE"""),5)</f>
        <v>5</v>
      </c>
      <c r="G287" s="37" t="str">
        <f aca="false">IFERROR(__xludf.dummyfunction("""COMPUTED_VALUE"""),"21:00-23:00")</f>
        <v>21:00-23:00</v>
      </c>
      <c r="H287" s="37"/>
      <c r="I287" s="37"/>
      <c r="J287" s="42" t="str">
        <f aca="false">IFERROR(__xludf.dummyfunction("""COMPUTED_VALUE"""),"https://drive.google.com/drive/folders/15cRTJF9Z7omzMy4YKyUGsYtfKG9dg0x7?usp=drive_link")</f>
        <v>https://drive.google.com/drive/folders/15cRTJF9Z7omzMy4YKyUGsYtfKG9dg0x7?usp=drive_link</v>
      </c>
      <c r="K287" s="68" t="str">
        <f aca="false">IFERROR(__xludf.dummyfunction("""COMPUTED_VALUE"""),"Trangnth2")</f>
        <v>Trangnth2</v>
      </c>
      <c r="L287" s="68" t="str">
        <f aca="false">IFERROR(__xludf.dummyfunction("""COMPUTED_VALUE"""),"Kiều Bảo Minh")</f>
        <v>Kiều Bảo Minh</v>
      </c>
      <c r="M287" s="71"/>
      <c r="N287" s="76" t="str">
        <f aca="false">IFERROR(__xludf.dummyfunction("""COMPUTED_VALUE"""),"3119")</f>
        <v>3119</v>
      </c>
      <c r="O287" s="63" t="n">
        <f aca="false">IFERROR(__xludf.dummyfunction("""COMPUTED_VALUE"""),167524)</f>
        <v>167524</v>
      </c>
      <c r="P287" s="63"/>
      <c r="Q287" s="63"/>
      <c r="R287" s="41"/>
      <c r="S287" s="41"/>
      <c r="T287" s="63"/>
      <c r="U287" s="63" t="n">
        <f aca="false">IFERROR(__xludf.dummyfunction("""COMPUTED_VALUE"""),10465)</f>
        <v>10465</v>
      </c>
      <c r="V287" s="70" t="n">
        <f aca="false">IFERROR(__xludf.dummyfunction("""COMPUTED_VALUE"""),46250)</f>
        <v>46250</v>
      </c>
      <c r="W287" s="39"/>
      <c r="X287" s="41" t="str">
        <f aca="false">IFERROR(__xludf.dummyfunction("""COMPUTED_VALUE"""),"Trangnth2")</f>
        <v>Trangnth2</v>
      </c>
      <c r="Y287" s="44" t="str">
        <f aca="false">IFERROR(__xludf.dummyfunction("""COMPUTED_VALUE"""),"done")</f>
        <v>done</v>
      </c>
      <c r="Z287" s="57" t="str">
        <f aca="false">IFERROR(__xludf.dummyfunction("""COMPUTED_VALUE"""),"#N/A")</f>
        <v>#N/A</v>
      </c>
      <c r="AA287" s="57"/>
      <c r="AB287" s="41" t="n">
        <f aca="false">IFERROR(__xludf.dummyfunction("""COMPUTED_VALUE"""),8)</f>
        <v>8</v>
      </c>
      <c r="AC287" s="57" t="str">
        <f aca="false">IFERROR(__xludf.dummyfunction("""COMPUTED_VALUE"""),"gv.tinhnh@hocmai.edu.vn ")</f>
        <v>gv.tinhnh@hocmai.edu.vn </v>
      </c>
      <c r="AD287" s="46" t="str">
        <f aca="false">IFERROR(__xludf.dummyfunction("""COMPUTED_VALUE"""),"mkieu2662@gmail.com")</f>
        <v>mkieu2662@gmail.com</v>
      </c>
      <c r="AE287" s="46"/>
      <c r="AF287" s="74" t="b">
        <f aca="false">IFERROR(__xludf.dummyfunction("""COMPUTED_VALUE"""),FALSE())</f>
        <v>0</v>
      </c>
      <c r="AG287" s="46" t="str">
        <f aca="false">IFERROR(__xludf.dummyfunction("""COMPUTED_VALUE"""),"")</f>
        <v/>
      </c>
      <c r="AH287" s="35"/>
      <c r="AI287" s="35"/>
      <c r="AJ287" s="53" t="b">
        <f aca="false">IFERROR(__xludf.dummyfunction("""COMPUTED_VALUE"""),TRUE())</f>
        <v>1</v>
      </c>
      <c r="AK287" s="53" t="b">
        <f aca="false">IFERROR(__xludf.dummyfunction("""COMPUTED_VALUE"""),TRUE())</f>
        <v>1</v>
      </c>
      <c r="AL287" s="35"/>
      <c r="AM287" s="35"/>
      <c r="AN287" s="35"/>
      <c r="AO287" s="46"/>
    </row>
    <row r="288" customFormat="false" ht="15.75" hidden="false" customHeight="true" outlineLevel="0" collapsed="false">
      <c r="A288" s="37" t="str">
        <f aca="false">IFERROR(__xludf.dummyfunction("""COMPUTED_VALUE"""),"Toán")</f>
        <v>Toán</v>
      </c>
      <c r="B288" s="37" t="str">
        <f aca="false">IFERROR(__xludf.dummyfunction("""COMPUTED_VALUE"""),"TOA_V-ACT_T09")</f>
        <v>TOA_V-ACT_T09</v>
      </c>
      <c r="C288" s="59" t="str">
        <f aca="false">IFERROR(__xludf.dummyfunction("""COMPUTED_VALUE"""),"Các phương pháp và kĩ năng xử lí bài toán phương trình - hệ phương trình, bất phương trình (P2)")</f>
        <v>Các phương pháp và kĩ năng xử lí bài toán phương trình - hệ phương trình, bất phương trình (P2)</v>
      </c>
      <c r="D288" s="39" t="str">
        <f aca="false">IFERROR(__xludf.dummyfunction("""COMPUTED_VALUE"""),"Nguyễn Hoài Nam")</f>
        <v>Nguyễn Hoài Nam</v>
      </c>
      <c r="E288" s="40" t="n">
        <f aca="false">IFERROR(__xludf.dummyfunction("""COMPUTED_VALUE"""),46247)</f>
        <v>46247</v>
      </c>
      <c r="F288" s="41" t="n">
        <f aca="false">IFERROR(__xludf.dummyfunction("""COMPUTED_VALUE"""),5)</f>
        <v>5</v>
      </c>
      <c r="G288" s="37" t="str">
        <f aca="false">IFERROR(__xludf.dummyfunction("""COMPUTED_VALUE"""),"21:00-22:30")</f>
        <v>21:00-22:30</v>
      </c>
      <c r="H288" s="37"/>
      <c r="I288" s="37"/>
      <c r="J288" s="37"/>
      <c r="K288" s="68" t="str">
        <f aca="false">IFERROR(__xludf.dummyfunction("""COMPUTED_VALUE"""),"Lent")</f>
        <v>Lent</v>
      </c>
      <c r="L288" s="68" t="str">
        <f aca="false">IFERROR(__xludf.dummyfunction("""COMPUTED_VALUE"""),"Lường Nhật Nam")</f>
        <v>Lường Nhật Nam</v>
      </c>
      <c r="M288" s="71"/>
      <c r="N288" s="77" t="str">
        <f aca="false">IFERROR(__xludf.dummyfunction("""COMPUTED_VALUE"""),"3124,3316")</f>
        <v>3124,3316</v>
      </c>
      <c r="O288" s="73" t="n">
        <f aca="false">IFERROR(__xludf.dummyfunction("""COMPUTED_VALUE"""),167196.166863)</f>
        <v>167196.166863</v>
      </c>
      <c r="P288" s="63" t="n">
        <f aca="false">IFERROR(__xludf.dummyfunction("""COMPUTED_VALUE"""),9044.9108)</f>
        <v>9044.9108</v>
      </c>
      <c r="Q288" s="63" t="n">
        <f aca="false">IFERROR(__xludf.dummyfunction("""COMPUTED_VALUE"""),167196)</f>
        <v>167196</v>
      </c>
      <c r="R288" s="41" t="n">
        <f aca="false">IFERROR(__xludf.dummyfunction("""COMPUTED_VALUE"""),166863)</f>
        <v>166863</v>
      </c>
      <c r="S288" s="41"/>
      <c r="T288" s="63"/>
      <c r="U288" s="63"/>
      <c r="V288" s="70" t="n">
        <f aca="false">IFERROR(__xludf.dummyfunction("""COMPUTED_VALUE"""),46250)</f>
        <v>46250</v>
      </c>
      <c r="W288" s="39"/>
      <c r="X288" s="41" t="str">
        <f aca="false">IFERROR(__xludf.dummyfunction("""COMPUTED_VALUE"""),"Lent")</f>
        <v>Lent</v>
      </c>
      <c r="Y288" s="44" t="str">
        <f aca="false">IFERROR(__xludf.dummyfunction("""COMPUTED_VALUE"""),"done")</f>
        <v>done</v>
      </c>
      <c r="Z288" s="57" t="str">
        <f aca="false">IFERROR(__xludf.dummyfunction("""COMPUTED_VALUE"""),"#N/A")</f>
        <v>#N/A</v>
      </c>
      <c r="AA288" s="57"/>
      <c r="AB288" s="41" t="n">
        <f aca="false">IFERROR(__xludf.dummyfunction("""COMPUTED_VALUE"""),8)</f>
        <v>8</v>
      </c>
      <c r="AC288" s="57" t="str">
        <f aca="false">IFERROR(__xludf.dummyfunction("""COMPUTED_VALUE"""),"gv.namnh@hocmai.edu.vn ")</f>
        <v>gv.namnh@hocmai.edu.vn </v>
      </c>
      <c r="AD288" s="46" t="str">
        <f aca="false">IFERROR(__xludf.dummyfunction("""COMPUTED_VALUE"""),"nhatnam1092@gmail.com")</f>
        <v>nhatnam1092@gmail.com</v>
      </c>
      <c r="AE288" s="46"/>
      <c r="AF288" s="47" t="str">
        <f aca="false">IFERROR(__xludf.dummyfunction("""COMPUTED_VALUE"""),"lophoctoan-946247")</f>
        <v>lophoctoan-946247</v>
      </c>
      <c r="AG288" s="46" t="str">
        <f aca="false">IFERROR(__xludf.dummyfunction("""COMPUTED_VALUE"""),"")</f>
        <v/>
      </c>
      <c r="AH288" s="35"/>
      <c r="AI288" s="35"/>
      <c r="AJ288" s="35"/>
      <c r="AK288" s="35"/>
      <c r="AL288" s="35"/>
      <c r="AM288" s="53" t="b">
        <f aca="false">IFERROR(__xludf.dummyfunction("""COMPUTED_VALUE"""),TRUE())</f>
        <v>1</v>
      </c>
      <c r="AN288" s="53" t="b">
        <f aca="false">IFERROR(__xludf.dummyfunction("""COMPUTED_VALUE"""),TRUE())</f>
        <v>1</v>
      </c>
      <c r="AO288" s="46"/>
    </row>
    <row r="289" customFormat="false" ht="15.75" hidden="false" customHeight="true" outlineLevel="0" collapsed="false">
      <c r="A289" s="37" t="str">
        <f aca="false">IFERROR(__xludf.dummyfunction("""COMPUTED_VALUE"""),"Thực chiến Khoa học")</f>
        <v>Thực chiến Khoa học</v>
      </c>
      <c r="B289" s="37" t="str">
        <f aca="false">IFERROR(__xludf.dummyfunction("""COMPUTED_VALUE"""),"TC_TSA_KH_17")</f>
        <v>TC_TSA_KH_17</v>
      </c>
      <c r="C289" s="59" t="str">
        <f aca="false">IFERROR(__xludf.dummyfunction("""COMPUTED_VALUE"""),"[Bổ trợ]_Chữa bài tập TSA_Tư duy Khoa học số 17")</f>
        <v>[Bổ trợ]_Chữa bài tập TSA_Tư duy Khoa học số 17</v>
      </c>
      <c r="D289" s="39" t="str">
        <f aca="false">IFERROR(__xludf.dummyfunction("""COMPUTED_VALUE"""),"Phạm Huy Hoàng")</f>
        <v>Phạm Huy Hoàng</v>
      </c>
      <c r="E289" s="40" t="n">
        <f aca="false">IFERROR(__xludf.dummyfunction("""COMPUTED_VALUE"""),46247)</f>
        <v>46247</v>
      </c>
      <c r="F289" s="41" t="n">
        <f aca="false">IFERROR(__xludf.dummyfunction("""COMPUTED_VALUE"""),5)</f>
        <v>5</v>
      </c>
      <c r="G289" s="37" t="str">
        <f aca="false">IFERROR(__xludf.dummyfunction("""COMPUTED_VALUE"""),"19:00-20:00")</f>
        <v>19:00-20:00</v>
      </c>
      <c r="H289" s="37"/>
      <c r="I289" s="37"/>
      <c r="J289" s="37"/>
      <c r="K289" s="68" t="str">
        <f aca="false">IFERROR(__xludf.dummyfunction("""COMPUTED_VALUE"""),"Trangnth2")</f>
        <v>Trangnth2</v>
      </c>
      <c r="L289" s="68" t="str">
        <f aca="false">IFERROR(__xludf.dummyfunction("""COMPUTED_VALUE"""),"HOCMAI")</f>
        <v>HOCMAI</v>
      </c>
      <c r="M289" s="71"/>
      <c r="N289" s="77" t="str">
        <f aca="false">IFERROR(__xludf.dummyfunction("""COMPUTED_VALUE"""),"3110")</f>
        <v>3110</v>
      </c>
      <c r="O289" s="63" t="n">
        <f aca="false">IFERROR(__xludf.dummyfunction("""COMPUTED_VALUE"""),176070)</f>
        <v>176070</v>
      </c>
      <c r="P289" s="60" t="str">
        <f aca="false">IFERROR(__xludf.dummyfunction("""COMPUTED_VALUE"""),"https://hocmai.vn/bai-giang-truc-tuyen/176070/.html")</f>
        <v>https://hocmai.vn/bai-giang-truc-tuyen/176070/.html</v>
      </c>
      <c r="Q289" s="63"/>
      <c r="R289" s="41"/>
      <c r="S289" s="41"/>
      <c r="T289" s="63"/>
      <c r="U289" s="63"/>
      <c r="V289" s="70" t="n">
        <f aca="false">IFERROR(__xludf.dummyfunction("""COMPUTED_VALUE"""),46250)</f>
        <v>46250</v>
      </c>
      <c r="W289" s="39"/>
      <c r="X289" s="41" t="str">
        <f aca="false">IFERROR(__xludf.dummyfunction("""COMPUTED_VALUE"""),"Vuta")</f>
        <v>Vuta</v>
      </c>
      <c r="Y289" s="44"/>
      <c r="Z289" s="57"/>
      <c r="AA289" s="57"/>
      <c r="AB289" s="41" t="n">
        <f aca="false">IFERROR(__xludf.dummyfunction("""COMPUTED_VALUE"""),8)</f>
        <v>8</v>
      </c>
      <c r="AC289" s="57" t="str">
        <f aca="false">IFERROR(__xludf.dummyfunction("""COMPUTED_VALUE"""),"0376611308")</f>
        <v>0376611308</v>
      </c>
      <c r="AD289" s="46"/>
      <c r="AE289" s="46"/>
      <c r="AF289" s="47"/>
      <c r="AG289" s="46"/>
      <c r="AH289" s="53" t="b">
        <f aca="false">IFERROR(__xludf.dummyfunction("""COMPUTED_VALUE"""),FALSE())</f>
        <v>0</v>
      </c>
      <c r="AI289" s="53" t="b">
        <f aca="false">IFERROR(__xludf.dummyfunction("""COMPUTED_VALUE"""),TRUE())</f>
        <v>1</v>
      </c>
      <c r="AJ289" s="53" t="b">
        <f aca="false">IFERROR(__xludf.dummyfunction("""COMPUTED_VALUE"""),FALSE())</f>
        <v>0</v>
      </c>
      <c r="AK289" s="53" t="b">
        <f aca="false">IFERROR(__xludf.dummyfunction("""COMPUTED_VALUE"""),FALSE())</f>
        <v>0</v>
      </c>
      <c r="AL289" s="53" t="b">
        <f aca="false">IFERROR(__xludf.dummyfunction("""COMPUTED_VALUE"""),FALSE())</f>
        <v>0</v>
      </c>
      <c r="AM289" s="53" t="b">
        <f aca="false">IFERROR(__xludf.dummyfunction("""COMPUTED_VALUE"""),FALSE())</f>
        <v>0</v>
      </c>
      <c r="AN289" s="53" t="b">
        <f aca="false">IFERROR(__xludf.dummyfunction("""COMPUTED_VALUE"""),FALSE())</f>
        <v>0</v>
      </c>
      <c r="AO289" s="46"/>
    </row>
    <row r="290" customFormat="false" ht="15.75" hidden="false" customHeight="true" outlineLevel="0" collapsed="false">
      <c r="A290" s="37" t="str">
        <f aca="false">IFERROR(__xludf.dummyfunction("""COMPUTED_VALUE"""),"Toán")</f>
        <v>Toán</v>
      </c>
      <c r="B290" s="37" t="str">
        <f aca="false">IFERROR(__xludf.dummyfunction("""COMPUTED_VALUE"""),"TOV_TSA_T09")</f>
        <v>TOV_TSA_T09</v>
      </c>
      <c r="C290" s="37" t="str">
        <f aca="false">IFERROR(__xludf.dummyfunction("""COMPUTED_VALUE"""),"Các bài toán tổ hợp, xác suất khai thác các tính chất số học")</f>
        <v>Các bài toán tổ hợp, xác suất khai thác các tính chất số học</v>
      </c>
      <c r="D290" s="39" t="str">
        <f aca="false">IFERROR(__xludf.dummyfunction("""COMPUTED_VALUE"""),"Nguyễn Thanh Tùng")</f>
        <v>Nguyễn Thanh Tùng</v>
      </c>
      <c r="E290" s="40" t="n">
        <f aca="false">IFERROR(__xludf.dummyfunction("""COMPUTED_VALUE"""),46248)</f>
        <v>46248</v>
      </c>
      <c r="F290" s="41" t="n">
        <f aca="false">IFERROR(__xludf.dummyfunction("""COMPUTED_VALUE"""),6)</f>
        <v>6</v>
      </c>
      <c r="G290" s="37" t="str">
        <f aca="false">IFERROR(__xludf.dummyfunction("""COMPUTED_VALUE"""),"18:00-20:00")</f>
        <v>18:00-20:00</v>
      </c>
      <c r="H290" s="37"/>
      <c r="I290" s="37"/>
      <c r="J290" s="37"/>
      <c r="K290" s="68" t="str">
        <f aca="false">IFERROR(__xludf.dummyfunction("""COMPUTED_VALUE"""),"Locdd")</f>
        <v>Locdd</v>
      </c>
      <c r="L290" s="68" t="str">
        <f aca="false">IFERROR(__xludf.dummyfunction("""COMPUTED_VALUE"""),"Tưởng Thị Huyền Trang")</f>
        <v>Tưởng Thị Huyền Trang</v>
      </c>
      <c r="M290" s="71"/>
      <c r="N290" s="77" t="str">
        <f aca="false">IFERROR(__xludf.dummyfunction("""COMPUTED_VALUE"""),"3108")</f>
        <v>3108</v>
      </c>
      <c r="O290" s="63" t="n">
        <f aca="false">IFERROR(__xludf.dummyfunction("""COMPUTED_VALUE"""),168372)</f>
        <v>168372</v>
      </c>
      <c r="P290" s="63"/>
      <c r="Q290" s="63"/>
      <c r="R290" s="41"/>
      <c r="S290" s="41"/>
      <c r="T290" s="63"/>
      <c r="U290" s="63"/>
      <c r="V290" s="70" t="n">
        <f aca="false">IFERROR(__xludf.dummyfunction("""COMPUTED_VALUE"""),46251)</f>
        <v>46251</v>
      </c>
      <c r="W290" s="39"/>
      <c r="X290" s="41" t="str">
        <f aca="false">IFERROR(__xludf.dummyfunction("""COMPUTED_VALUE"""),"Locdd")</f>
        <v>Locdd</v>
      </c>
      <c r="Y290" s="44" t="str">
        <f aca="false">IFERROR(__xludf.dummyfunction("""COMPUTED_VALUE"""),"done")</f>
        <v>done</v>
      </c>
      <c r="Z290" s="57" t="str">
        <f aca="false">IFERROR(__xludf.dummyfunction("""COMPUTED_VALUE"""),"#N/A")</f>
        <v>#N/A</v>
      </c>
      <c r="AA290" s="57"/>
      <c r="AB290" s="41" t="n">
        <f aca="false">IFERROR(__xludf.dummyfunction("""COMPUTED_VALUE"""),8)</f>
        <v>8</v>
      </c>
      <c r="AC290" s="57" t="str">
        <f aca="false">IFERROR(__xludf.dummyfunction("""COMPUTED_VALUE"""),"gv.tungnt@hocmai.edu.vn ")</f>
        <v>gv.tungnt@hocmai.edu.vn </v>
      </c>
      <c r="AD290" s="46" t="str">
        <f aca="false">IFERROR(__xludf.dummyfunction("""COMPUTED_VALUE"""),"trangcrazy699@gmail.com")</f>
        <v>trangcrazy699@gmail.com</v>
      </c>
      <c r="AE290" s="46"/>
      <c r="AF290" s="47" t="str">
        <f aca="false">IFERROR(__xludf.dummyfunction("""COMPUTED_VALUE"""),"lophoctoan-946248")</f>
        <v>lophoctoan-946248</v>
      </c>
      <c r="AG290" s="46" t="str">
        <f aca="false">IFERROR(__xludf.dummyfunction("""COMPUTED_VALUE"""),"")</f>
        <v/>
      </c>
      <c r="AH290" s="35"/>
      <c r="AI290" s="53" t="b">
        <f aca="false">IFERROR(__xludf.dummyfunction("""COMPUTED_VALUE"""),TRUE())</f>
        <v>1</v>
      </c>
      <c r="AJ290" s="35"/>
      <c r="AK290" s="35"/>
      <c r="AL290" s="35"/>
      <c r="AM290" s="35"/>
      <c r="AN290" s="35"/>
      <c r="AO290" s="46"/>
    </row>
    <row r="291" customFormat="false" ht="15.75" hidden="false" customHeight="true" outlineLevel="0" collapsed="false">
      <c r="A291" s="37" t="str">
        <f aca="false">IFERROR(__xludf.dummyfunction("""COMPUTED_VALUE"""),"Sinh học")</f>
        <v>Sinh học</v>
      </c>
      <c r="B291" s="37" t="str">
        <f aca="false">IFERROR(__xludf.dummyfunction("""COMPUTED_VALUE"""),"TOV_HSA_SH09")</f>
        <v>TOV_HSA_SH09</v>
      </c>
      <c r="C291" s="59" t="str">
        <f aca="false">IFERROR(__xludf.dummyfunction("""COMPUTED_VALUE"""),"Sinh lí động vật: Tiêu hoá – Hô hấp – Tuần hoàn – Miễn dịch – Nội môi – Thần kinh")</f>
        <v>Sinh lí động vật: Tiêu hoá – Hô hấp – Tuần hoàn – Miễn dịch – Nội môi – Thần kinh</v>
      </c>
      <c r="D291" s="39" t="str">
        <f aca="false">IFERROR(__xludf.dummyfunction("""COMPUTED_VALUE"""),"Nguyễn Dương Ánh Hồng")</f>
        <v>Nguyễn Dương Ánh Hồng</v>
      </c>
      <c r="E291" s="40" t="n">
        <f aca="false">IFERROR(__xludf.dummyfunction("""COMPUTED_VALUE"""),46248)</f>
        <v>46248</v>
      </c>
      <c r="F291" s="41" t="n">
        <f aca="false">IFERROR(__xludf.dummyfunction("""COMPUTED_VALUE"""),6)</f>
        <v>6</v>
      </c>
      <c r="G291" s="37" t="str">
        <f aca="false">IFERROR(__xludf.dummyfunction("""COMPUTED_VALUE"""),"19:30-21:30")</f>
        <v>19:30-21:30</v>
      </c>
      <c r="H291" s="37"/>
      <c r="I291" s="37"/>
      <c r="J291" s="37"/>
      <c r="K291" s="68" t="str">
        <f aca="false">IFERROR(__xludf.dummyfunction("""COMPUTED_VALUE"""),"Phuongdt")</f>
        <v>Phuongdt</v>
      </c>
      <c r="L291" s="68" t="str">
        <f aca="false">IFERROR(__xludf.dummyfunction("""COMPUTED_VALUE"""),"Phan Đức Kiên")</f>
        <v>Phan Đức Kiên</v>
      </c>
      <c r="M291" s="71"/>
      <c r="N291" s="77" t="str">
        <f aca="false">IFERROR(__xludf.dummyfunction("""COMPUTED_VALUE"""),"3121")</f>
        <v>3121</v>
      </c>
      <c r="O291" s="63" t="n">
        <f aca="false">IFERROR(__xludf.dummyfunction("""COMPUTED_VALUE"""),167326)</f>
        <v>167326</v>
      </c>
      <c r="P291" s="63"/>
      <c r="Q291" s="63"/>
      <c r="R291" s="41"/>
      <c r="S291" s="41"/>
      <c r="T291" s="63" t="n">
        <f aca="false">IFERROR(__xludf.dummyfunction("""COMPUTED_VALUE"""),23840)</f>
        <v>23840</v>
      </c>
      <c r="U291" s="63"/>
      <c r="V291" s="70" t="n">
        <f aca="false">IFERROR(__xludf.dummyfunction("""COMPUTED_VALUE"""),46251)</f>
        <v>46251</v>
      </c>
      <c r="W291" s="39"/>
      <c r="X291" s="41" t="str">
        <f aca="false">IFERROR(__xludf.dummyfunction("""COMPUTED_VALUE"""),"Phuongdt")</f>
        <v>Phuongdt</v>
      </c>
      <c r="Y291" s="44" t="str">
        <f aca="false">IFERROR(__xludf.dummyfunction("""COMPUTED_VALUE"""),"done")</f>
        <v>done</v>
      </c>
      <c r="Z291" s="57" t="str">
        <f aca="false">IFERROR(__xludf.dummyfunction("""COMPUTED_VALUE"""),"#N/A")</f>
        <v>#N/A</v>
      </c>
      <c r="AA291" s="57"/>
      <c r="AB291" s="41" t="n">
        <f aca="false">IFERROR(__xludf.dummyfunction("""COMPUTED_VALUE"""),8)</f>
        <v>8</v>
      </c>
      <c r="AC291" s="57" t="str">
        <f aca="false">IFERROR(__xludf.dummyfunction("""COMPUTED_VALUE"""),"gv.hongnda@hocmai.edu.vn ")</f>
        <v>gv.hongnda@hocmai.edu.vn </v>
      </c>
      <c r="AD291" s="46" t="str">
        <f aca="false">IFERROR(__xludf.dummyfunction("""COMPUTED_VALUE"""),"duckien010607@gmail.com")</f>
        <v>duckien010607@gmail.com</v>
      </c>
      <c r="AE291" s="46"/>
      <c r="AF291" s="74" t="b">
        <f aca="false">IFERROR(__xludf.dummyfunction("""COMPUTED_VALUE"""),FALSE())</f>
        <v>0</v>
      </c>
      <c r="AG291" s="46" t="str">
        <f aca="false">IFERROR(__xludf.dummyfunction("""COMPUTED_VALUE"""),"")</f>
        <v/>
      </c>
      <c r="AH291" s="35"/>
      <c r="AI291" s="35"/>
      <c r="AJ291" s="53" t="b">
        <f aca="false">IFERROR(__xludf.dummyfunction("""COMPUTED_VALUE"""),TRUE())</f>
        <v>1</v>
      </c>
      <c r="AK291" s="53" t="b">
        <f aca="false">IFERROR(__xludf.dummyfunction("""COMPUTED_VALUE"""),TRUE())</f>
        <v>1</v>
      </c>
      <c r="AL291" s="35"/>
      <c r="AM291" s="35"/>
      <c r="AN291" s="35"/>
      <c r="AO291" s="46"/>
    </row>
    <row r="292" customFormat="false" ht="15.75" hidden="false" customHeight="true" outlineLevel="0" collapsed="false">
      <c r="A292" s="37" t="str">
        <f aca="false">IFERROR(__xludf.dummyfunction("""COMPUTED_VALUE"""),"Lịch sử")</f>
        <v>Lịch sử</v>
      </c>
      <c r="B292" s="37" t="str">
        <f aca="false">IFERROR(__xludf.dummyfunction("""COMPUTED_VALUE"""),"TOV_HSA_LS07")</f>
        <v>TOV_HSA_LS07</v>
      </c>
      <c r="C292" s="59" t="str">
        <f aca="false">IFERROR(__xludf.dummyfunction("""COMPUTED_VALUE"""),"Quá trình giành độc lập dân tộc của các quốc gia Đông Nam Á")</f>
        <v>Quá trình giành độc lập dân tộc của các quốc gia Đông Nam Á</v>
      </c>
      <c r="D292" s="39" t="str">
        <f aca="false">IFERROR(__xludf.dummyfunction("""COMPUTED_VALUE"""),"Dương Thị Huyền")</f>
        <v>Dương Thị Huyền</v>
      </c>
      <c r="E292" s="40" t="n">
        <f aca="false">IFERROR(__xludf.dummyfunction("""COMPUTED_VALUE"""),46248)</f>
        <v>46248</v>
      </c>
      <c r="F292" s="41" t="n">
        <f aca="false">IFERROR(__xludf.dummyfunction("""COMPUTED_VALUE"""),6)</f>
        <v>6</v>
      </c>
      <c r="G292" s="37" t="str">
        <f aca="false">IFERROR(__xludf.dummyfunction("""COMPUTED_VALUE"""),"21:30-23:30")</f>
        <v>21:30-23:30</v>
      </c>
      <c r="H292" s="37"/>
      <c r="I292" s="37"/>
      <c r="J292" s="37"/>
      <c r="K292" s="68" t="str">
        <f aca="false">IFERROR(__xludf.dummyfunction("""COMPUTED_VALUE"""),"Trinhntt")</f>
        <v>Trinhntt</v>
      </c>
      <c r="L292" s="68" t="str">
        <f aca="false">IFERROR(__xludf.dummyfunction("""COMPUTED_VALUE"""),"Phan Đức Kiên")</f>
        <v>Phan Đức Kiên</v>
      </c>
      <c r="M292" s="71"/>
      <c r="N292" s="77" t="str">
        <f aca="false">IFERROR(__xludf.dummyfunction("""COMPUTED_VALUE"""),"3122")</f>
        <v>3122</v>
      </c>
      <c r="O292" s="63" t="n">
        <f aca="false">IFERROR(__xludf.dummyfunction("""COMPUTED_VALUE"""),174734)</f>
        <v>174734</v>
      </c>
      <c r="P292" s="63"/>
      <c r="Q292" s="63"/>
      <c r="R292" s="41"/>
      <c r="S292" s="41"/>
      <c r="T292" s="63"/>
      <c r="U292" s="63"/>
      <c r="V292" s="70" t="n">
        <f aca="false">IFERROR(__xludf.dummyfunction("""COMPUTED_VALUE"""),46251)</f>
        <v>46251</v>
      </c>
      <c r="W292" s="39"/>
      <c r="X292" s="41" t="str">
        <f aca="false">IFERROR(__xludf.dummyfunction("""COMPUTED_VALUE"""),"Huent7")</f>
        <v>Huent7</v>
      </c>
      <c r="Y292" s="44"/>
      <c r="Z292" s="57" t="str">
        <f aca="false">IFERROR(__xludf.dummyfunction("""COMPUTED_VALUE"""),"#N/A")</f>
        <v>#N/A</v>
      </c>
      <c r="AA292" s="57"/>
      <c r="AB292" s="41"/>
      <c r="AC292" s="57" t="str">
        <f aca="false">IFERROR(__xludf.dummyfunction("""COMPUTED_VALUE"""),"gv.huyendt2@hocmai.edu.vn")</f>
        <v>gv.huyendt2@hocmai.edu.vn</v>
      </c>
      <c r="AD292" s="46" t="str">
        <f aca="false">IFERROR(__xludf.dummyfunction("""COMPUTED_VALUE"""),"duckien010607@gmail.com")</f>
        <v>duckien010607@gmail.com</v>
      </c>
      <c r="AE292" s="46"/>
      <c r="AF292" s="74" t="b">
        <f aca="false">IFERROR(__xludf.dummyfunction("""COMPUTED_VALUE"""),FALSE())</f>
        <v>0</v>
      </c>
      <c r="AG292" s="46" t="str">
        <f aca="false">IFERROR(__xludf.dummyfunction("""COMPUTED_VALUE"""),"")</f>
        <v/>
      </c>
      <c r="AH292" s="35"/>
      <c r="AI292" s="35"/>
      <c r="AJ292" s="53" t="b">
        <f aca="false">IFERROR(__xludf.dummyfunction("""COMPUTED_VALUE"""),TRUE())</f>
        <v>1</v>
      </c>
      <c r="AK292" s="53" t="b">
        <f aca="false">IFERROR(__xludf.dummyfunction("""COMPUTED_VALUE"""),TRUE())</f>
        <v>1</v>
      </c>
      <c r="AL292" s="35"/>
      <c r="AM292" s="35"/>
      <c r="AN292" s="35"/>
      <c r="AO292" s="46"/>
    </row>
    <row r="293" customFormat="false" ht="15.75" hidden="false" customHeight="true" outlineLevel="0" collapsed="false">
      <c r="A293" s="37" t="str">
        <f aca="false">IFERROR(__xludf.dummyfunction("""COMPUTED_VALUE"""),"Thực chiến Toán")</f>
        <v>Thực chiến Toán</v>
      </c>
      <c r="B293" s="37" t="str">
        <f aca="false">IFERROR(__xludf.dummyfunction("""COMPUTED_VALUE"""),"TC_V-ACT_T_13")</f>
        <v>TC_V-ACT_T_13</v>
      </c>
      <c r="C293" s="37" t="str">
        <f aca="false">IFERROR(__xludf.dummyfunction("""COMPUTED_VALUE"""),"[Bổ trợ]_Chữa bài tập_V-ACT_Toán số 13")</f>
        <v>[Bổ trợ]_Chữa bài tập_V-ACT_Toán số 13</v>
      </c>
      <c r="D293" s="39" t="str">
        <f aca="false">IFERROR(__xludf.dummyfunction("""COMPUTED_VALUE"""),"Lê Thế Anh")</f>
        <v>Lê Thế Anh</v>
      </c>
      <c r="E293" s="40" t="n">
        <f aca="false">IFERROR(__xludf.dummyfunction("""COMPUTED_VALUE"""),46248)</f>
        <v>46248</v>
      </c>
      <c r="F293" s="41" t="n">
        <f aca="false">IFERROR(__xludf.dummyfunction("""COMPUTED_VALUE"""),6)</f>
        <v>6</v>
      </c>
      <c r="G293" s="37" t="str">
        <f aca="false">IFERROR(__xludf.dummyfunction("""COMPUTED_VALUE"""),"18:45-19:45")</f>
        <v>18:45-19:45</v>
      </c>
      <c r="H293" s="37"/>
      <c r="I293" s="37"/>
      <c r="J293" s="37"/>
      <c r="K293" s="68" t="str">
        <f aca="false">IFERROR(__xludf.dummyfunction("""COMPUTED_VALUE"""),"lent")</f>
        <v>lent</v>
      </c>
      <c r="L293" s="68" t="str">
        <f aca="false">IFERROR(__xludf.dummyfunction("""COMPUTED_VALUE"""),"HOCMAI")</f>
        <v>HOCMAI</v>
      </c>
      <c r="M293" s="71"/>
      <c r="N293" s="77" t="str">
        <f aca="false">IFERROR(__xludf.dummyfunction("""COMPUTED_VALUE"""),"3124")</f>
        <v>3124</v>
      </c>
      <c r="O293" s="63" t="n">
        <f aca="false">IFERROR(__xludf.dummyfunction("""COMPUTED_VALUE"""),176090)</f>
        <v>176090</v>
      </c>
      <c r="P293" s="60" t="str">
        <f aca="false">IFERROR(__xludf.dummyfunction("""COMPUTED_VALUE"""),"https://hocmai.vn/bai-giang-truc-tuyen/176090/.html")</f>
        <v>https://hocmai.vn/bai-giang-truc-tuyen/176090/.html</v>
      </c>
      <c r="Q293" s="63"/>
      <c r="R293" s="41"/>
      <c r="S293" s="41"/>
      <c r="T293" s="63"/>
      <c r="U293" s="63"/>
      <c r="V293" s="70" t="n">
        <f aca="false">IFERROR(__xludf.dummyfunction("""COMPUTED_VALUE"""),46251)</f>
        <v>46251</v>
      </c>
      <c r="W293" s="39"/>
      <c r="X293" s="41" t="str">
        <f aca="false">IFERROR(__xludf.dummyfunction("""COMPUTED_VALUE"""),"Vuta")</f>
        <v>Vuta</v>
      </c>
      <c r="Y293" s="44"/>
      <c r="Z293" s="57"/>
      <c r="AA293" s="57"/>
      <c r="AB293" s="41" t="n">
        <f aca="false">IFERROR(__xludf.dummyfunction("""COMPUTED_VALUE"""),8)</f>
        <v>8</v>
      </c>
      <c r="AC293" s="57" t="str">
        <f aca="false">IFERROR(__xludf.dummyfunction("""COMPUTED_VALUE"""),"ss.vact01@ctv.hocmai.vn")</f>
        <v>ss.vact01@ctv.hocmai.vn</v>
      </c>
      <c r="AD293" s="46"/>
      <c r="AE293" s="46"/>
      <c r="AF293" s="47"/>
      <c r="AG293" s="46"/>
      <c r="AH293" s="53" t="b">
        <f aca="false">IFERROR(__xludf.dummyfunction("""COMPUTED_VALUE"""),FALSE())</f>
        <v>0</v>
      </c>
      <c r="AI293" s="53" t="b">
        <f aca="false">IFERROR(__xludf.dummyfunction("""COMPUTED_VALUE"""),FALSE())</f>
        <v>0</v>
      </c>
      <c r="AJ293" s="53" t="b">
        <f aca="false">IFERROR(__xludf.dummyfunction("""COMPUTED_VALUE"""),FALSE())</f>
        <v>0</v>
      </c>
      <c r="AK293" s="53" t="b">
        <f aca="false">IFERROR(__xludf.dummyfunction("""COMPUTED_VALUE"""),FALSE())</f>
        <v>0</v>
      </c>
      <c r="AL293" s="53" t="b">
        <f aca="false">IFERROR(__xludf.dummyfunction("""COMPUTED_VALUE"""),FALSE())</f>
        <v>0</v>
      </c>
      <c r="AM293" s="53" t="b">
        <f aca="false">IFERROR(__xludf.dummyfunction("""COMPUTED_VALUE"""),TRUE())</f>
        <v>1</v>
      </c>
      <c r="AN293" s="53" t="b">
        <f aca="false">IFERROR(__xludf.dummyfunction("""COMPUTED_VALUE"""),TRUE())</f>
        <v>1</v>
      </c>
      <c r="AO293" s="46"/>
    </row>
    <row r="294" customFormat="false" ht="15.75" hidden="false" customHeight="true" outlineLevel="0" collapsed="false">
      <c r="A294" s="37" t="str">
        <f aca="false">IFERROR(__xludf.dummyfunction("""COMPUTED_VALUE"""),"Thực chiến Tiếng Anh")</f>
        <v>Thực chiến Tiếng Anh</v>
      </c>
      <c r="B294" s="37" t="str">
        <f aca="false">IFERROR(__xludf.dummyfunction("""COMPUTED_VALUE"""),"TC_V-ACT_TA_11")</f>
        <v>TC_V-ACT_TA_11</v>
      </c>
      <c r="C294" s="59" t="str">
        <f aca="false">IFERROR(__xludf.dummyfunction("""COMPUTED_VALUE"""),"[Bổ trợ]_Chữa bài tập_V-ACT_Tiếng Anh số 11")</f>
        <v>[Bổ trợ]_Chữa bài tập_V-ACT_Tiếng Anh số 11</v>
      </c>
      <c r="D294" s="39" t="str">
        <f aca="false">IFERROR(__xludf.dummyfunction("""COMPUTED_VALUE"""),"Dung Thành Vinh")</f>
        <v>Dung Thành Vinh</v>
      </c>
      <c r="E294" s="40" t="n">
        <f aca="false">IFERROR(__xludf.dummyfunction("""COMPUTED_VALUE"""),46248)</f>
        <v>46248</v>
      </c>
      <c r="F294" s="41" t="n">
        <f aca="false">IFERROR(__xludf.dummyfunction("""COMPUTED_VALUE"""),6)</f>
        <v>6</v>
      </c>
      <c r="G294" s="37" t="str">
        <f aca="false">IFERROR(__xludf.dummyfunction("""COMPUTED_VALUE"""),"20:00-21:00")</f>
        <v>20:00-21:00</v>
      </c>
      <c r="H294" s="37"/>
      <c r="I294" s="37"/>
      <c r="J294" s="42" t="str">
        <f aca="false">IFERROR(__xludf.dummyfunction("""COMPUTED_VALUE"""),"https://drive.google.com/drive/folders/1lQuyE61UCt2S1qvxmLgA5haJw9H9spFr?usp=drive_link")</f>
        <v>https://drive.google.com/drive/folders/1lQuyE61UCt2S1qvxmLgA5haJw9H9spFr?usp=drive_link</v>
      </c>
      <c r="K294" s="68" t="str">
        <f aca="false">IFERROR(__xludf.dummyfunction("""COMPUTED_VALUE"""),"Huyenn2")</f>
        <v>Huyenn2</v>
      </c>
      <c r="L294" s="68" t="str">
        <f aca="false">IFERROR(__xludf.dummyfunction("""COMPUTED_VALUE"""),"HOCMAI")</f>
        <v>HOCMAI</v>
      </c>
      <c r="M294" s="71"/>
      <c r="N294" s="77" t="str">
        <f aca="false">IFERROR(__xludf.dummyfunction("""COMPUTED_VALUE"""),"3165")</f>
        <v>3165</v>
      </c>
      <c r="O294" s="63" t="n">
        <f aca="false">IFERROR(__xludf.dummyfunction("""COMPUTED_VALUE"""),176104)</f>
        <v>176104</v>
      </c>
      <c r="P294" s="60" t="str">
        <f aca="false">IFERROR(__xludf.dummyfunction("""COMPUTED_VALUE"""),"https://hocmai.vn/bai-giang-truc-tuyen/176104/.html")</f>
        <v>https://hocmai.vn/bai-giang-truc-tuyen/176104/.html</v>
      </c>
      <c r="Q294" s="63"/>
      <c r="R294" s="41"/>
      <c r="S294" s="41"/>
      <c r="T294" s="63"/>
      <c r="U294" s="63"/>
      <c r="V294" s="70" t="n">
        <f aca="false">IFERROR(__xludf.dummyfunction("""COMPUTED_VALUE"""),46251)</f>
        <v>46251</v>
      </c>
      <c r="W294" s="39"/>
      <c r="X294" s="41" t="str">
        <f aca="false">IFERROR(__xludf.dummyfunction("""COMPUTED_VALUE"""),"Vuta")</f>
        <v>Vuta</v>
      </c>
      <c r="Y294" s="44"/>
      <c r="Z294" s="57"/>
      <c r="AA294" s="57"/>
      <c r="AB294" s="41" t="n">
        <f aca="false">IFERROR(__xludf.dummyfunction("""COMPUTED_VALUE"""),8)</f>
        <v>8</v>
      </c>
      <c r="AC294" s="57" t="str">
        <f aca="false">IFERROR(__xludf.dummyfunction("""COMPUTED_VALUE"""),"shimlim04@gmail.com")</f>
        <v>shimlim04@gmail.com</v>
      </c>
      <c r="AD294" s="46"/>
      <c r="AE294" s="46"/>
      <c r="AF294" s="47"/>
      <c r="AG294" s="46"/>
      <c r="AH294" s="53" t="b">
        <f aca="false">IFERROR(__xludf.dummyfunction("""COMPUTED_VALUE"""),FALSE())</f>
        <v>0</v>
      </c>
      <c r="AI294" s="53" t="b">
        <f aca="false">IFERROR(__xludf.dummyfunction("""COMPUTED_VALUE"""),FALSE())</f>
        <v>0</v>
      </c>
      <c r="AJ294" s="53" t="b">
        <f aca="false">IFERROR(__xludf.dummyfunction("""COMPUTED_VALUE"""),FALSE())</f>
        <v>0</v>
      </c>
      <c r="AK294" s="53" t="b">
        <f aca="false">IFERROR(__xludf.dummyfunction("""COMPUTED_VALUE"""),FALSE())</f>
        <v>0</v>
      </c>
      <c r="AL294" s="53" t="b">
        <f aca="false">IFERROR(__xludf.dummyfunction("""COMPUTED_VALUE"""),FALSE())</f>
        <v>0</v>
      </c>
      <c r="AM294" s="53" t="b">
        <f aca="false">IFERROR(__xludf.dummyfunction("""COMPUTED_VALUE"""),TRUE())</f>
        <v>1</v>
      </c>
      <c r="AN294" s="53" t="b">
        <f aca="false">IFERROR(__xludf.dummyfunction("""COMPUTED_VALUE"""),TRUE())</f>
        <v>1</v>
      </c>
      <c r="AO294" s="46"/>
    </row>
    <row r="295" customFormat="false" ht="15.75" hidden="false" customHeight="true" outlineLevel="0" collapsed="false">
      <c r="A295" s="37" t="str">
        <f aca="false">IFERROR(__xludf.dummyfunction("""COMPUTED_VALUE"""),"Hóa học")</f>
        <v>Hóa học</v>
      </c>
      <c r="B295" s="37" t="str">
        <f aca="false">IFERROR(__xludf.dummyfunction("""COMPUTED_VALUE"""),"TOV_TSA_H05")</f>
        <v>TOV_TSA_H05</v>
      </c>
      <c r="C295" s="59" t="str">
        <f aca="false">IFERROR(__xludf.dummyfunction("""COMPUTED_VALUE"""),"Nhiệt động học và Cân bằng hóa học")</f>
        <v>Nhiệt động học và Cân bằng hóa học</v>
      </c>
      <c r="D295" s="39" t="str">
        <f aca="false">IFERROR(__xludf.dummyfunction("""COMPUTED_VALUE"""),"Vũ Khắc Ngọc")</f>
        <v>Vũ Khắc Ngọc</v>
      </c>
      <c r="E295" s="40" t="n">
        <f aca="false">IFERROR(__xludf.dummyfunction("""COMPUTED_VALUE"""),46249)</f>
        <v>46249</v>
      </c>
      <c r="F295" s="41" t="n">
        <f aca="false">IFERROR(__xludf.dummyfunction("""COMPUTED_VALUE"""),7)</f>
        <v>7</v>
      </c>
      <c r="G295" s="37" t="str">
        <f aca="false">IFERROR(__xludf.dummyfunction("""COMPUTED_VALUE"""),"21:30-23:30")</f>
        <v>21:30-23:30</v>
      </c>
      <c r="H295" s="37"/>
      <c r="I295" s="37"/>
      <c r="J295" s="37"/>
      <c r="K295" s="68" t="str">
        <f aca="false">IFERROR(__xludf.dummyfunction("""COMPUTED_VALUE"""),"Huebt")</f>
        <v>Huebt</v>
      </c>
      <c r="L295" s="68" t="str">
        <f aca="false">IFERROR(__xludf.dummyfunction("""COMPUTED_VALUE"""),"Bùi Vĩnh Thọ")</f>
        <v>Bùi Vĩnh Thọ</v>
      </c>
      <c r="M295" s="71"/>
      <c r="N295" s="77" t="str">
        <f aca="false">IFERROR(__xludf.dummyfunction("""COMPUTED_VALUE"""),"3110")</f>
        <v>3110</v>
      </c>
      <c r="O295" s="63" t="n">
        <f aca="false">IFERROR(__xludf.dummyfunction("""COMPUTED_VALUE"""),167263)</f>
        <v>167263</v>
      </c>
      <c r="P295" s="63"/>
      <c r="Q295" s="63"/>
      <c r="R295" s="41"/>
      <c r="S295" s="41"/>
      <c r="T295" s="63"/>
      <c r="U295" s="63" t="n">
        <f aca="false">IFERROR(__xludf.dummyfunction("""COMPUTED_VALUE"""),10603)</f>
        <v>10603</v>
      </c>
      <c r="V295" s="70" t="n">
        <f aca="false">IFERROR(__xludf.dummyfunction("""COMPUTED_VALUE"""),46252)</f>
        <v>46252</v>
      </c>
      <c r="W295" s="39"/>
      <c r="X295" s="41" t="str">
        <f aca="false">IFERROR(__xludf.dummyfunction("""COMPUTED_VALUE"""),"Huebt")</f>
        <v>Huebt</v>
      </c>
      <c r="Y295" s="44" t="str">
        <f aca="false">IFERROR(__xludf.dummyfunction("""COMPUTED_VALUE"""),"done")</f>
        <v>done</v>
      </c>
      <c r="Z295" s="57" t="str">
        <f aca="false">IFERROR(__xludf.dummyfunction("""COMPUTED_VALUE"""),"#N/A")</f>
        <v>#N/A</v>
      </c>
      <c r="AA295" s="57"/>
      <c r="AB295" s="41" t="n">
        <f aca="false">IFERROR(__xludf.dummyfunction("""COMPUTED_VALUE"""),8)</f>
        <v>8</v>
      </c>
      <c r="AC295" s="57" t="str">
        <f aca="false">IFERROR(__xludf.dummyfunction("""COMPUTED_VALUE"""),"gv.ngocvk@hocmai.edu.vn")</f>
        <v>gv.ngocvk@hocmai.edu.vn</v>
      </c>
      <c r="AD295" s="46" t="str">
        <f aca="false">IFERROR(__xludf.dummyfunction("""COMPUTED_VALUE"""),"vinhtho0704@gmail.com")</f>
        <v>vinhtho0704@gmail.com</v>
      </c>
      <c r="AE295" s="46"/>
      <c r="AF295" s="74" t="b">
        <f aca="false">IFERROR(__xludf.dummyfunction("""COMPUTED_VALUE"""),FALSE())</f>
        <v>0</v>
      </c>
      <c r="AG295" s="46" t="str">
        <f aca="false">IFERROR(__xludf.dummyfunction("""COMPUTED_VALUE"""),"")</f>
        <v/>
      </c>
      <c r="AH295" s="35"/>
      <c r="AI295" s="53" t="b">
        <f aca="false">IFERROR(__xludf.dummyfunction("""COMPUTED_VALUE"""),TRUE())</f>
        <v>1</v>
      </c>
      <c r="AJ295" s="35"/>
      <c r="AK295" s="35"/>
      <c r="AL295" s="35"/>
      <c r="AM295" s="35"/>
      <c r="AN295" s="35"/>
      <c r="AO295" s="46"/>
    </row>
    <row r="296" customFormat="false" ht="15.75" hidden="false" customHeight="true" outlineLevel="0" collapsed="false">
      <c r="A296" s="37" t="str">
        <f aca="false">IFERROR(__xludf.dummyfunction("""COMPUTED_VALUE"""),"Khoa học")</f>
        <v>Khoa học</v>
      </c>
      <c r="B296" s="37" t="str">
        <f aca="false">IFERROR(__xludf.dummyfunction("""COMPUTED_VALUE"""),"TOS_V-ACT_KH09")</f>
        <v>TOS_V-ACT_KH09</v>
      </c>
      <c r="C296" s="59" t="str">
        <f aca="false">IFERROR(__xludf.dummyfunction("""COMPUTED_VALUE"""),"Thực hành xây dựng công thức, quy luật mới từ dữ kiện bài đọc (P1).")</f>
        <v>Thực hành xây dựng công thức, quy luật mới từ dữ kiện bài đọc (P1).</v>
      </c>
      <c r="D296" s="39" t="str">
        <f aca="false">IFERROR(__xludf.dummyfunction("""COMPUTED_VALUE"""),"Lê Văn Minh")</f>
        <v>Lê Văn Minh</v>
      </c>
      <c r="E296" s="40" t="n">
        <f aca="false">IFERROR(__xludf.dummyfunction("""COMPUTED_VALUE"""),46249)</f>
        <v>46249</v>
      </c>
      <c r="F296" s="41" t="n">
        <f aca="false">IFERROR(__xludf.dummyfunction("""COMPUTED_VALUE"""),7)</f>
        <v>7</v>
      </c>
      <c r="G296" s="37" t="str">
        <f aca="false">IFERROR(__xludf.dummyfunction("""COMPUTED_VALUE"""),"20:30-22:00")</f>
        <v>20:30-22:00</v>
      </c>
      <c r="H296" s="37"/>
      <c r="I296" s="37"/>
      <c r="J296" s="37"/>
      <c r="K296" s="68" t="str">
        <f aca="false">IFERROR(__xludf.dummyfunction("""COMPUTED_VALUE"""),"Kimnq")</f>
        <v>Kimnq</v>
      </c>
      <c r="L296" s="68" t="str">
        <f aca="false">IFERROR(__xludf.dummyfunction("""COMPUTED_VALUE"""),"Lê Quốc Việt")</f>
        <v>Lê Quốc Việt</v>
      </c>
      <c r="M296" s="71"/>
      <c r="N296" s="77" t="str">
        <f aca="false">IFERROR(__xludf.dummyfunction("""COMPUTED_VALUE"""),"3340,3126")</f>
        <v>3340,3126</v>
      </c>
      <c r="O296" s="73" t="n">
        <f aca="false">IFERROR(__xludf.dummyfunction("""COMPUTED_VALUE"""),167500.167387)</f>
        <v>167500.167387</v>
      </c>
      <c r="P296" s="63"/>
      <c r="Q296" s="63"/>
      <c r="R296" s="41"/>
      <c r="S296" s="41"/>
      <c r="T296" s="63"/>
      <c r="U296" s="63"/>
      <c r="V296" s="70" t="n">
        <f aca="false">IFERROR(__xludf.dummyfunction("""COMPUTED_VALUE"""),46252)</f>
        <v>46252</v>
      </c>
      <c r="W296" s="39"/>
      <c r="X296" s="41" t="str">
        <f aca="false">IFERROR(__xludf.dummyfunction("""COMPUTED_VALUE"""),"Kimnq")</f>
        <v>Kimnq</v>
      </c>
      <c r="Y296" s="44" t="str">
        <f aca="false">IFERROR(__xludf.dummyfunction("""COMPUTED_VALUE"""),"done")</f>
        <v>done</v>
      </c>
      <c r="Z296" s="57" t="str">
        <f aca="false">IFERROR(__xludf.dummyfunction("""COMPUTED_VALUE"""),"#N/A")</f>
        <v>#N/A</v>
      </c>
      <c r="AA296" s="57"/>
      <c r="AB296" s="41" t="n">
        <f aca="false">IFERROR(__xludf.dummyfunction("""COMPUTED_VALUE"""),8)</f>
        <v>8</v>
      </c>
      <c r="AC296" s="57" t="str">
        <f aca="false">IFERROR(__xludf.dummyfunction("""COMPUTED_VALUE"""),"gv.minhlv@hocmai.edu.vn		")</f>
        <v>gv.minhlv@hocmai.edu.vn		</v>
      </c>
      <c r="AD296" s="46" t="str">
        <f aca="false">IFERROR(__xludf.dummyfunction("""COMPUTED_VALUE"""),"Ralph02091@gmail.com")</f>
        <v>Ralph02091@gmail.com</v>
      </c>
      <c r="AE296" s="46"/>
      <c r="AF296" s="47" t="str">
        <f aca="false">IFERROR(__xludf.dummyfunction("""COMPUTED_VALUE"""),"lophoctoan-946249")</f>
        <v>lophoctoan-946249</v>
      </c>
      <c r="AG296" s="46" t="str">
        <f aca="false">IFERROR(__xludf.dummyfunction("""COMPUTED_VALUE"""),"")</f>
        <v/>
      </c>
      <c r="AH296" s="35"/>
      <c r="AI296" s="35"/>
      <c r="AJ296" s="35"/>
      <c r="AK296" s="35"/>
      <c r="AL296" s="35"/>
      <c r="AM296" s="53" t="b">
        <f aca="false">IFERROR(__xludf.dummyfunction("""COMPUTED_VALUE"""),TRUE())</f>
        <v>1</v>
      </c>
      <c r="AN296" s="53" t="b">
        <f aca="false">IFERROR(__xludf.dummyfunction("""COMPUTED_VALUE"""),TRUE())</f>
        <v>1</v>
      </c>
      <c r="AO296" s="46"/>
    </row>
    <row r="297" customFormat="false" ht="15.75" hidden="false" customHeight="true" outlineLevel="0" collapsed="false">
      <c r="A297" s="37" t="str">
        <f aca="false">IFERROR(__xludf.dummyfunction("""COMPUTED_VALUE"""),"Thực chiến Khoa học")</f>
        <v>Thực chiến Khoa học</v>
      </c>
      <c r="B297" s="37" t="str">
        <f aca="false">IFERROR(__xludf.dummyfunction("""COMPUTED_VALUE"""),"TC_TSA_KH_18")</f>
        <v>TC_TSA_KH_18</v>
      </c>
      <c r="C297" s="59" t="str">
        <f aca="false">IFERROR(__xludf.dummyfunction("""COMPUTED_VALUE"""),"[Bổ trợ]_Chữa bài tập TSA_Tư duy Khoa học số 18")</f>
        <v>[Bổ trợ]_Chữa bài tập TSA_Tư duy Khoa học số 18</v>
      </c>
      <c r="D297" s="39" t="str">
        <f aca="false">IFERROR(__xludf.dummyfunction("""COMPUTED_VALUE"""),"Nguyễn Trọng Trường Anh")</f>
        <v>Nguyễn Trọng Trường Anh</v>
      </c>
      <c r="E297" s="40" t="n">
        <f aca="false">IFERROR(__xludf.dummyfunction("""COMPUTED_VALUE"""),46249)</f>
        <v>46249</v>
      </c>
      <c r="F297" s="41" t="n">
        <f aca="false">IFERROR(__xludf.dummyfunction("""COMPUTED_VALUE"""),7)</f>
        <v>7</v>
      </c>
      <c r="G297" s="37" t="str">
        <f aca="false">IFERROR(__xludf.dummyfunction("""COMPUTED_VALUE"""),"19:00-20:00")</f>
        <v>19:00-20:00</v>
      </c>
      <c r="H297" s="37"/>
      <c r="I297" s="37"/>
      <c r="J297" s="37"/>
      <c r="K297" s="68" t="str">
        <f aca="false">IFERROR(__xludf.dummyfunction("""COMPUTED_VALUE"""),"Trangnth2")</f>
        <v>Trangnth2</v>
      </c>
      <c r="L297" s="68" t="str">
        <f aca="false">IFERROR(__xludf.dummyfunction("""COMPUTED_VALUE"""),"HOCMAI")</f>
        <v>HOCMAI</v>
      </c>
      <c r="M297" s="71"/>
      <c r="N297" s="77" t="str">
        <f aca="false">IFERROR(__xludf.dummyfunction("""COMPUTED_VALUE"""),"3110")</f>
        <v>3110</v>
      </c>
      <c r="O297" s="63" t="n">
        <f aca="false">IFERROR(__xludf.dummyfunction("""COMPUTED_VALUE"""),176071)</f>
        <v>176071</v>
      </c>
      <c r="P297" s="60" t="str">
        <f aca="false">IFERROR(__xludf.dummyfunction("""COMPUTED_VALUE"""),"https://hocmai.vn/bai-giang-truc-tuyen/176071/.html")</f>
        <v>https://hocmai.vn/bai-giang-truc-tuyen/176071/.html</v>
      </c>
      <c r="Q297" s="63"/>
      <c r="R297" s="41"/>
      <c r="S297" s="41"/>
      <c r="T297" s="63"/>
      <c r="U297" s="63"/>
      <c r="V297" s="70" t="n">
        <f aca="false">IFERROR(__xludf.dummyfunction("""COMPUTED_VALUE"""),46252)</f>
        <v>46252</v>
      </c>
      <c r="W297" s="39"/>
      <c r="X297" s="41" t="str">
        <f aca="false">IFERROR(__xludf.dummyfunction("""COMPUTED_VALUE"""),"Vuta")</f>
        <v>Vuta</v>
      </c>
      <c r="Y297" s="44"/>
      <c r="Z297" s="57"/>
      <c r="AA297" s="57"/>
      <c r="AB297" s="41" t="n">
        <f aca="false">IFERROR(__xludf.dummyfunction("""COMPUTED_VALUE"""),8)</f>
        <v>8</v>
      </c>
      <c r="AC297" s="57" t="str">
        <f aca="false">IFERROR(__xludf.dummyfunction("""COMPUTED_VALUE"""),"thochi1981@gmail.com")</f>
        <v>thochi1981@gmail.com</v>
      </c>
      <c r="AD297" s="46"/>
      <c r="AE297" s="46"/>
      <c r="AF297" s="47"/>
      <c r="AG297" s="46"/>
      <c r="AH297" s="53" t="b">
        <f aca="false">IFERROR(__xludf.dummyfunction("""COMPUTED_VALUE"""),FALSE())</f>
        <v>0</v>
      </c>
      <c r="AI297" s="53" t="b">
        <f aca="false">IFERROR(__xludf.dummyfunction("""COMPUTED_VALUE"""),TRUE())</f>
        <v>1</v>
      </c>
      <c r="AJ297" s="53" t="b">
        <f aca="false">IFERROR(__xludf.dummyfunction("""COMPUTED_VALUE"""),FALSE())</f>
        <v>0</v>
      </c>
      <c r="AK297" s="53" t="b">
        <f aca="false">IFERROR(__xludf.dummyfunction("""COMPUTED_VALUE"""),FALSE())</f>
        <v>0</v>
      </c>
      <c r="AL297" s="53" t="b">
        <f aca="false">IFERROR(__xludf.dummyfunction("""COMPUTED_VALUE"""),FALSE())</f>
        <v>0</v>
      </c>
      <c r="AM297" s="53" t="b">
        <f aca="false">IFERROR(__xludf.dummyfunction("""COMPUTED_VALUE"""),FALSE())</f>
        <v>0</v>
      </c>
      <c r="AN297" s="53" t="b">
        <f aca="false">IFERROR(__xludf.dummyfunction("""COMPUTED_VALUE"""),FALSE())</f>
        <v>0</v>
      </c>
      <c r="AO297" s="46"/>
    </row>
    <row r="298" customFormat="false" ht="15.75" hidden="false" customHeight="true" outlineLevel="0" collapsed="false">
      <c r="A298" s="37" t="str">
        <f aca="false">IFERROR(__xludf.dummyfunction("""COMPUTED_VALUE"""),"Thực chiến Định lượng")</f>
        <v>Thực chiến Định lượng</v>
      </c>
      <c r="B298" s="37" t="str">
        <f aca="false">IFERROR(__xludf.dummyfunction("""COMPUTED_VALUE"""),"TC_HSA_ĐL_13")</f>
        <v>TC_HSA_ĐL_13</v>
      </c>
      <c r="C298" s="59" t="str">
        <f aca="false">IFERROR(__xludf.dummyfunction("""COMPUTED_VALUE"""),"[Bổ trợ]_Chữa bài tập _Tư duy Định lượng số 13")</f>
        <v>[Bổ trợ]_Chữa bài tập _Tư duy Định lượng số 13</v>
      </c>
      <c r="D298" s="39" t="str">
        <f aca="false">IFERROR(__xludf.dummyfunction("""COMPUTED_VALUE"""),"Vi Vũ Trí Đức")</f>
        <v>Vi Vũ Trí Đức</v>
      </c>
      <c r="E298" s="40" t="n">
        <f aca="false">IFERROR(__xludf.dummyfunction("""COMPUTED_VALUE"""),46249)</f>
        <v>46249</v>
      </c>
      <c r="F298" s="41" t="n">
        <f aca="false">IFERROR(__xludf.dummyfunction("""COMPUTED_VALUE"""),7)</f>
        <v>7</v>
      </c>
      <c r="G298" s="37" t="str">
        <f aca="false">IFERROR(__xludf.dummyfunction("""COMPUTED_VALUE"""),"21:00-22:00")</f>
        <v>21:00-22:00</v>
      </c>
      <c r="H298" s="37"/>
      <c r="I298" s="37"/>
      <c r="J298" s="37"/>
      <c r="K298" s="68" t="str">
        <f aca="false">IFERROR(__xludf.dummyfunction("""COMPUTED_VALUE"""),"Locdd")</f>
        <v>Locdd</v>
      </c>
      <c r="L298" s="68" t="str">
        <f aca="false">IFERROR(__xludf.dummyfunction("""COMPUTED_VALUE"""),"HOCMAI")</f>
        <v>HOCMAI</v>
      </c>
      <c r="M298" s="71"/>
      <c r="N298" s="77" t="str">
        <f aca="false">IFERROR(__xludf.dummyfunction("""COMPUTED_VALUE"""),"3117")</f>
        <v>3117</v>
      </c>
      <c r="O298" s="63" t="n">
        <f aca="false">IFERROR(__xludf.dummyfunction("""COMPUTED_VALUE"""),176126)</f>
        <v>176126</v>
      </c>
      <c r="P298" s="60" t="str">
        <f aca="false">IFERROR(__xludf.dummyfunction("""COMPUTED_VALUE"""),"https://hocmai.vn/bai-giang-truc-tuyen/176126/.html")</f>
        <v>https://hocmai.vn/bai-giang-truc-tuyen/176126/.html</v>
      </c>
      <c r="Q298" s="63"/>
      <c r="R298" s="41"/>
      <c r="S298" s="41"/>
      <c r="T298" s="63"/>
      <c r="U298" s="63"/>
      <c r="V298" s="70" t="n">
        <f aca="false">IFERROR(__xludf.dummyfunction("""COMPUTED_VALUE"""),46252)</f>
        <v>46252</v>
      </c>
      <c r="W298" s="39"/>
      <c r="X298" s="41" t="str">
        <f aca="false">IFERROR(__xludf.dummyfunction("""COMPUTED_VALUE"""),"Vuta")</f>
        <v>Vuta</v>
      </c>
      <c r="Y298" s="44"/>
      <c r="Z298" s="57"/>
      <c r="AA298" s="57"/>
      <c r="AB298" s="41" t="n">
        <f aca="false">IFERROR(__xludf.dummyfunction("""COMPUTED_VALUE"""),8)</f>
        <v>8</v>
      </c>
      <c r="AC298" s="57" t="str">
        <f aca="false">IFERROR(__xludf.dummyfunction("""COMPUTED_VALUE"""),"tdstawesome@gmail.com")</f>
        <v>tdstawesome@gmail.com</v>
      </c>
      <c r="AD298" s="46"/>
      <c r="AE298" s="46"/>
      <c r="AF298" s="47"/>
      <c r="AG298" s="46"/>
      <c r="AH298" s="53" t="b">
        <f aca="false">IFERROR(__xludf.dummyfunction("""COMPUTED_VALUE"""),FALSE())</f>
        <v>0</v>
      </c>
      <c r="AI298" s="53" t="b">
        <f aca="false">IFERROR(__xludf.dummyfunction("""COMPUTED_VALUE"""),FALSE())</f>
        <v>0</v>
      </c>
      <c r="AJ298" s="53" t="b">
        <f aca="false">IFERROR(__xludf.dummyfunction("""COMPUTED_VALUE"""),TRUE())</f>
        <v>1</v>
      </c>
      <c r="AK298" s="53" t="b">
        <f aca="false">IFERROR(__xludf.dummyfunction("""COMPUTED_VALUE"""),TRUE())</f>
        <v>1</v>
      </c>
      <c r="AL298" s="53" t="b">
        <f aca="false">IFERROR(__xludf.dummyfunction("""COMPUTED_VALUE"""),FALSE())</f>
        <v>0</v>
      </c>
      <c r="AM298" s="53" t="b">
        <f aca="false">IFERROR(__xludf.dummyfunction("""COMPUTED_VALUE"""),FALSE())</f>
        <v>0</v>
      </c>
      <c r="AN298" s="53" t="b">
        <f aca="false">IFERROR(__xludf.dummyfunction("""COMPUTED_VALUE"""),FALSE())</f>
        <v>0</v>
      </c>
      <c r="AO298" s="46"/>
    </row>
    <row r="299" customFormat="false" ht="15.75" hidden="false" customHeight="true" outlineLevel="0" collapsed="false">
      <c r="A299" s="37" t="str">
        <f aca="false">IFERROR(__xludf.dummyfunction("""COMPUTED_VALUE"""),"Thực chiến Tiếng Việt")</f>
        <v>Thực chiến Tiếng Việt</v>
      </c>
      <c r="B299" s="37" t="str">
        <f aca="false">IFERROR(__xludf.dummyfunction("""COMPUTED_VALUE"""),"TC_V-ACT_TV_10")</f>
        <v>TC_V-ACT_TV_10</v>
      </c>
      <c r="C299" s="59" t="str">
        <f aca="false">IFERROR(__xludf.dummyfunction("""COMPUTED_VALUE"""),"[Bổ trợ]_Chữa bài tập_V-ACT_Tiếng Việt số 10")</f>
        <v>[Bổ trợ]_Chữa bài tập_V-ACT_Tiếng Việt số 10</v>
      </c>
      <c r="D299" s="39" t="str">
        <f aca="false">IFERROR(__xludf.dummyfunction("""COMPUTED_VALUE"""),"Nguyễn Thị Khánh Ly")</f>
        <v>Nguyễn Thị Khánh Ly</v>
      </c>
      <c r="E299" s="40" t="n">
        <f aca="false">IFERROR(__xludf.dummyfunction("""COMPUTED_VALUE"""),46249)</f>
        <v>46249</v>
      </c>
      <c r="F299" s="41" t="n">
        <f aca="false">IFERROR(__xludf.dummyfunction("""COMPUTED_VALUE"""),7)</f>
        <v>7</v>
      </c>
      <c r="G299" s="37" t="str">
        <f aca="false">IFERROR(__xludf.dummyfunction("""COMPUTED_VALUE"""),"19:00-20:00")</f>
        <v>19:00-20:00</v>
      </c>
      <c r="H299" s="37"/>
      <c r="I299" s="37"/>
      <c r="J299" s="37"/>
      <c r="K299" s="68" t="str">
        <f aca="false">IFERROR(__xludf.dummyfunction("""COMPUTED_VALUE"""),"Hoantt")</f>
        <v>Hoantt</v>
      </c>
      <c r="L299" s="68" t="str">
        <f aca="false">IFERROR(__xludf.dummyfunction("""COMPUTED_VALUE"""),"HOCMAI")</f>
        <v>HOCMAI</v>
      </c>
      <c r="M299" s="71"/>
      <c r="N299" s="77" t="str">
        <f aca="false">IFERROR(__xludf.dummyfunction("""COMPUTED_VALUE"""),"3125")</f>
        <v>3125</v>
      </c>
      <c r="O299" s="63" t="n">
        <f aca="false">IFERROR(__xludf.dummyfunction("""COMPUTED_VALUE"""),176115)</f>
        <v>176115</v>
      </c>
      <c r="P299" s="60" t="str">
        <f aca="false">IFERROR(__xludf.dummyfunction("""COMPUTED_VALUE"""),"https://hocmai.vn/bai-giang-truc-tuyen/176115/.html")</f>
        <v>https://hocmai.vn/bai-giang-truc-tuyen/176115/.html</v>
      </c>
      <c r="Q299" s="63"/>
      <c r="R299" s="41"/>
      <c r="S299" s="41"/>
      <c r="T299" s="63"/>
      <c r="U299" s="63"/>
      <c r="V299" s="70" t="n">
        <f aca="false">IFERROR(__xludf.dummyfunction("""COMPUTED_VALUE"""),46252)</f>
        <v>46252</v>
      </c>
      <c r="W299" s="39"/>
      <c r="X299" s="41" t="str">
        <f aca="false">IFERROR(__xludf.dummyfunction("""COMPUTED_VALUE"""),"Vuta")</f>
        <v>Vuta</v>
      </c>
      <c r="Y299" s="44"/>
      <c r="Z299" s="57"/>
      <c r="AA299" s="57"/>
      <c r="AB299" s="41" t="n">
        <f aca="false">IFERROR(__xludf.dummyfunction("""COMPUTED_VALUE"""),8)</f>
        <v>8</v>
      </c>
      <c r="AC299" s="57" t="str">
        <f aca="false">IFERROR(__xludf.dummyfunction("""COMPUTED_VALUE"""),"khanhly16092003@gmail.com")</f>
        <v>khanhly16092003@gmail.com</v>
      </c>
      <c r="AD299" s="46"/>
      <c r="AE299" s="46"/>
      <c r="AF299" s="47"/>
      <c r="AG299" s="46"/>
      <c r="AH299" s="53" t="b">
        <f aca="false">IFERROR(__xludf.dummyfunction("""COMPUTED_VALUE"""),FALSE())</f>
        <v>0</v>
      </c>
      <c r="AI299" s="53" t="b">
        <f aca="false">IFERROR(__xludf.dummyfunction("""COMPUTED_VALUE"""),FALSE())</f>
        <v>0</v>
      </c>
      <c r="AJ299" s="53" t="b">
        <f aca="false">IFERROR(__xludf.dummyfunction("""COMPUTED_VALUE"""),FALSE())</f>
        <v>0</v>
      </c>
      <c r="AK299" s="53" t="b">
        <f aca="false">IFERROR(__xludf.dummyfunction("""COMPUTED_VALUE"""),FALSE())</f>
        <v>0</v>
      </c>
      <c r="AL299" s="53" t="b">
        <f aca="false">IFERROR(__xludf.dummyfunction("""COMPUTED_VALUE"""),FALSE())</f>
        <v>0</v>
      </c>
      <c r="AM299" s="53" t="b">
        <f aca="false">IFERROR(__xludf.dummyfunction("""COMPUTED_VALUE"""),TRUE())</f>
        <v>1</v>
      </c>
      <c r="AN299" s="53" t="b">
        <f aca="false">IFERROR(__xludf.dummyfunction("""COMPUTED_VALUE"""),TRUE())</f>
        <v>1</v>
      </c>
      <c r="AO299" s="46"/>
    </row>
    <row r="300" customFormat="false" ht="15.75" hidden="false" customHeight="true" outlineLevel="0" collapsed="false">
      <c r="A300" s="37" t="str">
        <f aca="false">IFERROR(__xludf.dummyfunction("""COMPUTED_VALUE"""),"Toán")</f>
        <v>Toán</v>
      </c>
      <c r="B300" s="37" t="str">
        <f aca="false">IFERROR(__xludf.dummyfunction("""COMPUTED_VALUE"""),"NT_N_18")</f>
        <v>NT_N_18</v>
      </c>
      <c r="C300" s="59" t="str">
        <f aca="false">IFERROR(__xludf.dummyfunction("""COMPUTED_VALUE"""),"Các số đặc trưng đo xu thể trung tâm và độ phân tán của mẫu số liệu ghép nhóm")</f>
        <v>Các số đặc trưng đo xu thể trung tâm và độ phân tán của mẫu số liệu ghép nhóm</v>
      </c>
      <c r="D300" s="39" t="str">
        <f aca="false">IFERROR(__xludf.dummyfunction("""COMPUTED_VALUE"""),"Nguyễn Hoài Nam")</f>
        <v>Nguyễn Hoài Nam</v>
      </c>
      <c r="E300" s="40" t="n">
        <f aca="false">IFERROR(__xludf.dummyfunction("""COMPUTED_VALUE"""),46250)</f>
        <v>46250</v>
      </c>
      <c r="F300" s="41" t="str">
        <f aca="false">IFERROR(__xludf.dummyfunction("""COMPUTED_VALUE"""),"CN")</f>
        <v>CN</v>
      </c>
      <c r="G300" s="37" t="str">
        <f aca="false">IFERROR(__xludf.dummyfunction("""COMPUTED_VALUE"""),"21:00-22:30")</f>
        <v>21:00-22:30</v>
      </c>
      <c r="H300" s="37"/>
      <c r="I300" s="37"/>
      <c r="J300" s="37"/>
      <c r="K300" s="68" t="str">
        <f aca="false">IFERROR(__xludf.dummyfunction("""COMPUTED_VALUE"""),"lent")</f>
        <v>lent</v>
      </c>
      <c r="L300" s="68" t="str">
        <f aca="false">IFERROR(__xludf.dummyfunction("""COMPUTED_VALUE"""),"Tưởng Thị Huyền Trang")</f>
        <v>Tưởng Thị Huyền Trang</v>
      </c>
      <c r="M300" s="69" t="str">
        <f aca="false">IFERROR(__xludf.dummyfunction("""COMPUTED_VALUE"""),"https://hocmai.sharepoint.com/Education_Development/Lists/San_xuat_video/DispForm.aspx?ID=12205")</f>
        <v>https://hocmai.sharepoint.com/Education_Development/Lists/San_xuat_video/DispForm.aspx?ID=12205</v>
      </c>
      <c r="N300" s="78" t="n">
        <f aca="false">IFERROR(__xludf.dummyfunction("""COMPUTED_VALUE"""),3313)</f>
        <v>3313</v>
      </c>
      <c r="O300" s="63" t="n">
        <f aca="false">IFERROR(__xludf.dummyfunction("""COMPUTED_VALUE"""),166651)</f>
        <v>166651</v>
      </c>
      <c r="P300" s="63"/>
      <c r="Q300" s="63" t="n">
        <f aca="false">IFERROR(__xludf.dummyfunction("""COMPUTED_VALUE"""),8034)</f>
        <v>8034</v>
      </c>
      <c r="R300" s="41"/>
      <c r="S300" s="41"/>
      <c r="T300" s="63" t="n">
        <f aca="false">IFERROR(__xludf.dummyfunction("""COMPUTED_VALUE"""),8035)</f>
        <v>8035</v>
      </c>
      <c r="U300" s="63"/>
      <c r="V300" s="70" t="n">
        <f aca="false">IFERROR(__xludf.dummyfunction("""COMPUTED_VALUE"""),46252)</f>
        <v>46252</v>
      </c>
      <c r="W300" s="39"/>
      <c r="X300" s="41" t="str">
        <f aca="false">IFERROR(__xludf.dummyfunction("""COMPUTED_VALUE"""),"Huent7")</f>
        <v>Huent7</v>
      </c>
      <c r="Y300" s="44"/>
      <c r="Z300" s="57"/>
      <c r="AA300" s="57"/>
      <c r="AB300" s="41" t="n">
        <f aca="false">IFERROR(__xludf.dummyfunction("""COMPUTED_VALUE"""),8)</f>
        <v>8</v>
      </c>
      <c r="AC300" s="57"/>
      <c r="AD300" s="46"/>
      <c r="AE300" s="46"/>
      <c r="AF300" s="47" t="str">
        <f aca="false">IFERROR(__xludf.dummyfunction("""COMPUTED_VALUE"""),"lophoctoan-946250")</f>
        <v>lophoctoan-946250</v>
      </c>
      <c r="AG300" s="46" t="str">
        <f aca="false">IFERROR(__xludf.dummyfunction("""COMPUTED_VALUE"""),"")</f>
        <v/>
      </c>
      <c r="AH300" s="53" t="b">
        <f aca="false">IFERROR(__xludf.dummyfunction("""COMPUTED_VALUE"""),TRUE())</f>
        <v>1</v>
      </c>
      <c r="AI300" s="35"/>
      <c r="AJ300" s="35"/>
      <c r="AK300" s="35"/>
      <c r="AL300" s="35"/>
      <c r="AM300" s="35"/>
      <c r="AN300" s="35"/>
      <c r="AO300" s="46"/>
    </row>
    <row r="301" customFormat="false" ht="15.75" hidden="false" customHeight="true" outlineLevel="0" collapsed="false">
      <c r="A301" s="37" t="str">
        <f aca="false">IFERROR(__xludf.dummyfunction("""COMPUTED_VALUE"""),"Toán")</f>
        <v>Toán</v>
      </c>
      <c r="B301" s="37" t="str">
        <f aca="false">IFERROR(__xludf.dummyfunction("""COMPUTED_VALUE"""),"NT_T_34")</f>
        <v>NT_T_34</v>
      </c>
      <c r="C301" s="59" t="str">
        <f aca="false">IFERROR(__xludf.dummyfunction("""COMPUTED_VALUE"""),"Các bài toán thực tế tính thể tích khối tròn xoay")</f>
        <v>Các bài toán thực tế tính thể tích khối tròn xoay</v>
      </c>
      <c r="D301" s="39" t="str">
        <f aca="false">IFERROR(__xludf.dummyfunction("""COMPUTED_VALUE"""),"Nguyễn Thanh Tùng")</f>
        <v>Nguyễn Thanh Tùng</v>
      </c>
      <c r="E301" s="40" t="n">
        <f aca="false">IFERROR(__xludf.dummyfunction("""COMPUTED_VALUE"""),46250)</f>
        <v>46250</v>
      </c>
      <c r="F301" s="41" t="str">
        <f aca="false">IFERROR(__xludf.dummyfunction("""COMPUTED_VALUE"""),"CN")</f>
        <v>CN</v>
      </c>
      <c r="G301" s="37" t="str">
        <f aca="false">IFERROR(__xludf.dummyfunction("""COMPUTED_VALUE"""),"18:00-20:00")</f>
        <v>18:00-20:00</v>
      </c>
      <c r="H301" s="37"/>
      <c r="I301" s="37"/>
      <c r="J301" s="37"/>
      <c r="K301" s="68" t="str">
        <f aca="false">IFERROR(__xludf.dummyfunction("""COMPUTED_VALUE"""),"Khanhnl")</f>
        <v>Khanhnl</v>
      </c>
      <c r="L301" s="68" t="str">
        <f aca="false">IFERROR(__xludf.dummyfunction("""COMPUTED_VALUE"""),"Tưởng Thị Huyền Trang")</f>
        <v>Tưởng Thị Huyền Trang</v>
      </c>
      <c r="M301" s="69" t="str">
        <f aca="false">IFERROR(__xludf.dummyfunction("""COMPUTED_VALUE"""),"https://hocmai.sharepoint.com/Education_Development/Lists/San_xuat_video/DispForm.aspx?ID=12173")</f>
        <v>https://hocmai.sharepoint.com/Education_Development/Lists/San_xuat_video/DispForm.aspx?ID=12173</v>
      </c>
      <c r="N301" s="63" t="n">
        <f aca="false">IFERROR(__xludf.dummyfunction("""COMPUTED_VALUE"""),3312)</f>
        <v>3312</v>
      </c>
      <c r="O301" s="63" t="n">
        <f aca="false">IFERROR(__xludf.dummyfunction("""COMPUTED_VALUE"""),166567)</f>
        <v>166567</v>
      </c>
      <c r="P301" s="63"/>
      <c r="Q301" s="63" t="n">
        <f aca="false">IFERROR(__xludf.dummyfunction("""COMPUTED_VALUE"""),7950)</f>
        <v>7950</v>
      </c>
      <c r="R301" s="41"/>
      <c r="S301" s="41"/>
      <c r="T301" s="63" t="n">
        <f aca="false">IFERROR(__xludf.dummyfunction("""COMPUTED_VALUE"""),7951)</f>
        <v>7951</v>
      </c>
      <c r="U301" s="63"/>
      <c r="V301" s="70" t="n">
        <f aca="false">IFERROR(__xludf.dummyfunction("""COMPUTED_VALUE"""),46253)</f>
        <v>46253</v>
      </c>
      <c r="W301" s="39"/>
      <c r="X301" s="41" t="str">
        <f aca="false">IFERROR(__xludf.dummyfunction("""COMPUTED_VALUE"""),"Huent7")</f>
        <v>Huent7</v>
      </c>
      <c r="Y301" s="44"/>
      <c r="Z301" s="57"/>
      <c r="AA301" s="57"/>
      <c r="AB301" s="41" t="n">
        <f aca="false">IFERROR(__xludf.dummyfunction("""COMPUTED_VALUE"""),8)</f>
        <v>8</v>
      </c>
      <c r="AC301" s="57"/>
      <c r="AD301" s="46"/>
      <c r="AE301" s="46"/>
      <c r="AF301" s="47" t="str">
        <f aca="false">IFERROR(__xludf.dummyfunction("""COMPUTED_VALUE"""),"lophoctoan-946250")</f>
        <v>lophoctoan-946250</v>
      </c>
      <c r="AG301" s="46" t="str">
        <f aca="false">IFERROR(__xludf.dummyfunction("""COMPUTED_VALUE"""),"")</f>
        <v/>
      </c>
      <c r="AH301" s="53" t="b">
        <f aca="false">IFERROR(__xludf.dummyfunction("""COMPUTED_VALUE"""),TRUE())</f>
        <v>1</v>
      </c>
      <c r="AI301" s="35"/>
      <c r="AJ301" s="35"/>
      <c r="AK301" s="35"/>
      <c r="AL301" s="35"/>
      <c r="AM301" s="35"/>
      <c r="AN301" s="35"/>
      <c r="AO301" s="46"/>
    </row>
    <row r="302" customFormat="false" ht="15.75" hidden="false" customHeight="true" outlineLevel="0" collapsed="false">
      <c r="A302" s="37" t="str">
        <f aca="false">IFERROR(__xludf.dummyfunction("""COMPUTED_VALUE"""),"Thực chiến Toán")</f>
        <v>Thực chiến Toán</v>
      </c>
      <c r="B302" s="37" t="str">
        <f aca="false">IFERROR(__xludf.dummyfunction("""COMPUTED_VALUE"""),"TC_TSA_T_17")</f>
        <v>TC_TSA_T_17</v>
      </c>
      <c r="C302" s="59" t="str">
        <f aca="false">IFERROR(__xludf.dummyfunction("""COMPUTED_VALUE"""),"[Bổ trợ]_Chữa bài tập TSA_Tư duy Toán học số 17")</f>
        <v>[Bổ trợ]_Chữa bài tập TSA_Tư duy Toán học số 17</v>
      </c>
      <c r="D302" s="39" t="str">
        <f aca="false">IFERROR(__xludf.dummyfunction("""COMPUTED_VALUE"""),"Phạm Huy Hoàng")</f>
        <v>Phạm Huy Hoàng</v>
      </c>
      <c r="E302" s="40" t="n">
        <f aca="false">IFERROR(__xludf.dummyfunction("""COMPUTED_VALUE"""),46250)</f>
        <v>46250</v>
      </c>
      <c r="F302" s="41" t="str">
        <f aca="false">IFERROR(__xludf.dummyfunction("""COMPUTED_VALUE"""),"CN")</f>
        <v>CN</v>
      </c>
      <c r="G302" s="37" t="str">
        <f aca="false">IFERROR(__xludf.dummyfunction("""COMPUTED_VALUE"""),"15:00-16:00")</f>
        <v>15:00-16:00</v>
      </c>
      <c r="H302" s="37"/>
      <c r="I302" s="37"/>
      <c r="J302" s="37"/>
      <c r="K302" s="68" t="str">
        <f aca="false">IFERROR(__xludf.dummyfunction("""COMPUTED_VALUE"""),"Locdd")</f>
        <v>Locdd</v>
      </c>
      <c r="L302" s="68" t="str">
        <f aca="false">IFERROR(__xludf.dummyfunction("""COMPUTED_VALUE"""),"HOCMAI")</f>
        <v>HOCMAI</v>
      </c>
      <c r="M302" s="71"/>
      <c r="N302" s="77" t="str">
        <f aca="false">IFERROR(__xludf.dummyfunction("""COMPUTED_VALUE"""),"3108")</f>
        <v>3108</v>
      </c>
      <c r="O302" s="63" t="n">
        <f aca="false">IFERROR(__xludf.dummyfunction("""COMPUTED_VALUE"""),176049)</f>
        <v>176049</v>
      </c>
      <c r="P302" s="60" t="str">
        <f aca="false">IFERROR(__xludf.dummyfunction("""COMPUTED_VALUE"""),"https://hocmai.vn/bai-giang-truc-tuyen/176049/.html")</f>
        <v>https://hocmai.vn/bai-giang-truc-tuyen/176049/.html</v>
      </c>
      <c r="Q302" s="63"/>
      <c r="R302" s="41"/>
      <c r="S302" s="41"/>
      <c r="T302" s="63"/>
      <c r="U302" s="63"/>
      <c r="V302" s="70" t="n">
        <f aca="false">IFERROR(__xludf.dummyfunction("""COMPUTED_VALUE"""),46253)</f>
        <v>46253</v>
      </c>
      <c r="W302" s="39"/>
      <c r="X302" s="41" t="str">
        <f aca="false">IFERROR(__xludf.dummyfunction("""COMPUTED_VALUE"""),"Vuta")</f>
        <v>Vuta</v>
      </c>
      <c r="Y302" s="44"/>
      <c r="Z302" s="57"/>
      <c r="AA302" s="57"/>
      <c r="AB302" s="41" t="n">
        <f aca="false">IFERROR(__xludf.dummyfunction("""COMPUTED_VALUE"""),8)</f>
        <v>8</v>
      </c>
      <c r="AC302" s="57" t="str">
        <f aca="false">IFERROR(__xludf.dummyfunction("""COMPUTED_VALUE"""),"0376611308")</f>
        <v>0376611308</v>
      </c>
      <c r="AD302" s="46"/>
      <c r="AE302" s="46"/>
      <c r="AF302" s="47"/>
      <c r="AG302" s="46"/>
      <c r="AH302" s="53" t="b">
        <f aca="false">IFERROR(__xludf.dummyfunction("""COMPUTED_VALUE"""),FALSE())</f>
        <v>0</v>
      </c>
      <c r="AI302" s="53" t="b">
        <f aca="false">IFERROR(__xludf.dummyfunction("""COMPUTED_VALUE"""),TRUE())</f>
        <v>1</v>
      </c>
      <c r="AJ302" s="53" t="b">
        <f aca="false">IFERROR(__xludf.dummyfunction("""COMPUTED_VALUE"""),FALSE())</f>
        <v>0</v>
      </c>
      <c r="AK302" s="53" t="b">
        <f aca="false">IFERROR(__xludf.dummyfunction("""COMPUTED_VALUE"""),FALSE())</f>
        <v>0</v>
      </c>
      <c r="AL302" s="53" t="b">
        <f aca="false">IFERROR(__xludf.dummyfunction("""COMPUTED_VALUE"""),FALSE())</f>
        <v>0</v>
      </c>
      <c r="AM302" s="53" t="b">
        <f aca="false">IFERROR(__xludf.dummyfunction("""COMPUTED_VALUE"""),FALSE())</f>
        <v>0</v>
      </c>
      <c r="AN302" s="53" t="b">
        <f aca="false">IFERROR(__xludf.dummyfunction("""COMPUTED_VALUE"""),FALSE())</f>
        <v>0</v>
      </c>
      <c r="AO302" s="46"/>
    </row>
    <row r="303" customFormat="false" ht="15.75" hidden="false" customHeight="true" outlineLevel="0" collapsed="false">
      <c r="A303" s="37" t="str">
        <f aca="false">IFERROR(__xludf.dummyfunction("""COMPUTED_VALUE"""),"Thực chiến Đọc hiểu")</f>
        <v>Thực chiến Đọc hiểu</v>
      </c>
      <c r="B303" s="37" t="str">
        <f aca="false">IFERROR(__xludf.dummyfunction("""COMPUTED_VALUE"""),"TC_TSA_DH_06")</f>
        <v>TC_TSA_DH_06</v>
      </c>
      <c r="C303" s="59" t="str">
        <f aca="false">IFERROR(__xludf.dummyfunction("""COMPUTED_VALUE"""),"[Bổ trợ]_Chữa bài tập TSA_Tư duy Đọc hiểu số 06")</f>
        <v>[Bổ trợ]_Chữa bài tập TSA_Tư duy Đọc hiểu số 06</v>
      </c>
      <c r="D303" s="39" t="str">
        <f aca="false">IFERROR(__xludf.dummyfunction("""COMPUTED_VALUE"""),"Đào Hồng Phúc")</f>
        <v>Đào Hồng Phúc</v>
      </c>
      <c r="E303" s="40" t="n">
        <f aca="false">IFERROR(__xludf.dummyfunction("""COMPUTED_VALUE"""),46250)</f>
        <v>46250</v>
      </c>
      <c r="F303" s="41" t="str">
        <f aca="false">IFERROR(__xludf.dummyfunction("""COMPUTED_VALUE"""),"CN")</f>
        <v>CN</v>
      </c>
      <c r="G303" s="37" t="str">
        <f aca="false">IFERROR(__xludf.dummyfunction("""COMPUTED_VALUE"""),"10:00-11:00")</f>
        <v>10:00-11:00</v>
      </c>
      <c r="H303" s="37"/>
      <c r="I303" s="37"/>
      <c r="J303" s="42" t="str">
        <f aca="false">IFERROR(__xludf.dummyfunction("""COMPUTED_VALUE"""),"https://drive.google.com/drive/folders/1C6dBlPwtLf16q3L5flmBZptmBW1aqZUM?usp=sharing")</f>
        <v>https://drive.google.com/drive/folders/1C6dBlPwtLf16q3L5flmBZptmBW1aqZUM?usp=sharing</v>
      </c>
      <c r="K303" s="68" t="str">
        <f aca="false">IFERROR(__xludf.dummyfunction("""COMPUTED_VALUE"""),"Hangvt3")</f>
        <v>Hangvt3</v>
      </c>
      <c r="L303" s="68" t="str">
        <f aca="false">IFERROR(__xludf.dummyfunction("""COMPUTED_VALUE"""),"HOCMAI")</f>
        <v>HOCMAI</v>
      </c>
      <c r="M303" s="71"/>
      <c r="N303" s="77" t="str">
        <f aca="false">IFERROR(__xludf.dummyfunction("""COMPUTED_VALUE"""),"3109")</f>
        <v>3109</v>
      </c>
      <c r="O303" s="63" t="n">
        <f aca="false">IFERROR(__xludf.dummyfunction("""COMPUTED_VALUE"""),176061)</f>
        <v>176061</v>
      </c>
      <c r="P303" s="60" t="str">
        <f aca="false">IFERROR(__xludf.dummyfunction("""COMPUTED_VALUE"""),"https://hocmai.vn/bai-giang-truc-tuyen/176061/.html")</f>
        <v>https://hocmai.vn/bai-giang-truc-tuyen/176061/.html</v>
      </c>
      <c r="Q303" s="63"/>
      <c r="R303" s="41"/>
      <c r="S303" s="41"/>
      <c r="T303" s="63"/>
      <c r="U303" s="63"/>
      <c r="V303" s="70" t="n">
        <f aca="false">IFERROR(__xludf.dummyfunction("""COMPUTED_VALUE"""),46253)</f>
        <v>46253</v>
      </c>
      <c r="W303" s="39" t="str">
        <f aca="false">IFERROR(__xludf.dummyfunction("""COMPUTED_VALUE"""),"Hoàn thành TL live")</f>
        <v>Hoàn thành TL live</v>
      </c>
      <c r="X303" s="41" t="str">
        <f aca="false">IFERROR(__xludf.dummyfunction("""COMPUTED_VALUE"""),"Vuta")</f>
        <v>Vuta</v>
      </c>
      <c r="Y303" s="44"/>
      <c r="Z303" s="57"/>
      <c r="AA303" s="57"/>
      <c r="AB303" s="41" t="n">
        <f aca="false">IFERROR(__xludf.dummyfunction("""COMPUTED_VALUE"""),8)</f>
        <v>8</v>
      </c>
      <c r="AC303" s="57" t="str">
        <f aca="false">IFERROR(__xludf.dummyfunction("""COMPUTED_VALUE"""),"0987781413")</f>
        <v>0987781413</v>
      </c>
      <c r="AD303" s="46"/>
      <c r="AE303" s="46"/>
      <c r="AF303" s="47"/>
      <c r="AG303" s="46"/>
      <c r="AH303" s="53" t="b">
        <f aca="false">IFERROR(__xludf.dummyfunction("""COMPUTED_VALUE"""),FALSE())</f>
        <v>0</v>
      </c>
      <c r="AI303" s="53" t="b">
        <f aca="false">IFERROR(__xludf.dummyfunction("""COMPUTED_VALUE"""),TRUE())</f>
        <v>1</v>
      </c>
      <c r="AJ303" s="53" t="b">
        <f aca="false">IFERROR(__xludf.dummyfunction("""COMPUTED_VALUE"""),FALSE())</f>
        <v>0</v>
      </c>
      <c r="AK303" s="53" t="b">
        <f aca="false">IFERROR(__xludf.dummyfunction("""COMPUTED_VALUE"""),FALSE())</f>
        <v>0</v>
      </c>
      <c r="AL303" s="53" t="b">
        <f aca="false">IFERROR(__xludf.dummyfunction("""COMPUTED_VALUE"""),FALSE())</f>
        <v>0</v>
      </c>
      <c r="AM303" s="53" t="b">
        <f aca="false">IFERROR(__xludf.dummyfunction("""COMPUTED_VALUE"""),FALSE())</f>
        <v>0</v>
      </c>
      <c r="AN303" s="53" t="b">
        <f aca="false">IFERROR(__xludf.dummyfunction("""COMPUTED_VALUE"""),FALSE())</f>
        <v>0</v>
      </c>
      <c r="AO303" s="46"/>
    </row>
    <row r="304" customFormat="false" ht="15.75" hidden="false" customHeight="true" outlineLevel="0" collapsed="false">
      <c r="A304" s="37" t="str">
        <f aca="false">IFERROR(__xludf.dummyfunction("""COMPUTED_VALUE"""),"Thực chiến Định tính")</f>
        <v>Thực chiến Định tính</v>
      </c>
      <c r="B304" s="37" t="str">
        <f aca="false">IFERROR(__xludf.dummyfunction("""COMPUTED_VALUE"""),"TC_HSA_ĐT_05")</f>
        <v>TC_HSA_ĐT_05</v>
      </c>
      <c r="C304" s="59" t="str">
        <f aca="false">IFERROR(__xludf.dummyfunction("""COMPUTED_VALUE"""),"[Bổ trợ]_Chữa bài tập _Tư duy Định tính số 05")</f>
        <v>[Bổ trợ]_Chữa bài tập _Tư duy Định tính số 05</v>
      </c>
      <c r="D304" s="39" t="str">
        <f aca="false">IFERROR(__xludf.dummyfunction("""COMPUTED_VALUE"""),"Nguyễn Thị Thanh Hoa")</f>
        <v>Nguyễn Thị Thanh Hoa</v>
      </c>
      <c r="E304" s="40" t="n">
        <f aca="false">IFERROR(__xludf.dummyfunction("""COMPUTED_VALUE"""),46250)</f>
        <v>46250</v>
      </c>
      <c r="F304" s="41" t="str">
        <f aca="false">IFERROR(__xludf.dummyfunction("""COMPUTED_VALUE"""),"CN")</f>
        <v>CN</v>
      </c>
      <c r="G304" s="37" t="str">
        <f aca="false">IFERROR(__xludf.dummyfunction("""COMPUTED_VALUE"""),"17:00-18:00")</f>
        <v>17:00-18:00</v>
      </c>
      <c r="H304" s="37"/>
      <c r="I304" s="37"/>
      <c r="J304" s="37"/>
      <c r="K304" s="68" t="str">
        <f aca="false">IFERROR(__xludf.dummyfunction("""COMPUTED_VALUE"""),"Hoantt")</f>
        <v>Hoantt</v>
      </c>
      <c r="L304" s="68" t="str">
        <f aca="false">IFERROR(__xludf.dummyfunction("""COMPUTED_VALUE"""),"HOCMAI")</f>
        <v>HOCMAI</v>
      </c>
      <c r="M304" s="71"/>
      <c r="N304" s="77" t="str">
        <f aca="false">IFERROR(__xludf.dummyfunction("""COMPUTED_VALUE"""),"3118")</f>
        <v>3118</v>
      </c>
      <c r="O304" s="63" t="n">
        <f aca="false">IFERROR(__xludf.dummyfunction("""COMPUTED_VALUE"""),176138)</f>
        <v>176138</v>
      </c>
      <c r="P304" s="60" t="str">
        <f aca="false">IFERROR(__xludf.dummyfunction("""COMPUTED_VALUE"""),"https://hocmai.vn/bai-giang-truc-tuyen/176138/.html")</f>
        <v>https://hocmai.vn/bai-giang-truc-tuyen/176138/.html</v>
      </c>
      <c r="Q304" s="63"/>
      <c r="R304" s="41"/>
      <c r="S304" s="41"/>
      <c r="T304" s="63"/>
      <c r="U304" s="63"/>
      <c r="V304" s="70" t="n">
        <f aca="false">IFERROR(__xludf.dummyfunction("""COMPUTED_VALUE"""),46253)</f>
        <v>46253</v>
      </c>
      <c r="W304" s="39"/>
      <c r="X304" s="41" t="str">
        <f aca="false">IFERROR(__xludf.dummyfunction("""COMPUTED_VALUE"""),"Vuta")</f>
        <v>Vuta</v>
      </c>
      <c r="Y304" s="44"/>
      <c r="Z304" s="57"/>
      <c r="AA304" s="57"/>
      <c r="AB304" s="41" t="n">
        <f aca="false">IFERROR(__xludf.dummyfunction("""COMPUTED_VALUE"""),8)</f>
        <v>8</v>
      </c>
      <c r="AC304" s="57" t="str">
        <f aca="false">IFERROR(__xludf.dummyfunction("""COMPUTED_VALUE"""),"hoantt@hocmai.vn")</f>
        <v>hoantt@hocmai.vn</v>
      </c>
      <c r="AD304" s="46"/>
      <c r="AE304" s="46"/>
      <c r="AF304" s="47"/>
      <c r="AG304" s="46"/>
      <c r="AH304" s="53" t="b">
        <f aca="false">IFERROR(__xludf.dummyfunction("""COMPUTED_VALUE"""),FALSE())</f>
        <v>0</v>
      </c>
      <c r="AI304" s="53" t="b">
        <f aca="false">IFERROR(__xludf.dummyfunction("""COMPUTED_VALUE"""),FALSE())</f>
        <v>0</v>
      </c>
      <c r="AJ304" s="53" t="b">
        <f aca="false">IFERROR(__xludf.dummyfunction("""COMPUTED_VALUE"""),TRUE())</f>
        <v>1</v>
      </c>
      <c r="AK304" s="53" t="b">
        <f aca="false">IFERROR(__xludf.dummyfunction("""COMPUTED_VALUE"""),TRUE())</f>
        <v>1</v>
      </c>
      <c r="AL304" s="53" t="b">
        <f aca="false">IFERROR(__xludf.dummyfunction("""COMPUTED_VALUE"""),FALSE())</f>
        <v>0</v>
      </c>
      <c r="AM304" s="53" t="b">
        <f aca="false">IFERROR(__xludf.dummyfunction("""COMPUTED_VALUE"""),FALSE())</f>
        <v>0</v>
      </c>
      <c r="AN304" s="53" t="b">
        <f aca="false">IFERROR(__xludf.dummyfunction("""COMPUTED_VALUE"""),FALSE())</f>
        <v>0</v>
      </c>
      <c r="AO304" s="46"/>
    </row>
    <row r="305" customFormat="false" ht="15.75" hidden="false" customHeight="true" outlineLevel="0" collapsed="false">
      <c r="A305" s="37" t="str">
        <f aca="false">IFERROR(__xludf.dummyfunction("""COMPUTED_VALUE"""),"Thực chiến Định lượng")</f>
        <v>Thực chiến Định lượng</v>
      </c>
      <c r="B305" s="37" t="str">
        <f aca="false">IFERROR(__xludf.dummyfunction("""COMPUTED_VALUE"""),"TC_HSA_ĐL_14")</f>
        <v>TC_HSA_ĐL_14</v>
      </c>
      <c r="C305" s="59" t="str">
        <f aca="false">IFERROR(__xludf.dummyfunction("""COMPUTED_VALUE"""),"[Bổ trợ]_Chữa bài tập _Tư duy Định lượng số 14")</f>
        <v>[Bổ trợ]_Chữa bài tập _Tư duy Định lượng số 14</v>
      </c>
      <c r="D305" s="39" t="str">
        <f aca="false">IFERROR(__xludf.dummyfunction("""COMPUTED_VALUE"""),"Nguyễn Trọng Trường Anh")</f>
        <v>Nguyễn Trọng Trường Anh</v>
      </c>
      <c r="E305" s="40" t="n">
        <f aca="false">IFERROR(__xludf.dummyfunction("""COMPUTED_VALUE"""),46250)</f>
        <v>46250</v>
      </c>
      <c r="F305" s="41" t="str">
        <f aca="false">IFERROR(__xludf.dummyfunction("""COMPUTED_VALUE"""),"CN")</f>
        <v>CN</v>
      </c>
      <c r="G305" s="37" t="str">
        <f aca="false">IFERROR(__xludf.dummyfunction("""COMPUTED_VALUE"""),"10:00-11:00")</f>
        <v>10:00-11:00</v>
      </c>
      <c r="H305" s="37"/>
      <c r="I305" s="37"/>
      <c r="J305" s="37"/>
      <c r="K305" s="68" t="str">
        <f aca="false">IFERROR(__xludf.dummyfunction("""COMPUTED_VALUE"""),"Locdd")</f>
        <v>Locdd</v>
      </c>
      <c r="L305" s="68" t="str">
        <f aca="false">IFERROR(__xludf.dummyfunction("""COMPUTED_VALUE"""),"HOCMAI")</f>
        <v>HOCMAI</v>
      </c>
      <c r="M305" s="71"/>
      <c r="N305" s="77" t="str">
        <f aca="false">IFERROR(__xludf.dummyfunction("""COMPUTED_VALUE"""),"3117")</f>
        <v>3117</v>
      </c>
      <c r="O305" s="63" t="n">
        <f aca="false">IFERROR(__xludf.dummyfunction("""COMPUTED_VALUE"""),176127)</f>
        <v>176127</v>
      </c>
      <c r="P305" s="60" t="str">
        <f aca="false">IFERROR(__xludf.dummyfunction("""COMPUTED_VALUE"""),"https://hocmai.vn/bai-giang-truc-tuyen/176127/.html")</f>
        <v>https://hocmai.vn/bai-giang-truc-tuyen/176127/.html</v>
      </c>
      <c r="Q305" s="63"/>
      <c r="R305" s="41"/>
      <c r="S305" s="41"/>
      <c r="T305" s="63"/>
      <c r="U305" s="63"/>
      <c r="V305" s="70" t="n">
        <f aca="false">IFERROR(__xludf.dummyfunction("""COMPUTED_VALUE"""),46253)</f>
        <v>46253</v>
      </c>
      <c r="W305" s="39"/>
      <c r="X305" s="41" t="str">
        <f aca="false">IFERROR(__xludf.dummyfunction("""COMPUTED_VALUE"""),"Vuta")</f>
        <v>Vuta</v>
      </c>
      <c r="Y305" s="44"/>
      <c r="Z305" s="57"/>
      <c r="AA305" s="57"/>
      <c r="AB305" s="41" t="n">
        <f aca="false">IFERROR(__xludf.dummyfunction("""COMPUTED_VALUE"""),8)</f>
        <v>8</v>
      </c>
      <c r="AC305" s="57" t="str">
        <f aca="false">IFERROR(__xludf.dummyfunction("""COMPUTED_VALUE"""),"thochi1981@gmail.com")</f>
        <v>thochi1981@gmail.com</v>
      </c>
      <c r="AD305" s="46"/>
      <c r="AE305" s="46"/>
      <c r="AF305" s="47"/>
      <c r="AG305" s="46"/>
      <c r="AH305" s="53" t="b">
        <f aca="false">IFERROR(__xludf.dummyfunction("""COMPUTED_VALUE"""),FALSE())</f>
        <v>0</v>
      </c>
      <c r="AI305" s="53" t="b">
        <f aca="false">IFERROR(__xludf.dummyfunction("""COMPUTED_VALUE"""),FALSE())</f>
        <v>0</v>
      </c>
      <c r="AJ305" s="53" t="b">
        <f aca="false">IFERROR(__xludf.dummyfunction("""COMPUTED_VALUE"""),TRUE())</f>
        <v>1</v>
      </c>
      <c r="AK305" s="53" t="b">
        <f aca="false">IFERROR(__xludf.dummyfunction("""COMPUTED_VALUE"""),TRUE())</f>
        <v>1</v>
      </c>
      <c r="AL305" s="53" t="b">
        <f aca="false">IFERROR(__xludf.dummyfunction("""COMPUTED_VALUE"""),FALSE())</f>
        <v>0</v>
      </c>
      <c r="AM305" s="53" t="b">
        <f aca="false">IFERROR(__xludf.dummyfunction("""COMPUTED_VALUE"""),FALSE())</f>
        <v>0</v>
      </c>
      <c r="AN305" s="53" t="b">
        <f aca="false">IFERROR(__xludf.dummyfunction("""COMPUTED_VALUE"""),FALSE())</f>
        <v>0</v>
      </c>
      <c r="AO305" s="46"/>
    </row>
    <row r="306" customFormat="false" ht="15.75" hidden="false" customHeight="true" outlineLevel="0" collapsed="false">
      <c r="A306" s="37" t="str">
        <f aca="false">IFERROR(__xludf.dummyfunction("""COMPUTED_VALUE"""),"Thực chiến Toán")</f>
        <v>Thực chiến Toán</v>
      </c>
      <c r="B306" s="37" t="str">
        <f aca="false">IFERROR(__xludf.dummyfunction("""COMPUTED_VALUE"""),"TC_V-ACT_T_14")</f>
        <v>TC_V-ACT_T_14</v>
      </c>
      <c r="C306" s="59" t="str">
        <f aca="false">IFERROR(__xludf.dummyfunction("""COMPUTED_VALUE"""),"[Bổ trợ]_Chữa bài tập_V-ACT_Toán số 14")</f>
        <v>[Bổ trợ]_Chữa bài tập_V-ACT_Toán số 14</v>
      </c>
      <c r="D306" s="39" t="str">
        <f aca="false">IFERROR(__xludf.dummyfunction("""COMPUTED_VALUE"""),"Lê Thế Anh")</f>
        <v>Lê Thế Anh</v>
      </c>
      <c r="E306" s="40" t="n">
        <f aca="false">IFERROR(__xludf.dummyfunction("""COMPUTED_VALUE"""),46250)</f>
        <v>46250</v>
      </c>
      <c r="F306" s="41" t="str">
        <f aca="false">IFERROR(__xludf.dummyfunction("""COMPUTED_VALUE"""),"CN")</f>
        <v>CN</v>
      </c>
      <c r="G306" s="37" t="str">
        <f aca="false">IFERROR(__xludf.dummyfunction("""COMPUTED_VALUE"""),"10:00-11:00")</f>
        <v>10:00-11:00</v>
      </c>
      <c r="H306" s="37"/>
      <c r="I306" s="37"/>
      <c r="J306" s="37"/>
      <c r="K306" s="68" t="str">
        <f aca="false">IFERROR(__xludf.dummyfunction("""COMPUTED_VALUE"""),"lent")</f>
        <v>lent</v>
      </c>
      <c r="L306" s="68" t="str">
        <f aca="false">IFERROR(__xludf.dummyfunction("""COMPUTED_VALUE"""),"HOCMAI")</f>
        <v>HOCMAI</v>
      </c>
      <c r="M306" s="71"/>
      <c r="N306" s="77" t="str">
        <f aca="false">IFERROR(__xludf.dummyfunction("""COMPUTED_VALUE"""),"3124")</f>
        <v>3124</v>
      </c>
      <c r="O306" s="63" t="n">
        <f aca="false">IFERROR(__xludf.dummyfunction("""COMPUTED_VALUE"""),176091)</f>
        <v>176091</v>
      </c>
      <c r="P306" s="60" t="str">
        <f aca="false">IFERROR(__xludf.dummyfunction("""COMPUTED_VALUE"""),"https://hocmai.vn/bai-giang-truc-tuyen/176091/.html")</f>
        <v>https://hocmai.vn/bai-giang-truc-tuyen/176091/.html</v>
      </c>
      <c r="Q306" s="63"/>
      <c r="R306" s="41"/>
      <c r="S306" s="41"/>
      <c r="T306" s="63"/>
      <c r="U306" s="63"/>
      <c r="V306" s="70" t="n">
        <f aca="false">IFERROR(__xludf.dummyfunction("""COMPUTED_VALUE"""),46253)</f>
        <v>46253</v>
      </c>
      <c r="W306" s="39"/>
      <c r="X306" s="41" t="str">
        <f aca="false">IFERROR(__xludf.dummyfunction("""COMPUTED_VALUE"""),"Vuta")</f>
        <v>Vuta</v>
      </c>
      <c r="Y306" s="44"/>
      <c r="Z306" s="57"/>
      <c r="AA306" s="57"/>
      <c r="AB306" s="41" t="n">
        <f aca="false">IFERROR(__xludf.dummyfunction("""COMPUTED_VALUE"""),8)</f>
        <v>8</v>
      </c>
      <c r="AC306" s="57" t="str">
        <f aca="false">IFERROR(__xludf.dummyfunction("""COMPUTED_VALUE"""),"ss.vact01@ctv.hocmai.vn")</f>
        <v>ss.vact01@ctv.hocmai.vn</v>
      </c>
      <c r="AD306" s="46"/>
      <c r="AE306" s="46"/>
      <c r="AF306" s="47"/>
      <c r="AG306" s="46"/>
      <c r="AH306" s="53" t="b">
        <f aca="false">IFERROR(__xludf.dummyfunction("""COMPUTED_VALUE"""),FALSE())</f>
        <v>0</v>
      </c>
      <c r="AI306" s="53" t="b">
        <f aca="false">IFERROR(__xludf.dummyfunction("""COMPUTED_VALUE"""),FALSE())</f>
        <v>0</v>
      </c>
      <c r="AJ306" s="53" t="b">
        <f aca="false">IFERROR(__xludf.dummyfunction("""COMPUTED_VALUE"""),FALSE())</f>
        <v>0</v>
      </c>
      <c r="AK306" s="53" t="b">
        <f aca="false">IFERROR(__xludf.dummyfunction("""COMPUTED_VALUE"""),FALSE())</f>
        <v>0</v>
      </c>
      <c r="AL306" s="53" t="b">
        <f aca="false">IFERROR(__xludf.dummyfunction("""COMPUTED_VALUE"""),FALSE())</f>
        <v>0</v>
      </c>
      <c r="AM306" s="53" t="b">
        <f aca="false">IFERROR(__xludf.dummyfunction("""COMPUTED_VALUE"""),TRUE())</f>
        <v>1</v>
      </c>
      <c r="AN306" s="53" t="b">
        <f aca="false">IFERROR(__xludf.dummyfunction("""COMPUTED_VALUE"""),TRUE())</f>
        <v>1</v>
      </c>
      <c r="AO306" s="46"/>
    </row>
    <row r="307" customFormat="false" ht="15.75" hidden="false" customHeight="true" outlineLevel="0" collapsed="false">
      <c r="A307" s="37" t="str">
        <f aca="false">IFERROR(__xludf.dummyfunction("""COMPUTED_VALUE"""),"Đọc hiểu")</f>
        <v>Đọc hiểu</v>
      </c>
      <c r="B307" s="37" t="str">
        <f aca="false">IFERROR(__xludf.dummyfunction("""COMPUTED_VALUE"""),"TOV_TSA_DH10")</f>
        <v>TOV_TSA_DH10</v>
      </c>
      <c r="C307" s="59" t="str">
        <f aca="false">IFERROR(__xludf.dummyfunction("""COMPUTED_VALUE"""),"Luyện tập đọc hiểu văn bản dựa trên cấu trúc lập luận")</f>
        <v>Luyện tập đọc hiểu văn bản dựa trên cấu trúc lập luận</v>
      </c>
      <c r="D307" s="39" t="str">
        <f aca="false">IFERROR(__xludf.dummyfunction("""COMPUTED_VALUE"""),"Vũ Khắc Ngọc")</f>
        <v>Vũ Khắc Ngọc</v>
      </c>
      <c r="E307" s="40" t="n">
        <f aca="false">IFERROR(__xludf.dummyfunction("""COMPUTED_VALUE"""),46251)</f>
        <v>46251</v>
      </c>
      <c r="F307" s="41" t="n">
        <f aca="false">IFERROR(__xludf.dummyfunction("""COMPUTED_VALUE"""),2)</f>
        <v>2</v>
      </c>
      <c r="G307" s="37" t="str">
        <f aca="false">IFERROR(__xludf.dummyfunction("""COMPUTED_VALUE"""),"21:30-23:30")</f>
        <v>21:30-23:30</v>
      </c>
      <c r="H307" s="37"/>
      <c r="I307" s="37"/>
      <c r="J307" s="37"/>
      <c r="K307" s="68" t="str">
        <f aca="false">IFERROR(__xludf.dummyfunction("""COMPUTED_VALUE"""),"Hangvt3")</f>
        <v>Hangvt3</v>
      </c>
      <c r="L307" s="68" t="str">
        <f aca="false">IFERROR(__xludf.dummyfunction("""COMPUTED_VALUE"""),"Phan Đức Kiên")</f>
        <v>Phan Đức Kiên</v>
      </c>
      <c r="M307" s="71"/>
      <c r="N307" s="77" t="str">
        <f aca="false">IFERROR(__xludf.dummyfunction("""COMPUTED_VALUE"""),"3109")</f>
        <v>3109</v>
      </c>
      <c r="O307" s="63" t="n">
        <f aca="false">IFERROR(__xludf.dummyfunction("""COMPUTED_VALUE"""),167233)</f>
        <v>167233</v>
      </c>
      <c r="P307" s="63"/>
      <c r="Q307" s="63"/>
      <c r="R307" s="41"/>
      <c r="S307" s="41"/>
      <c r="T307" s="63"/>
      <c r="U307" s="63"/>
      <c r="V307" s="70" t="n">
        <f aca="false">IFERROR(__xludf.dummyfunction("""COMPUTED_VALUE"""),46254)</f>
        <v>46254</v>
      </c>
      <c r="W307" s="39"/>
      <c r="X307" s="41" t="str">
        <f aca="false">IFERROR(__xludf.dummyfunction("""COMPUTED_VALUE"""),"Huent7")</f>
        <v>Huent7</v>
      </c>
      <c r="Y307" s="44" t="str">
        <f aca="false">IFERROR(__xludf.dummyfunction("""COMPUTED_VALUE"""),"done")</f>
        <v>done</v>
      </c>
      <c r="Z307" s="57" t="str">
        <f aca="false">IFERROR(__xludf.dummyfunction("""COMPUTED_VALUE"""),"#N/A")</f>
        <v>#N/A</v>
      </c>
      <c r="AA307" s="57"/>
      <c r="AB307" s="41" t="n">
        <f aca="false">IFERROR(__xludf.dummyfunction("""COMPUTED_VALUE"""),8)</f>
        <v>8</v>
      </c>
      <c r="AC307" s="57" t="str">
        <f aca="false">IFERROR(__xludf.dummyfunction("""COMPUTED_VALUE"""),"gv.ngocvk@hocmai.edu.vn")</f>
        <v>gv.ngocvk@hocmai.edu.vn</v>
      </c>
      <c r="AD307" s="46" t="str">
        <f aca="false">IFERROR(__xludf.dummyfunction("""COMPUTED_VALUE"""),"duckien010607@gmail.com")</f>
        <v>duckien010607@gmail.com</v>
      </c>
      <c r="AE307" s="46"/>
      <c r="AF307" s="47" t="str">
        <f aca="false">IFERROR(__xludf.dummyfunction("""COMPUTED_VALUE"""),"lophoctoan-946251")</f>
        <v>lophoctoan-946251</v>
      </c>
      <c r="AG307" s="46" t="str">
        <f aca="false">IFERROR(__xludf.dummyfunction("""COMPUTED_VALUE"""),"")</f>
        <v/>
      </c>
      <c r="AH307" s="35"/>
      <c r="AI307" s="53" t="b">
        <f aca="false">IFERROR(__xludf.dummyfunction("""COMPUTED_VALUE"""),TRUE())</f>
        <v>1</v>
      </c>
      <c r="AJ307" s="35"/>
      <c r="AK307" s="35"/>
      <c r="AL307" s="35"/>
      <c r="AM307" s="35"/>
      <c r="AN307" s="35"/>
      <c r="AO307" s="46"/>
    </row>
    <row r="308" customFormat="false" ht="15.75" hidden="false" customHeight="true" outlineLevel="0" collapsed="false">
      <c r="A308" s="37" t="str">
        <f aca="false">IFERROR(__xludf.dummyfunction("""COMPUTED_VALUE"""),"Tiếng Anh")</f>
        <v>Tiếng Anh</v>
      </c>
      <c r="B308" s="37" t="str">
        <f aca="false">IFERROR(__xludf.dummyfunction("""COMPUTED_VALUE"""),"TOV_HV_TA10")</f>
        <v>TOV_HV_TA10</v>
      </c>
      <c r="C308" s="59" t="str">
        <f aca="false">IFERROR(__xludf.dummyfunction("""COMPUTED_VALUE"""),"Phương pháp làm bài Tìm câu Đồng nghĩa hiệu quả (P1)")</f>
        <v>Phương pháp làm bài Tìm câu Đồng nghĩa hiệu quả (P1)</v>
      </c>
      <c r="D308" s="39" t="str">
        <f aca="false">IFERROR(__xludf.dummyfunction("""COMPUTED_VALUE"""),"Nguyễn Thanh Hương")</f>
        <v>Nguyễn Thanh Hương</v>
      </c>
      <c r="E308" s="40" t="n">
        <f aca="false">IFERROR(__xludf.dummyfunction("""COMPUTED_VALUE"""),46251)</f>
        <v>46251</v>
      </c>
      <c r="F308" s="41" t="n">
        <f aca="false">IFERROR(__xludf.dummyfunction("""COMPUTED_VALUE"""),2)</f>
        <v>2</v>
      </c>
      <c r="G308" s="37" t="str">
        <f aca="false">IFERROR(__xludf.dummyfunction("""COMPUTED_VALUE"""),"20:00-22:00")</f>
        <v>20:00-22:00</v>
      </c>
      <c r="H308" s="37"/>
      <c r="I308" s="37"/>
      <c r="J308" s="37"/>
      <c r="K308" s="68" t="str">
        <f aca="false">IFERROR(__xludf.dummyfunction("""COMPUTED_VALUE"""),"huyennn2")</f>
        <v>huyennn2</v>
      </c>
      <c r="L308" s="68" t="str">
        <f aca="false">IFERROR(__xludf.dummyfunction("""COMPUTED_VALUE"""),"Nguyễn Lê Thụy Quyên ")</f>
        <v>Nguyễn Lê Thụy Quyên </v>
      </c>
      <c r="M308" s="71"/>
      <c r="N308" s="77" t="str">
        <f aca="false">IFERROR(__xludf.dummyfunction("""COMPUTED_VALUE"""),"3140,3165,3339")</f>
        <v>3140,3165,3339</v>
      </c>
      <c r="O308" s="73" t="str">
        <f aca="false">IFERROR(__xludf.dummyfunction("""COMPUTED_VALUE"""),"167546,167614,167638")</f>
        <v>167546,167614,167638</v>
      </c>
      <c r="P308" s="63" t="str">
        <f aca="false">IFERROR(__xludf.dummyfunction("""COMPUTED_VALUE"""),"9030,9038,9047,9119")</f>
        <v>9030,9038,9047,9119</v>
      </c>
      <c r="Q308" s="63"/>
      <c r="R308" s="41"/>
      <c r="S308" s="41"/>
      <c r="T308" s="63"/>
      <c r="U308" s="63"/>
      <c r="V308" s="70" t="n">
        <f aca="false">IFERROR(__xludf.dummyfunction("""COMPUTED_VALUE"""),46254)</f>
        <v>46254</v>
      </c>
      <c r="W308" s="39"/>
      <c r="X308" s="41" t="str">
        <f aca="false">IFERROR(__xludf.dummyfunction("""COMPUTED_VALUE"""),"huyennn2")</f>
        <v>huyennn2</v>
      </c>
      <c r="Y308" s="44" t="str">
        <f aca="false">IFERROR(__xludf.dummyfunction("""COMPUTED_VALUE"""),"done")</f>
        <v>done</v>
      </c>
      <c r="Z308" s="57" t="str">
        <f aca="false">IFERROR(__xludf.dummyfunction("""COMPUTED_VALUE"""),"#N/A")</f>
        <v>#N/A</v>
      </c>
      <c r="AA308" s="57"/>
      <c r="AB308" s="41" t="n">
        <f aca="false">IFERROR(__xludf.dummyfunction("""COMPUTED_VALUE"""),8)</f>
        <v>8</v>
      </c>
      <c r="AC308" s="57" t="str">
        <f aca="false">IFERROR(__xludf.dummyfunction("""COMPUTED_VALUE"""),"gv.huongnt@hocmai.edu.vn ")</f>
        <v>gv.huongnt@hocmai.edu.vn </v>
      </c>
      <c r="AD308" s="46" t="str">
        <f aca="false">IFERROR(__xludf.dummyfunction("""COMPUTED_VALUE"""),"nguyenlethuyquyencp@gmail.com")</f>
        <v>nguyenlethuyquyencp@gmail.com</v>
      </c>
      <c r="AE308" s="46"/>
      <c r="AF308" s="47" t="str">
        <f aca="false">IFERROR(__xludf.dummyfunction("""COMPUTED_VALUE"""),"lophoctienganh46251")</f>
        <v>lophoctienganh46251</v>
      </c>
      <c r="AG308" s="46" t="str">
        <f aca="false">IFERROR(__xludf.dummyfunction("""COMPUTED_VALUE"""),"")</f>
        <v/>
      </c>
      <c r="AH308" s="35"/>
      <c r="AI308" s="35"/>
      <c r="AJ308" s="53" t="b">
        <f aca="false">IFERROR(__xludf.dummyfunction("""COMPUTED_VALUE"""),TRUE())</f>
        <v>1</v>
      </c>
      <c r="AK308" s="53" t="b">
        <f aca="false">IFERROR(__xludf.dummyfunction("""COMPUTED_VALUE"""),TRUE())</f>
        <v>1</v>
      </c>
      <c r="AL308" s="35"/>
      <c r="AM308" s="53" t="b">
        <f aca="false">IFERROR(__xludf.dummyfunction("""COMPUTED_VALUE"""),TRUE())</f>
        <v>1</v>
      </c>
      <c r="AN308" s="53" t="b">
        <f aca="false">IFERROR(__xludf.dummyfunction("""COMPUTED_VALUE"""),TRUE())</f>
        <v>1</v>
      </c>
      <c r="AO308" s="46"/>
    </row>
    <row r="309" customFormat="false" ht="15.75" hidden="false" customHeight="true" outlineLevel="0" collapsed="false">
      <c r="A309" s="37" t="str">
        <f aca="false">IFERROR(__xludf.dummyfunction("""COMPUTED_VALUE"""),"Hóa học")</f>
        <v>Hóa học</v>
      </c>
      <c r="B309" s="37" t="str">
        <f aca="false">IFERROR(__xludf.dummyfunction("""COMPUTED_VALUE"""),"TOV_HT_HH10")</f>
        <v>TOV_HT_HH10</v>
      </c>
      <c r="C309" s="59" t="str">
        <f aca="false">IFERROR(__xludf.dummyfunction("""COMPUTED_VALUE"""),"Hệ thống nhanh nền tảng Hóa học đại cương")</f>
        <v>Hệ thống nhanh nền tảng Hóa học đại cương</v>
      </c>
      <c r="D309" s="39" t="str">
        <f aca="false">IFERROR(__xludf.dummyfunction("""COMPUTED_VALUE"""),"Chu Hải Long")</f>
        <v>Chu Hải Long</v>
      </c>
      <c r="E309" s="40" t="n">
        <f aca="false">IFERROR(__xludf.dummyfunction("""COMPUTED_VALUE"""),46251)</f>
        <v>46251</v>
      </c>
      <c r="F309" s="41" t="n">
        <f aca="false">IFERROR(__xludf.dummyfunction("""COMPUTED_VALUE"""),2)</f>
        <v>2</v>
      </c>
      <c r="G309" s="37" t="str">
        <f aca="false">IFERROR(__xludf.dummyfunction("""COMPUTED_VALUE"""),"19:45-21:45")</f>
        <v>19:45-21:45</v>
      </c>
      <c r="H309" s="37"/>
      <c r="I309" s="37"/>
      <c r="J309" s="37"/>
      <c r="K309" s="68" t="str">
        <f aca="false">IFERROR(__xludf.dummyfunction("""COMPUTED_VALUE"""),"Huebt")</f>
        <v>Huebt</v>
      </c>
      <c r="L309" s="68" t="str">
        <f aca="false">IFERROR(__xludf.dummyfunction("""COMPUTED_VALUE"""),"Võ Hương Giang")</f>
        <v>Võ Hương Giang</v>
      </c>
      <c r="M309" s="71"/>
      <c r="N309" s="77" t="str">
        <f aca="false">IFERROR(__xludf.dummyfunction("""COMPUTED_VALUE"""),"3120,3131")</f>
        <v>3120,3131</v>
      </c>
      <c r="O309" s="63" t="str">
        <f aca="false">IFERROR(__xludf.dummyfunction("""COMPUTED_VALUE"""),"167434,167446")</f>
        <v>167434,167446</v>
      </c>
      <c r="P309" s="63" t="str">
        <f aca="false">IFERROR(__xludf.dummyfunction("""COMPUTED_VALUE"""),"9032,9040,9021")</f>
        <v>9032,9040,9021</v>
      </c>
      <c r="Q309" s="63"/>
      <c r="R309" s="41"/>
      <c r="S309" s="41"/>
      <c r="T309" s="63"/>
      <c r="U309" s="63" t="n">
        <f aca="false">IFERROR(__xludf.dummyfunction("""COMPUTED_VALUE"""),10487)</f>
        <v>10487</v>
      </c>
      <c r="V309" s="70" t="n">
        <f aca="false">IFERROR(__xludf.dummyfunction("""COMPUTED_VALUE"""),46254)</f>
        <v>46254</v>
      </c>
      <c r="W309" s="39"/>
      <c r="X309" s="41" t="str">
        <f aca="false">IFERROR(__xludf.dummyfunction("""COMPUTED_VALUE"""),"Huebt")</f>
        <v>Huebt</v>
      </c>
      <c r="Y309" s="44"/>
      <c r="Z309" s="57" t="str">
        <f aca="false">IFERROR(__xludf.dummyfunction("""COMPUTED_VALUE"""),"#N/A")</f>
        <v>#N/A</v>
      </c>
      <c r="AA309" s="57"/>
      <c r="AB309" s="41" t="n">
        <f aca="false">IFERROR(__xludf.dummyfunction("""COMPUTED_VALUE"""),8)</f>
        <v>8</v>
      </c>
      <c r="AC309" s="57" t="str">
        <f aca="false">IFERROR(__xludf.dummyfunction("""COMPUTED_VALUE"""),"gv.longch@hocmai.edu.vn")</f>
        <v>gv.longch@hocmai.edu.vn</v>
      </c>
      <c r="AD309" s="46" t="str">
        <f aca="false">IFERROR(__xludf.dummyfunction("""COMPUTED_VALUE"""),"giangvh@ctv.hocmai.vn")</f>
        <v>giangvh@ctv.hocmai.vn</v>
      </c>
      <c r="AE309" s="46"/>
      <c r="AF309" s="74" t="b">
        <f aca="false">IFERROR(__xludf.dummyfunction("""COMPUTED_VALUE"""),FALSE())</f>
        <v>0</v>
      </c>
      <c r="AG309" s="46" t="str">
        <f aca="false">IFERROR(__xludf.dummyfunction("""COMPUTED_VALUE"""),"")</f>
        <v/>
      </c>
      <c r="AH309" s="35"/>
      <c r="AI309" s="35"/>
      <c r="AJ309" s="53" t="b">
        <f aca="false">IFERROR(__xludf.dummyfunction("""COMPUTED_VALUE"""),TRUE())</f>
        <v>1</v>
      </c>
      <c r="AK309" s="53" t="b">
        <f aca="false">IFERROR(__xludf.dummyfunction("""COMPUTED_VALUE"""),TRUE())</f>
        <v>1</v>
      </c>
      <c r="AL309" s="53" t="b">
        <f aca="false">IFERROR(__xludf.dummyfunction("""COMPUTED_VALUE"""),TRUE())</f>
        <v>1</v>
      </c>
      <c r="AM309" s="35"/>
      <c r="AN309" s="35"/>
      <c r="AO309" s="46"/>
    </row>
    <row r="310" customFormat="false" ht="15.75" hidden="false" customHeight="true" outlineLevel="0" collapsed="false">
      <c r="A310" s="37" t="str">
        <f aca="false">IFERROR(__xludf.dummyfunction("""COMPUTED_VALUE"""),"Thực chiến Toán")</f>
        <v>Thực chiến Toán</v>
      </c>
      <c r="B310" s="37" t="str">
        <f aca="false">IFERROR(__xludf.dummyfunction("""COMPUTED_VALUE"""),"TC_TSA_T_18")</f>
        <v>TC_TSA_T_18</v>
      </c>
      <c r="C310" s="59" t="str">
        <f aca="false">IFERROR(__xludf.dummyfunction("""COMPUTED_VALUE"""),"[Bổ trợ]_Chữa bài tập TSA_Tư duy Toán học số 18")</f>
        <v>[Bổ trợ]_Chữa bài tập TSA_Tư duy Toán học số 18</v>
      </c>
      <c r="D310" s="39" t="str">
        <f aca="false">IFERROR(__xludf.dummyfunction("""COMPUTED_VALUE"""),"Phạm Huy Hoàng")</f>
        <v>Phạm Huy Hoàng</v>
      </c>
      <c r="E310" s="40" t="n">
        <f aca="false">IFERROR(__xludf.dummyfunction("""COMPUTED_VALUE"""),46251)</f>
        <v>46251</v>
      </c>
      <c r="F310" s="41" t="n">
        <f aca="false">IFERROR(__xludf.dummyfunction("""COMPUTED_VALUE"""),2)</f>
        <v>2</v>
      </c>
      <c r="G310" s="37" t="str">
        <f aca="false">IFERROR(__xludf.dummyfunction("""COMPUTED_VALUE"""),"19:00-20:00")</f>
        <v>19:00-20:00</v>
      </c>
      <c r="H310" s="37"/>
      <c r="I310" s="37"/>
      <c r="J310" s="37"/>
      <c r="K310" s="68" t="str">
        <f aca="false">IFERROR(__xludf.dummyfunction("""COMPUTED_VALUE"""),"Locdd")</f>
        <v>Locdd</v>
      </c>
      <c r="L310" s="68" t="str">
        <f aca="false">IFERROR(__xludf.dummyfunction("""COMPUTED_VALUE"""),"HOCMAI")</f>
        <v>HOCMAI</v>
      </c>
      <c r="M310" s="71"/>
      <c r="N310" s="77" t="str">
        <f aca="false">IFERROR(__xludf.dummyfunction("""COMPUTED_VALUE"""),"3108")</f>
        <v>3108</v>
      </c>
      <c r="O310" s="63" t="n">
        <f aca="false">IFERROR(__xludf.dummyfunction("""COMPUTED_VALUE"""),176050)</f>
        <v>176050</v>
      </c>
      <c r="P310" s="60" t="str">
        <f aca="false">IFERROR(__xludf.dummyfunction("""COMPUTED_VALUE"""),"https://hocmai.vn/bai-giang-truc-tuyen/176050/.html")</f>
        <v>https://hocmai.vn/bai-giang-truc-tuyen/176050/.html</v>
      </c>
      <c r="Q310" s="63"/>
      <c r="R310" s="41"/>
      <c r="S310" s="41"/>
      <c r="T310" s="63"/>
      <c r="U310" s="63"/>
      <c r="V310" s="70" t="n">
        <f aca="false">IFERROR(__xludf.dummyfunction("""COMPUTED_VALUE"""),46254)</f>
        <v>46254</v>
      </c>
      <c r="W310" s="39"/>
      <c r="X310" s="41" t="str">
        <f aca="false">IFERROR(__xludf.dummyfunction("""COMPUTED_VALUE"""),"Vuta")</f>
        <v>Vuta</v>
      </c>
      <c r="Y310" s="44"/>
      <c r="Z310" s="57"/>
      <c r="AA310" s="57"/>
      <c r="AB310" s="41" t="n">
        <f aca="false">IFERROR(__xludf.dummyfunction("""COMPUTED_VALUE"""),8)</f>
        <v>8</v>
      </c>
      <c r="AC310" s="57" t="str">
        <f aca="false">IFERROR(__xludf.dummyfunction("""COMPUTED_VALUE"""),"0376611308")</f>
        <v>0376611308</v>
      </c>
      <c r="AD310" s="46"/>
      <c r="AE310" s="46"/>
      <c r="AF310" s="47"/>
      <c r="AG310" s="46"/>
      <c r="AH310" s="53" t="b">
        <f aca="false">IFERROR(__xludf.dummyfunction("""COMPUTED_VALUE"""),FALSE())</f>
        <v>0</v>
      </c>
      <c r="AI310" s="53" t="b">
        <f aca="false">IFERROR(__xludf.dummyfunction("""COMPUTED_VALUE"""),TRUE())</f>
        <v>1</v>
      </c>
      <c r="AJ310" s="53" t="b">
        <f aca="false">IFERROR(__xludf.dummyfunction("""COMPUTED_VALUE"""),FALSE())</f>
        <v>0</v>
      </c>
      <c r="AK310" s="53" t="b">
        <f aca="false">IFERROR(__xludf.dummyfunction("""COMPUTED_VALUE"""),FALSE())</f>
        <v>0</v>
      </c>
      <c r="AL310" s="53" t="b">
        <f aca="false">IFERROR(__xludf.dummyfunction("""COMPUTED_VALUE"""),FALSE())</f>
        <v>0</v>
      </c>
      <c r="AM310" s="53" t="b">
        <f aca="false">IFERROR(__xludf.dummyfunction("""COMPUTED_VALUE"""),FALSE())</f>
        <v>0</v>
      </c>
      <c r="AN310" s="53" t="b">
        <f aca="false">IFERROR(__xludf.dummyfunction("""COMPUTED_VALUE"""),FALSE())</f>
        <v>0</v>
      </c>
      <c r="AO310" s="46"/>
    </row>
    <row r="311" customFormat="false" ht="15.75" hidden="false" customHeight="true" outlineLevel="0" collapsed="false">
      <c r="A311" s="37" t="str">
        <f aca="false">IFERROR(__xludf.dummyfunction("""COMPUTED_VALUE"""),"Thực chiến Tiếng Anh")</f>
        <v>Thực chiến Tiếng Anh</v>
      </c>
      <c r="B311" s="37" t="str">
        <f aca="false">IFERROR(__xludf.dummyfunction("""COMPUTED_VALUE"""),"TC_HSA_TA_06")</f>
        <v>TC_HSA_TA_06</v>
      </c>
      <c r="C311" s="59" t="str">
        <f aca="false">IFERROR(__xludf.dummyfunction("""COMPUTED_VALUE"""),"[Bổ trợ]_Chữa bài tập _Tiếng Anh số 06")</f>
        <v>[Bổ trợ]_Chữa bài tập _Tiếng Anh số 06</v>
      </c>
      <c r="D311" s="39" t="str">
        <f aca="false">IFERROR(__xludf.dummyfunction("""COMPUTED_VALUE"""),"Trần Đức Lương")</f>
        <v>Trần Đức Lương</v>
      </c>
      <c r="E311" s="40" t="n">
        <f aca="false">IFERROR(__xludf.dummyfunction("""COMPUTED_VALUE"""),46251)</f>
        <v>46251</v>
      </c>
      <c r="F311" s="41" t="n">
        <f aca="false">IFERROR(__xludf.dummyfunction("""COMPUTED_VALUE"""),2)</f>
        <v>2</v>
      </c>
      <c r="G311" s="37" t="str">
        <f aca="false">IFERROR(__xludf.dummyfunction("""COMPUTED_VALUE"""),"18:00-19:00")</f>
        <v>18:00-19:00</v>
      </c>
      <c r="H311" s="37"/>
      <c r="I311" s="37"/>
      <c r="J311" s="37"/>
      <c r="K311" s="68" t="str">
        <f aca="false">IFERROR(__xludf.dummyfunction("""COMPUTED_VALUE"""),"Huyenn2")</f>
        <v>Huyenn2</v>
      </c>
      <c r="L311" s="68" t="str">
        <f aca="false">IFERROR(__xludf.dummyfunction("""COMPUTED_VALUE"""),"HOCMAI")</f>
        <v>HOCMAI</v>
      </c>
      <c r="M311" s="71"/>
      <c r="N311" s="77" t="str">
        <f aca="false">IFERROR(__xludf.dummyfunction("""COMPUTED_VALUE"""),"3140")</f>
        <v>3140</v>
      </c>
      <c r="O311" s="63" t="n">
        <f aca="false">IFERROR(__xludf.dummyfunction("""COMPUTED_VALUE"""),176144)</f>
        <v>176144</v>
      </c>
      <c r="P311" s="60" t="str">
        <f aca="false">IFERROR(__xludf.dummyfunction("""COMPUTED_VALUE"""),"https://hocmai.vn/bai-giang-truc-tuyen/176144/.html")</f>
        <v>https://hocmai.vn/bai-giang-truc-tuyen/176144/.html</v>
      </c>
      <c r="Q311" s="63"/>
      <c r="R311" s="41"/>
      <c r="S311" s="41"/>
      <c r="T311" s="63"/>
      <c r="U311" s="63"/>
      <c r="V311" s="70" t="n">
        <f aca="false">IFERROR(__xludf.dummyfunction("""COMPUTED_VALUE"""),46254)</f>
        <v>46254</v>
      </c>
      <c r="W311" s="39"/>
      <c r="X311" s="41" t="str">
        <f aca="false">IFERROR(__xludf.dummyfunction("""COMPUTED_VALUE"""),"Vuta")</f>
        <v>Vuta</v>
      </c>
      <c r="Y311" s="44"/>
      <c r="Z311" s="57"/>
      <c r="AA311" s="57"/>
      <c r="AB311" s="41" t="n">
        <f aca="false">IFERROR(__xludf.dummyfunction("""COMPUTED_VALUE"""),8)</f>
        <v>8</v>
      </c>
      <c r="AC311" s="57" t="str">
        <f aca="false">IFERROR(__xludf.dummyfunction("""COMPUTED_VALUE"""),"ss.hsa01@ctv.hocmai.vn")</f>
        <v>ss.hsa01@ctv.hocmai.vn</v>
      </c>
      <c r="AD311" s="46"/>
      <c r="AE311" s="46"/>
      <c r="AF311" s="47"/>
      <c r="AG311" s="46"/>
      <c r="AH311" s="53" t="b">
        <f aca="false">IFERROR(__xludf.dummyfunction("""COMPUTED_VALUE"""),FALSE())</f>
        <v>0</v>
      </c>
      <c r="AI311" s="53" t="b">
        <f aca="false">IFERROR(__xludf.dummyfunction("""COMPUTED_VALUE"""),FALSE())</f>
        <v>0</v>
      </c>
      <c r="AJ311" s="53" t="b">
        <f aca="false">IFERROR(__xludf.dummyfunction("""COMPUTED_VALUE"""),TRUE())</f>
        <v>1</v>
      </c>
      <c r="AK311" s="53" t="b">
        <f aca="false">IFERROR(__xludf.dummyfunction("""COMPUTED_VALUE"""),TRUE())</f>
        <v>1</v>
      </c>
      <c r="AL311" s="53" t="b">
        <f aca="false">IFERROR(__xludf.dummyfunction("""COMPUTED_VALUE"""),FALSE())</f>
        <v>0</v>
      </c>
      <c r="AM311" s="53" t="b">
        <f aca="false">IFERROR(__xludf.dummyfunction("""COMPUTED_VALUE"""),FALSE())</f>
        <v>0</v>
      </c>
      <c r="AN311" s="53" t="b">
        <f aca="false">IFERROR(__xludf.dummyfunction("""COMPUTED_VALUE"""),FALSE())</f>
        <v>0</v>
      </c>
      <c r="AO311" s="46"/>
    </row>
    <row r="312" customFormat="false" ht="15.75" hidden="false" customHeight="true" outlineLevel="0" collapsed="false">
      <c r="A312" s="37" t="str">
        <f aca="false">IFERROR(__xludf.dummyfunction("""COMPUTED_VALUE"""),"Thực chiến Vật lí")</f>
        <v>Thực chiến Vật lí</v>
      </c>
      <c r="B312" s="37" t="str">
        <f aca="false">IFERROR(__xludf.dummyfunction("""COMPUTED_VALUE"""),"TC_HSA_KH_06")</f>
        <v>TC_HSA_KH_06</v>
      </c>
      <c r="C312" s="59" t="str">
        <f aca="false">IFERROR(__xludf.dummyfunction("""COMPUTED_VALUE"""),"[Bổ trợ]_Chữa bài tập _Vật lí số 06")</f>
        <v>[Bổ trợ]_Chữa bài tập _Vật lí số 06</v>
      </c>
      <c r="D312" s="39" t="str">
        <f aca="false">IFERROR(__xludf.dummyfunction("""COMPUTED_VALUE"""),"Phạm Nguyễn Thủy Hoa")</f>
        <v>Phạm Nguyễn Thủy Hoa</v>
      </c>
      <c r="E312" s="40" t="n">
        <f aca="false">IFERROR(__xludf.dummyfunction("""COMPUTED_VALUE"""),46251)</f>
        <v>46251</v>
      </c>
      <c r="F312" s="41" t="n">
        <f aca="false">IFERROR(__xludf.dummyfunction("""COMPUTED_VALUE"""),2)</f>
        <v>2</v>
      </c>
      <c r="G312" s="37" t="str">
        <f aca="false">IFERROR(__xludf.dummyfunction("""COMPUTED_VALUE"""),"22:00-23:00")</f>
        <v>22:00-23:00</v>
      </c>
      <c r="H312" s="37"/>
      <c r="I312" s="37"/>
      <c r="J312" s="42" t="str">
        <f aca="false">IFERROR(__xludf.dummyfunction("""COMPUTED_VALUE"""),"https://drive.google.com/drive/folders/1QbSCTeQOxBnvE7rXrFsxEEMk-E-Qlc9o")</f>
        <v>https://drive.google.com/drive/folders/1QbSCTeQOxBnvE7rXrFsxEEMk-E-Qlc9o</v>
      </c>
      <c r="K312" s="68" t="str">
        <f aca="false">IFERROR(__xludf.dummyfunction("""COMPUTED_VALUE"""),"Trangnth2")</f>
        <v>Trangnth2</v>
      </c>
      <c r="L312" s="68" t="str">
        <f aca="false">IFERROR(__xludf.dummyfunction("""COMPUTED_VALUE"""),"HOCMAI")</f>
        <v>HOCMAI</v>
      </c>
      <c r="M312" s="71"/>
      <c r="N312" s="77" t="str">
        <f aca="false">IFERROR(__xludf.dummyfunction("""COMPUTED_VALUE"""),"3119")</f>
        <v>3119</v>
      </c>
      <c r="O312" s="63" t="n">
        <f aca="false">IFERROR(__xludf.dummyfunction("""COMPUTED_VALUE"""),176149)</f>
        <v>176149</v>
      </c>
      <c r="P312" s="60" t="str">
        <f aca="false">IFERROR(__xludf.dummyfunction("""COMPUTED_VALUE"""),"https://hocmai.vn/bai-giang-truc-tuyen/176149/.html")</f>
        <v>https://hocmai.vn/bai-giang-truc-tuyen/176149/.html</v>
      </c>
      <c r="Q312" s="63"/>
      <c r="R312" s="41"/>
      <c r="S312" s="41"/>
      <c r="T312" s="63"/>
      <c r="U312" s="63"/>
      <c r="V312" s="70" t="n">
        <f aca="false">IFERROR(__xludf.dummyfunction("""COMPUTED_VALUE"""),46254)</f>
        <v>46254</v>
      </c>
      <c r="W312" s="39" t="str">
        <f aca="false">IFERROR(__xludf.dummyfunction("""COMPUTED_VALUE"""),"Hoàn thành TL live")</f>
        <v>Hoàn thành TL live</v>
      </c>
      <c r="X312" s="41" t="str">
        <f aca="false">IFERROR(__xludf.dummyfunction("""COMPUTED_VALUE"""),"Vuta")</f>
        <v>Vuta</v>
      </c>
      <c r="Y312" s="44"/>
      <c r="Z312" s="57"/>
      <c r="AA312" s="57"/>
      <c r="AB312" s="41" t="n">
        <f aca="false">IFERROR(__xludf.dummyfunction("""COMPUTED_VALUE"""),8)</f>
        <v>8</v>
      </c>
      <c r="AC312" s="57" t="str">
        <f aca="false">IFERROR(__xludf.dummyfunction("""COMPUTED_VALUE"""),"phamthuyhoa2008@gmail.com")</f>
        <v>phamthuyhoa2008@gmail.com</v>
      </c>
      <c r="AD312" s="46"/>
      <c r="AE312" s="46"/>
      <c r="AF312" s="47"/>
      <c r="AG312" s="46"/>
      <c r="AH312" s="53" t="b">
        <f aca="false">IFERROR(__xludf.dummyfunction("""COMPUTED_VALUE"""),FALSE())</f>
        <v>0</v>
      </c>
      <c r="AI312" s="53" t="b">
        <f aca="false">IFERROR(__xludf.dummyfunction("""COMPUTED_VALUE"""),FALSE())</f>
        <v>0</v>
      </c>
      <c r="AJ312" s="53" t="b">
        <f aca="false">IFERROR(__xludf.dummyfunction("""COMPUTED_VALUE"""),TRUE())</f>
        <v>1</v>
      </c>
      <c r="AK312" s="53" t="b">
        <f aca="false">IFERROR(__xludf.dummyfunction("""COMPUTED_VALUE"""),TRUE())</f>
        <v>1</v>
      </c>
      <c r="AL312" s="53" t="b">
        <f aca="false">IFERROR(__xludf.dummyfunction("""COMPUTED_VALUE"""),FALSE())</f>
        <v>0</v>
      </c>
      <c r="AM312" s="53" t="b">
        <f aca="false">IFERROR(__xludf.dummyfunction("""COMPUTED_VALUE"""),FALSE())</f>
        <v>0</v>
      </c>
      <c r="AN312" s="53" t="b">
        <f aca="false">IFERROR(__xludf.dummyfunction("""COMPUTED_VALUE"""),FALSE())</f>
        <v>0</v>
      </c>
      <c r="AO312" s="46"/>
    </row>
    <row r="313" customFormat="false" ht="15.75" hidden="false" customHeight="true" outlineLevel="0" collapsed="false">
      <c r="A313" s="37" t="str">
        <f aca="false">IFERROR(__xludf.dummyfunction("""COMPUTED_VALUE"""),"Thực chiến Toán")</f>
        <v>Thực chiến Toán</v>
      </c>
      <c r="B313" s="37" t="str">
        <f aca="false">IFERROR(__xludf.dummyfunction("""COMPUTED_VALUE"""),"TC_V-ACT_T_15")</f>
        <v>TC_V-ACT_T_15</v>
      </c>
      <c r="C313" s="59" t="str">
        <f aca="false">IFERROR(__xludf.dummyfunction("""COMPUTED_VALUE"""),"[Bổ trợ]_Chữa bài tập_V-ACT_Toán số 15")</f>
        <v>[Bổ trợ]_Chữa bài tập_V-ACT_Toán số 15</v>
      </c>
      <c r="D313" s="39" t="str">
        <f aca="false">IFERROR(__xludf.dummyfunction("""COMPUTED_VALUE"""),"Lê Thế Anh")</f>
        <v>Lê Thế Anh</v>
      </c>
      <c r="E313" s="40" t="n">
        <f aca="false">IFERROR(__xludf.dummyfunction("""COMPUTED_VALUE"""),46251)</f>
        <v>46251</v>
      </c>
      <c r="F313" s="41" t="n">
        <f aca="false">IFERROR(__xludf.dummyfunction("""COMPUTED_VALUE"""),2)</f>
        <v>2</v>
      </c>
      <c r="G313" s="37" t="str">
        <f aca="false">IFERROR(__xludf.dummyfunction("""COMPUTED_VALUE"""),"18:45-19:45")</f>
        <v>18:45-19:45</v>
      </c>
      <c r="H313" s="37"/>
      <c r="I313" s="37"/>
      <c r="J313" s="37"/>
      <c r="K313" s="68" t="str">
        <f aca="false">IFERROR(__xludf.dummyfunction("""COMPUTED_VALUE"""),"lent")</f>
        <v>lent</v>
      </c>
      <c r="L313" s="68" t="str">
        <f aca="false">IFERROR(__xludf.dummyfunction("""COMPUTED_VALUE"""),"HOCMAI")</f>
        <v>HOCMAI</v>
      </c>
      <c r="M313" s="71"/>
      <c r="N313" s="77" t="str">
        <f aca="false">IFERROR(__xludf.dummyfunction("""COMPUTED_VALUE"""),"3124")</f>
        <v>3124</v>
      </c>
      <c r="O313" s="63" t="n">
        <f aca="false">IFERROR(__xludf.dummyfunction("""COMPUTED_VALUE"""),176092)</f>
        <v>176092</v>
      </c>
      <c r="P313" s="60" t="str">
        <f aca="false">IFERROR(__xludf.dummyfunction("""COMPUTED_VALUE"""),"https://hocmai.vn/bai-giang-truc-tuyen/176092/.html")</f>
        <v>https://hocmai.vn/bai-giang-truc-tuyen/176092/.html</v>
      </c>
      <c r="Q313" s="63"/>
      <c r="R313" s="41"/>
      <c r="S313" s="41"/>
      <c r="T313" s="63"/>
      <c r="U313" s="63"/>
      <c r="V313" s="70" t="n">
        <f aca="false">IFERROR(__xludf.dummyfunction("""COMPUTED_VALUE"""),46254)</f>
        <v>46254</v>
      </c>
      <c r="W313" s="39"/>
      <c r="X313" s="41" t="str">
        <f aca="false">IFERROR(__xludf.dummyfunction("""COMPUTED_VALUE"""),"Vuta")</f>
        <v>Vuta</v>
      </c>
      <c r="Y313" s="44"/>
      <c r="Z313" s="57"/>
      <c r="AA313" s="57"/>
      <c r="AB313" s="41" t="n">
        <f aca="false">IFERROR(__xludf.dummyfunction("""COMPUTED_VALUE"""),8)</f>
        <v>8</v>
      </c>
      <c r="AC313" s="57" t="str">
        <f aca="false">IFERROR(__xludf.dummyfunction("""COMPUTED_VALUE"""),"ss.vact01@ctv.hocmai.vn")</f>
        <v>ss.vact01@ctv.hocmai.vn</v>
      </c>
      <c r="AD313" s="46"/>
      <c r="AE313" s="46"/>
      <c r="AF313" s="47"/>
      <c r="AG313" s="46"/>
      <c r="AH313" s="53" t="b">
        <f aca="false">IFERROR(__xludf.dummyfunction("""COMPUTED_VALUE"""),FALSE())</f>
        <v>0</v>
      </c>
      <c r="AI313" s="53" t="b">
        <f aca="false">IFERROR(__xludf.dummyfunction("""COMPUTED_VALUE"""),FALSE())</f>
        <v>0</v>
      </c>
      <c r="AJ313" s="53" t="b">
        <f aca="false">IFERROR(__xludf.dummyfunction("""COMPUTED_VALUE"""),FALSE())</f>
        <v>0</v>
      </c>
      <c r="AK313" s="53" t="b">
        <f aca="false">IFERROR(__xludf.dummyfunction("""COMPUTED_VALUE"""),FALSE())</f>
        <v>0</v>
      </c>
      <c r="AL313" s="53" t="b">
        <f aca="false">IFERROR(__xludf.dummyfunction("""COMPUTED_VALUE"""),FALSE())</f>
        <v>0</v>
      </c>
      <c r="AM313" s="53" t="b">
        <f aca="false">IFERROR(__xludf.dummyfunction("""COMPUTED_VALUE"""),TRUE())</f>
        <v>1</v>
      </c>
      <c r="AN313" s="53" t="b">
        <f aca="false">IFERROR(__xludf.dummyfunction("""COMPUTED_VALUE"""),TRUE())</f>
        <v>1</v>
      </c>
      <c r="AO313" s="46"/>
    </row>
    <row r="314" customFormat="false" ht="15.75" hidden="false" customHeight="true" outlineLevel="0" collapsed="false">
      <c r="A314" s="37" t="str">
        <f aca="false">IFERROR(__xludf.dummyfunction("""COMPUTED_VALUE"""),"Toán")</f>
        <v>Toán</v>
      </c>
      <c r="B314" s="37" t="str">
        <f aca="false">IFERROR(__xludf.dummyfunction("""COMPUTED_VALUE"""),"TOV_TC_T10")</f>
        <v>TOV_TC_T10</v>
      </c>
      <c r="C314" s="59" t="str">
        <f aca="false">IFERROR(__xludf.dummyfunction("""COMPUTED_VALUE"""),"Xác suất có điều kiện")</f>
        <v>Xác suất có điều kiện</v>
      </c>
      <c r="D314" s="39" t="str">
        <f aca="false">IFERROR(__xludf.dummyfunction("""COMPUTED_VALUE"""),"Nguyễn Thanh Tùng")</f>
        <v>Nguyễn Thanh Tùng</v>
      </c>
      <c r="E314" s="40" t="n">
        <f aca="false">IFERROR(__xludf.dummyfunction("""COMPUTED_VALUE"""),46252)</f>
        <v>46252</v>
      </c>
      <c r="F314" s="41" t="n">
        <f aca="false">IFERROR(__xludf.dummyfunction("""COMPUTED_VALUE"""),3)</f>
        <v>3</v>
      </c>
      <c r="G314" s="37" t="str">
        <f aca="false">IFERROR(__xludf.dummyfunction("""COMPUTED_VALUE"""),"21:00-23:00")</f>
        <v>21:00-23:00</v>
      </c>
      <c r="H314" s="37"/>
      <c r="I314" s="37"/>
      <c r="J314" s="62"/>
      <c r="K314" s="68" t="str">
        <f aca="false">IFERROR(__xludf.dummyfunction("""COMPUTED_VALUE"""),"Lent")</f>
        <v>Lent</v>
      </c>
      <c r="L314" s="68" t="str">
        <f aca="false">IFERROR(__xludf.dummyfunction("""COMPUTED_VALUE"""),"Tưởng Thị Huyền Trang")</f>
        <v>Tưởng Thị Huyền Trang</v>
      </c>
      <c r="M314" s="71"/>
      <c r="N314" s="77" t="str">
        <f aca="false">IFERROR(__xludf.dummyfunction("""COMPUTED_VALUE"""),"3108,3117,3315,3127,3314")</f>
        <v>3108,3117,3315,3127,3314</v>
      </c>
      <c r="O314" s="63" t="str">
        <f aca="false">IFERROR(__xludf.dummyfunction("""COMPUTED_VALUE"""),"168373, 168588, 168329, 167468, 167068")</f>
        <v>168373, 168588, 168329, 167468, 167068</v>
      </c>
      <c r="P314" s="63" t="str">
        <f aca="false">IFERROR(__xludf.dummyfunction("""COMPUTED_VALUE"""),"9025,9028,9036,9104,9106,9017,9102")</f>
        <v>9025,9028,9036,9104,9106,9017,9102</v>
      </c>
      <c r="Q314" s="63" t="n">
        <f aca="false">IFERROR(__xludf.dummyfunction("""COMPUTED_VALUE"""),167068)</f>
        <v>167068</v>
      </c>
      <c r="R314" s="41"/>
      <c r="S314" s="41"/>
      <c r="T314" s="63"/>
      <c r="U314" s="63"/>
      <c r="V314" s="70" t="n">
        <f aca="false">IFERROR(__xludf.dummyfunction("""COMPUTED_VALUE"""),46255)</f>
        <v>46255</v>
      </c>
      <c r="W314" s="39"/>
      <c r="X314" s="41" t="str">
        <f aca="false">IFERROR(__xludf.dummyfunction("""COMPUTED_VALUE"""),"Lent")</f>
        <v>Lent</v>
      </c>
      <c r="Y314" s="44" t="str">
        <f aca="false">IFERROR(__xludf.dummyfunction("""COMPUTED_VALUE"""),"done")</f>
        <v>done</v>
      </c>
      <c r="Z314" s="57" t="str">
        <f aca="false">IFERROR(__xludf.dummyfunction("""COMPUTED_VALUE"""),"#N/A")</f>
        <v>#N/A</v>
      </c>
      <c r="AA314" s="57"/>
      <c r="AB314" s="41" t="n">
        <f aca="false">IFERROR(__xludf.dummyfunction("""COMPUTED_VALUE"""),8)</f>
        <v>8</v>
      </c>
      <c r="AC314" s="57" t="str">
        <f aca="false">IFERROR(__xludf.dummyfunction("""COMPUTED_VALUE"""),"gv.tungnt@hocmai.edu.vn ")</f>
        <v>gv.tungnt@hocmai.edu.vn </v>
      </c>
      <c r="AD314" s="46" t="str">
        <f aca="false">IFERROR(__xludf.dummyfunction("""COMPUTED_VALUE"""),"trangcrazy699@gmail.com")</f>
        <v>trangcrazy699@gmail.com</v>
      </c>
      <c r="AE314" s="46"/>
      <c r="AF314" s="47" t="str">
        <f aca="false">IFERROR(__xludf.dummyfunction("""COMPUTED_VALUE"""),"lophoctoan-946252")</f>
        <v>lophoctoan-946252</v>
      </c>
      <c r="AG314" s="46" t="str">
        <f aca="false">IFERROR(__xludf.dummyfunction("""COMPUTED_VALUE"""),"")</f>
        <v/>
      </c>
      <c r="AH314" s="35"/>
      <c r="AI314" s="53" t="b">
        <f aca="false">IFERROR(__xludf.dummyfunction("""COMPUTED_VALUE"""),TRUE())</f>
        <v>1</v>
      </c>
      <c r="AJ314" s="53" t="b">
        <f aca="false">IFERROR(__xludf.dummyfunction("""COMPUTED_VALUE"""),TRUE())</f>
        <v>1</v>
      </c>
      <c r="AK314" s="53" t="b">
        <f aca="false">IFERROR(__xludf.dummyfunction("""COMPUTED_VALUE"""),TRUE())</f>
        <v>1</v>
      </c>
      <c r="AL314" s="53" t="b">
        <f aca="false">IFERROR(__xludf.dummyfunction("""COMPUTED_VALUE"""),TRUE())</f>
        <v>1</v>
      </c>
      <c r="AM314" s="35"/>
      <c r="AN314" s="35"/>
      <c r="AO314" s="46"/>
    </row>
    <row r="315" customFormat="false" ht="15.75" hidden="false" customHeight="true" outlineLevel="0" collapsed="false">
      <c r="A315" s="37" t="str">
        <f aca="false">IFERROR(__xludf.dummyfunction("""COMPUTED_VALUE"""),"Tiếng Việt")</f>
        <v>Tiếng Việt</v>
      </c>
      <c r="B315" s="37" t="str">
        <f aca="false">IFERROR(__xludf.dummyfunction("""COMPUTED_VALUE"""),"TOV_V-ACT_TV08")</f>
        <v>TOV_V-ACT_TV08</v>
      </c>
      <c r="C315" s="59" t="str">
        <f aca="false">IFERROR(__xludf.dummyfunction("""COMPUTED_VALUE"""),"Thơ Mới và một số tác giả, tác phẩm tiêu biểu")</f>
        <v>Thơ Mới và một số tác giả, tác phẩm tiêu biểu</v>
      </c>
      <c r="D315" s="39" t="str">
        <f aca="false">IFERROR(__xludf.dummyfunction("""COMPUTED_VALUE"""),"Văn Trịnh Quỳnh An")</f>
        <v>Văn Trịnh Quỳnh An</v>
      </c>
      <c r="E315" s="40" t="n">
        <f aca="false">IFERROR(__xludf.dummyfunction("""COMPUTED_VALUE"""),46252)</f>
        <v>46252</v>
      </c>
      <c r="F315" s="41" t="n">
        <f aca="false">IFERROR(__xludf.dummyfunction("""COMPUTED_VALUE"""),3)</f>
        <v>3</v>
      </c>
      <c r="G315" s="37" t="str">
        <f aca="false">IFERROR(__xludf.dummyfunction("""COMPUTED_VALUE"""),"20:00-21:30")</f>
        <v>20:00-21:30</v>
      </c>
      <c r="H315" s="37"/>
      <c r="I315" s="37"/>
      <c r="J315" s="37"/>
      <c r="K315" s="68" t="str">
        <f aca="false">IFERROR(__xludf.dummyfunction("""COMPUTED_VALUE"""),"Hangvt3")</f>
        <v>Hangvt3</v>
      </c>
      <c r="L315" s="68" t="str">
        <f aca="false">IFERROR(__xludf.dummyfunction("""COMPUTED_VALUE"""),"Bùi Vĩnh Thọ")</f>
        <v>Bùi Vĩnh Thọ</v>
      </c>
      <c r="M315" s="71"/>
      <c r="N315" s="77" t="str">
        <f aca="false">IFERROR(__xludf.dummyfunction("""COMPUTED_VALUE"""),"3125,3338")</f>
        <v>3125,3338</v>
      </c>
      <c r="O315" s="73" t="n">
        <f aca="false">IFERROR(__xludf.dummyfunction("""COMPUTED_VALUE"""),167360.174775)</f>
        <v>167360.174775</v>
      </c>
      <c r="P315" s="63" t="n">
        <f aca="false">IFERROR(__xludf.dummyfunction("""COMPUTED_VALUE"""),174775)</f>
        <v>174775</v>
      </c>
      <c r="Q315" s="63"/>
      <c r="R315" s="41"/>
      <c r="S315" s="41"/>
      <c r="T315" s="63"/>
      <c r="U315" s="63"/>
      <c r="V315" s="70" t="n">
        <f aca="false">IFERROR(__xludf.dummyfunction("""COMPUTED_VALUE"""),46255)</f>
        <v>46255</v>
      </c>
      <c r="W315" s="39"/>
      <c r="X315" s="41" t="str">
        <f aca="false">IFERROR(__xludf.dummyfunction("""COMPUTED_VALUE"""),"Phuongdt")</f>
        <v>Phuongdt</v>
      </c>
      <c r="Y315" s="44" t="str">
        <f aca="false">IFERROR(__xludf.dummyfunction("""COMPUTED_VALUE"""),"done")</f>
        <v>done</v>
      </c>
      <c r="Z315" s="57" t="str">
        <f aca="false">IFERROR(__xludf.dummyfunction("""COMPUTED_VALUE"""),"#N/A")</f>
        <v>#N/A</v>
      </c>
      <c r="AA315" s="57"/>
      <c r="AB315" s="41" t="n">
        <f aca="false">IFERROR(__xludf.dummyfunction("""COMPUTED_VALUE"""),8)</f>
        <v>8</v>
      </c>
      <c r="AC315" s="57" t="str">
        <f aca="false">IFERROR(__xludf.dummyfunction("""COMPUTED_VALUE"""),"gv.anvtq@hocmai.edu.vn ")</f>
        <v>gv.anvtq@hocmai.edu.vn </v>
      </c>
      <c r="AD315" s="46" t="str">
        <f aca="false">IFERROR(__xludf.dummyfunction("""COMPUTED_VALUE"""),"vinhtho0704@gmail.com")</f>
        <v>vinhtho0704@gmail.com</v>
      </c>
      <c r="AE315" s="46"/>
      <c r="AF315" s="74" t="b">
        <f aca="false">IFERROR(__xludf.dummyfunction("""COMPUTED_VALUE"""),FALSE())</f>
        <v>0</v>
      </c>
      <c r="AG315" s="46" t="str">
        <f aca="false">IFERROR(__xludf.dummyfunction("""COMPUTED_VALUE"""),"")</f>
        <v/>
      </c>
      <c r="AH315" s="35"/>
      <c r="AI315" s="35"/>
      <c r="AJ315" s="35"/>
      <c r="AK315" s="35"/>
      <c r="AL315" s="35"/>
      <c r="AM315" s="53" t="b">
        <f aca="false">IFERROR(__xludf.dummyfunction("""COMPUTED_VALUE"""),TRUE())</f>
        <v>1</v>
      </c>
      <c r="AN315" s="53" t="b">
        <f aca="false">IFERROR(__xludf.dummyfunction("""COMPUTED_VALUE"""),TRUE())</f>
        <v>1</v>
      </c>
      <c r="AO315" s="46"/>
    </row>
    <row r="316" customFormat="false" ht="15.75" hidden="false" customHeight="true" outlineLevel="0" collapsed="false">
      <c r="A316" s="37" t="str">
        <f aca="false">IFERROR(__xludf.dummyfunction("""COMPUTED_VALUE"""),"Địa lí")</f>
        <v>Địa lí</v>
      </c>
      <c r="B316" s="37" t="str">
        <f aca="false">IFERROR(__xludf.dummyfunction("""COMPUTED_VALUE"""),"TOV_HSA_ĐL07")</f>
        <v>TOV_HSA_ĐL07</v>
      </c>
      <c r="C316" s="59" t="str">
        <f aca="false">IFERROR(__xludf.dummyfunction("""COMPUTED_VALUE"""),"Địa lí một số khu vực")</f>
        <v>Địa lí một số khu vực</v>
      </c>
      <c r="D316" s="39" t="str">
        <f aca="false">IFERROR(__xludf.dummyfunction("""COMPUTED_VALUE"""),"Nguyễn Văn Vinh")</f>
        <v>Nguyễn Văn Vinh</v>
      </c>
      <c r="E316" s="40" t="n">
        <f aca="false">IFERROR(__xludf.dummyfunction("""COMPUTED_VALUE"""),46252)</f>
        <v>46252</v>
      </c>
      <c r="F316" s="41" t="n">
        <f aca="false">IFERROR(__xludf.dummyfunction("""COMPUTED_VALUE"""),3)</f>
        <v>3</v>
      </c>
      <c r="G316" s="37" t="str">
        <f aca="false">IFERROR(__xludf.dummyfunction("""COMPUTED_VALUE"""),"18:30-20:30")</f>
        <v>18:30-20:30</v>
      </c>
      <c r="H316" s="37"/>
      <c r="I316" s="37"/>
      <c r="J316" s="37"/>
      <c r="K316" s="68" t="str">
        <f aca="false">IFERROR(__xludf.dummyfunction("""COMPUTED_VALUE"""),"Trinhntt")</f>
        <v>Trinhntt</v>
      </c>
      <c r="L316" s="68" t="str">
        <f aca="false">IFERROR(__xludf.dummyfunction("""COMPUTED_VALUE"""),"Phan Đức Kiên")</f>
        <v>Phan Đức Kiên</v>
      </c>
      <c r="M316" s="71"/>
      <c r="N316" s="77" t="str">
        <f aca="false">IFERROR(__xludf.dummyfunction("""COMPUTED_VALUE"""),"3123")</f>
        <v>3123</v>
      </c>
      <c r="O316" s="63" t="n">
        <f aca="false">IFERROR(__xludf.dummyfunction("""COMPUTED_VALUE"""),174753)</f>
        <v>174753</v>
      </c>
      <c r="P316" s="63"/>
      <c r="Q316" s="63" t="n">
        <f aca="false">IFERROR(__xludf.dummyfunction("""COMPUTED_VALUE"""),174753)</f>
        <v>174753</v>
      </c>
      <c r="R316" s="41"/>
      <c r="S316" s="41"/>
      <c r="T316" s="63"/>
      <c r="U316" s="63"/>
      <c r="V316" s="70" t="n">
        <f aca="false">IFERROR(__xludf.dummyfunction("""COMPUTED_VALUE"""),46255)</f>
        <v>46255</v>
      </c>
      <c r="W316" s="39"/>
      <c r="X316" s="41" t="str">
        <f aca="false">IFERROR(__xludf.dummyfunction("""COMPUTED_VALUE"""),"Huent7")</f>
        <v>Huent7</v>
      </c>
      <c r="Y316" s="44"/>
      <c r="Z316" s="57" t="str">
        <f aca="false">IFERROR(__xludf.dummyfunction("""COMPUTED_VALUE"""),"#N/A")</f>
        <v>#N/A</v>
      </c>
      <c r="AA316" s="57"/>
      <c r="AB316" s="41"/>
      <c r="AC316" s="57" t="str">
        <f aca="false">IFERROR(__xludf.dummyfunction("""COMPUTED_VALUE"""),"gv.vinhnv@hocmai.edu.vn")</f>
        <v>gv.vinhnv@hocmai.edu.vn</v>
      </c>
      <c r="AD316" s="46" t="str">
        <f aca="false">IFERROR(__xludf.dummyfunction("""COMPUTED_VALUE"""),"duckien010607@gmail.com")</f>
        <v>duckien010607@gmail.com</v>
      </c>
      <c r="AE316" s="46"/>
      <c r="AF316" s="74" t="b">
        <f aca="false">IFERROR(__xludf.dummyfunction("""COMPUTED_VALUE"""),FALSE())</f>
        <v>0</v>
      </c>
      <c r="AG316" s="46" t="str">
        <f aca="false">IFERROR(__xludf.dummyfunction("""COMPUTED_VALUE"""),"")</f>
        <v/>
      </c>
      <c r="AH316" s="35"/>
      <c r="AI316" s="35"/>
      <c r="AJ316" s="53" t="b">
        <f aca="false">IFERROR(__xludf.dummyfunction("""COMPUTED_VALUE"""),TRUE())</f>
        <v>1</v>
      </c>
      <c r="AK316" s="53" t="b">
        <f aca="false">IFERROR(__xludf.dummyfunction("""COMPUTED_VALUE"""),TRUE())</f>
        <v>1</v>
      </c>
      <c r="AL316" s="35"/>
      <c r="AM316" s="35"/>
      <c r="AN316" s="35"/>
      <c r="AO316" s="46"/>
    </row>
    <row r="317" customFormat="false" ht="15.75" hidden="false" customHeight="true" outlineLevel="0" collapsed="false">
      <c r="A317" s="37" t="str">
        <f aca="false">IFERROR(__xludf.dummyfunction("""COMPUTED_VALUE"""),"Thực chiến Khoa học")</f>
        <v>Thực chiến Khoa học</v>
      </c>
      <c r="B317" s="37" t="str">
        <f aca="false">IFERROR(__xludf.dummyfunction("""COMPUTED_VALUE"""),"TC_TSA_KH_19")</f>
        <v>TC_TSA_KH_19</v>
      </c>
      <c r="C317" s="59" t="str">
        <f aca="false">IFERROR(__xludf.dummyfunction("""COMPUTED_VALUE"""),"[Bổ trợ]_Chữa bài tập TSA_Tư duy Khoa học số 19")</f>
        <v>[Bổ trợ]_Chữa bài tập TSA_Tư duy Khoa học số 19</v>
      </c>
      <c r="D317" s="39" t="str">
        <f aca="false">IFERROR(__xludf.dummyfunction("""COMPUTED_VALUE"""),"Nguyễn Trọng Trường Anh")</f>
        <v>Nguyễn Trọng Trường Anh</v>
      </c>
      <c r="E317" s="40" t="n">
        <f aca="false">IFERROR(__xludf.dummyfunction("""COMPUTED_VALUE"""),46252)</f>
        <v>46252</v>
      </c>
      <c r="F317" s="41" t="n">
        <f aca="false">IFERROR(__xludf.dummyfunction("""COMPUTED_VALUE"""),3)</f>
        <v>3</v>
      </c>
      <c r="G317" s="37" t="str">
        <f aca="false">IFERROR(__xludf.dummyfunction("""COMPUTED_VALUE"""),"19:00-20:00")</f>
        <v>19:00-20:00</v>
      </c>
      <c r="H317" s="37"/>
      <c r="I317" s="37"/>
      <c r="J317" s="37"/>
      <c r="K317" s="68" t="str">
        <f aca="false">IFERROR(__xludf.dummyfunction("""COMPUTED_VALUE"""),"Trangnth2")</f>
        <v>Trangnth2</v>
      </c>
      <c r="L317" s="68" t="str">
        <f aca="false">IFERROR(__xludf.dummyfunction("""COMPUTED_VALUE"""),"HOCMAI")</f>
        <v>HOCMAI</v>
      </c>
      <c r="M317" s="71"/>
      <c r="N317" s="77" t="str">
        <f aca="false">IFERROR(__xludf.dummyfunction("""COMPUTED_VALUE"""),"3110")</f>
        <v>3110</v>
      </c>
      <c r="O317" s="63" t="n">
        <f aca="false">IFERROR(__xludf.dummyfunction("""COMPUTED_VALUE"""),176072)</f>
        <v>176072</v>
      </c>
      <c r="P317" s="60" t="str">
        <f aca="false">IFERROR(__xludf.dummyfunction("""COMPUTED_VALUE"""),"https://hocmai.vn/bai-giang-truc-tuyen/176072/.html")</f>
        <v>https://hocmai.vn/bai-giang-truc-tuyen/176072/.html</v>
      </c>
      <c r="Q317" s="63"/>
      <c r="R317" s="41"/>
      <c r="S317" s="41"/>
      <c r="T317" s="63"/>
      <c r="U317" s="63"/>
      <c r="V317" s="70" t="n">
        <f aca="false">IFERROR(__xludf.dummyfunction("""COMPUTED_VALUE"""),46255)</f>
        <v>46255</v>
      </c>
      <c r="W317" s="39"/>
      <c r="X317" s="41" t="str">
        <f aca="false">IFERROR(__xludf.dummyfunction("""COMPUTED_VALUE"""),"Vuta")</f>
        <v>Vuta</v>
      </c>
      <c r="Y317" s="44"/>
      <c r="Z317" s="57"/>
      <c r="AA317" s="57"/>
      <c r="AB317" s="41" t="n">
        <f aca="false">IFERROR(__xludf.dummyfunction("""COMPUTED_VALUE"""),8)</f>
        <v>8</v>
      </c>
      <c r="AC317" s="57" t="str">
        <f aca="false">IFERROR(__xludf.dummyfunction("""COMPUTED_VALUE"""),"thochi1981@gmail.com")</f>
        <v>thochi1981@gmail.com</v>
      </c>
      <c r="AD317" s="46"/>
      <c r="AE317" s="46"/>
      <c r="AF317" s="47"/>
      <c r="AG317" s="46"/>
      <c r="AH317" s="53" t="b">
        <f aca="false">IFERROR(__xludf.dummyfunction("""COMPUTED_VALUE"""),FALSE())</f>
        <v>0</v>
      </c>
      <c r="AI317" s="53" t="b">
        <f aca="false">IFERROR(__xludf.dummyfunction("""COMPUTED_VALUE"""),TRUE())</f>
        <v>1</v>
      </c>
      <c r="AJ317" s="53" t="b">
        <f aca="false">IFERROR(__xludf.dummyfunction("""COMPUTED_VALUE"""),FALSE())</f>
        <v>0</v>
      </c>
      <c r="AK317" s="53" t="b">
        <f aca="false">IFERROR(__xludf.dummyfunction("""COMPUTED_VALUE"""),FALSE())</f>
        <v>0</v>
      </c>
      <c r="AL317" s="53" t="b">
        <f aca="false">IFERROR(__xludf.dummyfunction("""COMPUTED_VALUE"""),FALSE())</f>
        <v>0</v>
      </c>
      <c r="AM317" s="53" t="b">
        <f aca="false">IFERROR(__xludf.dummyfunction("""COMPUTED_VALUE"""),FALSE())</f>
        <v>0</v>
      </c>
      <c r="AN317" s="53" t="b">
        <f aca="false">IFERROR(__xludf.dummyfunction("""COMPUTED_VALUE"""),FALSE())</f>
        <v>0</v>
      </c>
      <c r="AO317" s="46"/>
    </row>
    <row r="318" customFormat="false" ht="15.75" hidden="false" customHeight="true" outlineLevel="0" collapsed="false">
      <c r="A318" s="37" t="str">
        <f aca="false">IFERROR(__xludf.dummyfunction("""COMPUTED_VALUE"""),"Thực chiến Tiếng Anh")</f>
        <v>Thực chiến Tiếng Anh</v>
      </c>
      <c r="B318" s="37" t="str">
        <f aca="false">IFERROR(__xludf.dummyfunction("""COMPUTED_VALUE"""),"TC_V-ACT_TA_12")</f>
        <v>TC_V-ACT_TA_12</v>
      </c>
      <c r="C318" s="59" t="str">
        <f aca="false">IFERROR(__xludf.dummyfunction("""COMPUTED_VALUE"""),"[Bổ trợ]_Chữa bài tập_V-ACT_Tiếng Anh số 12")</f>
        <v>[Bổ trợ]_Chữa bài tập_V-ACT_Tiếng Anh số 12</v>
      </c>
      <c r="D318" s="39" t="str">
        <f aca="false">IFERROR(__xludf.dummyfunction("""COMPUTED_VALUE"""),"Dung Thành Vinh")</f>
        <v>Dung Thành Vinh</v>
      </c>
      <c r="E318" s="40" t="n">
        <f aca="false">IFERROR(__xludf.dummyfunction("""COMPUTED_VALUE"""),46252)</f>
        <v>46252</v>
      </c>
      <c r="F318" s="41" t="n">
        <f aca="false">IFERROR(__xludf.dummyfunction("""COMPUTED_VALUE"""),3)</f>
        <v>3</v>
      </c>
      <c r="G318" s="37" t="str">
        <f aca="false">IFERROR(__xludf.dummyfunction("""COMPUTED_VALUE"""),"18:00-19:00")</f>
        <v>18:00-19:00</v>
      </c>
      <c r="H318" s="37"/>
      <c r="I318" s="37"/>
      <c r="J318" s="37"/>
      <c r="K318" s="68" t="str">
        <f aca="false">IFERROR(__xludf.dummyfunction("""COMPUTED_VALUE"""),"Huyenn2")</f>
        <v>Huyenn2</v>
      </c>
      <c r="L318" s="68" t="str">
        <f aca="false">IFERROR(__xludf.dummyfunction("""COMPUTED_VALUE"""),"HOCMAI")</f>
        <v>HOCMAI</v>
      </c>
      <c r="M318" s="71"/>
      <c r="N318" s="77" t="str">
        <f aca="false">IFERROR(__xludf.dummyfunction("""COMPUTED_VALUE"""),"3165")</f>
        <v>3165</v>
      </c>
      <c r="O318" s="63" t="n">
        <f aca="false">IFERROR(__xludf.dummyfunction("""COMPUTED_VALUE"""),176105)</f>
        <v>176105</v>
      </c>
      <c r="P318" s="60" t="str">
        <f aca="false">IFERROR(__xludf.dummyfunction("""COMPUTED_VALUE"""),"https://hocmai.vn/bai-giang-truc-tuyen/176105/.html")</f>
        <v>https://hocmai.vn/bai-giang-truc-tuyen/176105/.html</v>
      </c>
      <c r="Q318" s="63"/>
      <c r="R318" s="41"/>
      <c r="S318" s="41"/>
      <c r="T318" s="63"/>
      <c r="U318" s="63"/>
      <c r="V318" s="70" t="n">
        <f aca="false">IFERROR(__xludf.dummyfunction("""COMPUTED_VALUE"""),46255)</f>
        <v>46255</v>
      </c>
      <c r="W318" s="39"/>
      <c r="X318" s="41" t="str">
        <f aca="false">IFERROR(__xludf.dummyfunction("""COMPUTED_VALUE"""),"Vuta")</f>
        <v>Vuta</v>
      </c>
      <c r="Y318" s="44"/>
      <c r="Z318" s="57"/>
      <c r="AA318" s="57"/>
      <c r="AB318" s="41" t="n">
        <f aca="false">IFERROR(__xludf.dummyfunction("""COMPUTED_VALUE"""),8)</f>
        <v>8</v>
      </c>
      <c r="AC318" s="57" t="str">
        <f aca="false">IFERROR(__xludf.dummyfunction("""COMPUTED_VALUE"""),"shimlim04@gmail.com")</f>
        <v>shimlim04@gmail.com</v>
      </c>
      <c r="AD318" s="46"/>
      <c r="AE318" s="46"/>
      <c r="AF318" s="47"/>
      <c r="AG318" s="46"/>
      <c r="AH318" s="53" t="b">
        <f aca="false">IFERROR(__xludf.dummyfunction("""COMPUTED_VALUE"""),FALSE())</f>
        <v>0</v>
      </c>
      <c r="AI318" s="53" t="b">
        <f aca="false">IFERROR(__xludf.dummyfunction("""COMPUTED_VALUE"""),FALSE())</f>
        <v>0</v>
      </c>
      <c r="AJ318" s="53" t="b">
        <f aca="false">IFERROR(__xludf.dummyfunction("""COMPUTED_VALUE"""),FALSE())</f>
        <v>0</v>
      </c>
      <c r="AK318" s="53" t="b">
        <f aca="false">IFERROR(__xludf.dummyfunction("""COMPUTED_VALUE"""),FALSE())</f>
        <v>0</v>
      </c>
      <c r="AL318" s="53" t="b">
        <f aca="false">IFERROR(__xludf.dummyfunction("""COMPUTED_VALUE"""),FALSE())</f>
        <v>0</v>
      </c>
      <c r="AM318" s="53" t="b">
        <f aca="false">IFERROR(__xludf.dummyfunction("""COMPUTED_VALUE"""),TRUE())</f>
        <v>1</v>
      </c>
      <c r="AN318" s="53" t="b">
        <f aca="false">IFERROR(__xludf.dummyfunction("""COMPUTED_VALUE"""),TRUE())</f>
        <v>1</v>
      </c>
      <c r="AO318" s="46"/>
    </row>
    <row r="319" customFormat="false" ht="15.75" hidden="false" customHeight="true" outlineLevel="0" collapsed="false">
      <c r="A319" s="37" t="str">
        <f aca="false">IFERROR(__xludf.dummyfunction("""COMPUTED_VALUE"""),"Định tính")</f>
        <v>Định tính</v>
      </c>
      <c r="B319" s="37" t="str">
        <f aca="false">IFERROR(__xludf.dummyfunction("""COMPUTED_VALUE"""),"TOV_HSA_DT09")</f>
        <v>TOV_HSA_DT09</v>
      </c>
      <c r="C319" s="59" t="str">
        <f aca="false">IFERROR(__xludf.dummyfunction("""COMPUTED_VALUE"""),"Truyện ngắn: Đặc trưng thể loại và phương pháp đọc hiểu")</f>
        <v>Truyện ngắn: Đặc trưng thể loại và phương pháp đọc hiểu</v>
      </c>
      <c r="D319" s="39" t="str">
        <f aca="false">IFERROR(__xludf.dummyfunction("""COMPUTED_VALUE"""),"Vương Thúy Hằng")</f>
        <v>Vương Thúy Hằng</v>
      </c>
      <c r="E319" s="40" t="n">
        <f aca="false">IFERROR(__xludf.dummyfunction("""COMPUTED_VALUE"""),46253)</f>
        <v>46253</v>
      </c>
      <c r="F319" s="41" t="n">
        <f aca="false">IFERROR(__xludf.dummyfunction("""COMPUTED_VALUE"""),4)</f>
        <v>4</v>
      </c>
      <c r="G319" s="37" t="str">
        <f aca="false">IFERROR(__xludf.dummyfunction("""COMPUTED_VALUE"""),"21:00-23:00")</f>
        <v>21:00-23:00</v>
      </c>
      <c r="H319" s="37"/>
      <c r="I319" s="37"/>
      <c r="J319" s="37"/>
      <c r="K319" s="68" t="str">
        <f aca="false">IFERROR(__xludf.dummyfunction("""COMPUTED_VALUE"""),"Hangvt3")</f>
        <v>Hangvt3</v>
      </c>
      <c r="L319" s="68" t="str">
        <f aca="false">IFERROR(__xludf.dummyfunction("""COMPUTED_VALUE"""),"Kiều Bảo Minh")</f>
        <v>Kiều Bảo Minh</v>
      </c>
      <c r="M319" s="71"/>
      <c r="N319" s="77" t="str">
        <f aca="false">IFERROR(__xludf.dummyfunction("""COMPUTED_VALUE"""),"3118")</f>
        <v>3118</v>
      </c>
      <c r="O319" s="63" t="n">
        <f aca="false">IFERROR(__xludf.dummyfunction("""COMPUTED_VALUE"""),167298)</f>
        <v>167298</v>
      </c>
      <c r="P319" s="63"/>
      <c r="Q319" s="63"/>
      <c r="R319" s="41"/>
      <c r="S319" s="41"/>
      <c r="T319" s="63"/>
      <c r="U319" s="63"/>
      <c r="V319" s="70" t="n">
        <f aca="false">IFERROR(__xludf.dummyfunction("""COMPUTED_VALUE"""),46256)</f>
        <v>46256</v>
      </c>
      <c r="W319" s="39"/>
      <c r="X319" s="41" t="str">
        <f aca="false">IFERROR(__xludf.dummyfunction("""COMPUTED_VALUE"""),"Phuongdt")</f>
        <v>Phuongdt</v>
      </c>
      <c r="Y319" s="44" t="str">
        <f aca="false">IFERROR(__xludf.dummyfunction("""COMPUTED_VALUE"""),"done")</f>
        <v>done</v>
      </c>
      <c r="Z319" s="57" t="str">
        <f aca="false">IFERROR(__xludf.dummyfunction("""COMPUTED_VALUE"""),"#N/A")</f>
        <v>#N/A</v>
      </c>
      <c r="AA319" s="57"/>
      <c r="AB319" s="41" t="n">
        <f aca="false">IFERROR(__xludf.dummyfunction("""COMPUTED_VALUE"""),8)</f>
        <v>8</v>
      </c>
      <c r="AC319" s="57" t="str">
        <f aca="false">IFERROR(__xludf.dummyfunction("""COMPUTED_VALUE"""),"gv.hangvt@hocmai.edu.vn ")</f>
        <v>gv.hangvt@hocmai.edu.vn </v>
      </c>
      <c r="AD319" s="46" t="str">
        <f aca="false">IFERROR(__xludf.dummyfunction("""COMPUTED_VALUE"""),"mkieu2662@gmail.com")</f>
        <v>mkieu2662@gmail.com</v>
      </c>
      <c r="AE319" s="46"/>
      <c r="AF319" s="74" t="b">
        <f aca="false">IFERROR(__xludf.dummyfunction("""COMPUTED_VALUE"""),FALSE())</f>
        <v>0</v>
      </c>
      <c r="AG319" s="46" t="str">
        <f aca="false">IFERROR(__xludf.dummyfunction("""COMPUTED_VALUE"""),"")</f>
        <v/>
      </c>
      <c r="AH319" s="35"/>
      <c r="AI319" s="35"/>
      <c r="AJ319" s="53" t="b">
        <f aca="false">IFERROR(__xludf.dummyfunction("""COMPUTED_VALUE"""),TRUE())</f>
        <v>1</v>
      </c>
      <c r="AK319" s="53" t="b">
        <f aca="false">IFERROR(__xludf.dummyfunction("""COMPUTED_VALUE"""),TRUE())</f>
        <v>1</v>
      </c>
      <c r="AL319" s="35"/>
      <c r="AM319" s="35"/>
      <c r="AN319" s="35"/>
      <c r="AO319" s="46"/>
    </row>
    <row r="320" customFormat="false" ht="15.75" hidden="false" customHeight="true" outlineLevel="0" collapsed="false">
      <c r="A320" s="37" t="str">
        <f aca="false">IFERROR(__xludf.dummyfunction("""COMPUTED_VALUE"""),"Ngữ văn")</f>
        <v>Ngữ văn</v>
      </c>
      <c r="B320" s="37" t="str">
        <f aca="false">IFERROR(__xludf.dummyfunction("""COMPUTED_VALUE"""),"TOV_TNTHPT_NV01")</f>
        <v>TOV_TNTHPT_NV01</v>
      </c>
      <c r="C320" s="59" t="str">
        <f aca="false">IFERROR(__xludf.dummyfunction("""COMPUTED_VALUE"""),"Hướng dẫn đọc và khai thác nội dung văn bản truyện hiện đại")</f>
        <v>Hướng dẫn đọc và khai thác nội dung văn bản truyện hiện đại</v>
      </c>
      <c r="D320" s="39" t="str">
        <f aca="false">IFERROR(__xludf.dummyfunction("""COMPUTED_VALUE"""),"Phạm Hữu Cường")</f>
        <v>Phạm Hữu Cường</v>
      </c>
      <c r="E320" s="40" t="n">
        <f aca="false">IFERROR(__xludf.dummyfunction("""COMPUTED_VALUE"""),46253)</f>
        <v>46253</v>
      </c>
      <c r="F320" s="41" t="n">
        <f aca="false">IFERROR(__xludf.dummyfunction("""COMPUTED_VALUE"""),4)</f>
        <v>4</v>
      </c>
      <c r="G320" s="37" t="str">
        <f aca="false">IFERROR(__xludf.dummyfunction("""COMPUTED_VALUE"""),"21:00-23:00")</f>
        <v>21:00-23:00</v>
      </c>
      <c r="H320" s="37"/>
      <c r="I320" s="37"/>
      <c r="J320" s="37"/>
      <c r="K320" s="68" t="str">
        <f aca="false">IFERROR(__xludf.dummyfunction("""COMPUTED_VALUE"""),"Hangvt3")</f>
        <v>Hangvt3</v>
      </c>
      <c r="L320" s="68" t="str">
        <f aca="false">IFERROR(__xludf.dummyfunction("""COMPUTED_VALUE"""),"Trần Đức Lương")</f>
        <v>Trần Đức Lương</v>
      </c>
      <c r="M320" s="71"/>
      <c r="N320" s="77" t="str">
        <f aca="false">IFERROR(__xludf.dummyfunction("""COMPUTED_VALUE"""),"3128")</f>
        <v>3128</v>
      </c>
      <c r="O320" s="63" t="n">
        <f aca="false">IFERROR(__xludf.dummyfunction("""COMPUTED_VALUE"""),167558)</f>
        <v>167558</v>
      </c>
      <c r="P320" s="63"/>
      <c r="Q320" s="63"/>
      <c r="R320" s="41"/>
      <c r="S320" s="41"/>
      <c r="T320" s="63"/>
      <c r="U320" s="63"/>
      <c r="V320" s="70" t="n">
        <f aca="false">IFERROR(__xludf.dummyfunction("""COMPUTED_VALUE"""),46256)</f>
        <v>46256</v>
      </c>
      <c r="W320" s="39"/>
      <c r="X320" s="41" t="str">
        <f aca="false">IFERROR(__xludf.dummyfunction("""COMPUTED_VALUE"""),"Hoantt")</f>
        <v>Hoantt</v>
      </c>
      <c r="Y320" s="44"/>
      <c r="Z320" s="57" t="str">
        <f aca="false">IFERROR(__xludf.dummyfunction("""COMPUTED_VALUE"""),"#N/A")</f>
        <v>#N/A</v>
      </c>
      <c r="AA320" s="57"/>
      <c r="AB320" s="41" t="n">
        <f aca="false">IFERROR(__xludf.dummyfunction("""COMPUTED_VALUE"""),8)</f>
        <v>8</v>
      </c>
      <c r="AC320" s="57" t="str">
        <f aca="false">IFERROR(__xludf.dummyfunction("""COMPUTED_VALUE"""),"gv.cuongph@hocmai.edu.vn ")</f>
        <v>gv.cuongph@hocmai.edu.vn </v>
      </c>
      <c r="AD320" s="46" t="str">
        <f aca="false">IFERROR(__xludf.dummyfunction("""COMPUTED_VALUE"""),"ss.hsa01@ctv.hocmai.vn")</f>
        <v>ss.hsa01@ctv.hocmai.vn</v>
      </c>
      <c r="AE320" s="46"/>
      <c r="AF320" s="74" t="b">
        <f aca="false">IFERROR(__xludf.dummyfunction("""COMPUTED_VALUE"""),FALSE())</f>
        <v>0</v>
      </c>
      <c r="AG320" s="46" t="str">
        <f aca="false">IFERROR(__xludf.dummyfunction("""COMPUTED_VALUE"""),"")</f>
        <v/>
      </c>
      <c r="AH320" s="35"/>
      <c r="AI320" s="35"/>
      <c r="AJ320" s="35"/>
      <c r="AK320" s="35"/>
      <c r="AL320" s="53" t="b">
        <f aca="false">IFERROR(__xludf.dummyfunction("""COMPUTED_VALUE"""),TRUE())</f>
        <v>1</v>
      </c>
      <c r="AM320" s="35"/>
      <c r="AN320" s="35"/>
      <c r="AO320" s="46"/>
    </row>
    <row r="321" customFormat="false" ht="15.75" hidden="false" customHeight="true" outlineLevel="0" collapsed="false">
      <c r="A321" s="37" t="str">
        <f aca="false">IFERROR(__xludf.dummyfunction("""COMPUTED_VALUE"""),"Thực chiến Toán")</f>
        <v>Thực chiến Toán</v>
      </c>
      <c r="B321" s="37" t="str">
        <f aca="false">IFERROR(__xludf.dummyfunction("""COMPUTED_VALUE"""),"TC_TSA_T_19")</f>
        <v>TC_TSA_T_19</v>
      </c>
      <c r="C321" s="59" t="str">
        <f aca="false">IFERROR(__xludf.dummyfunction("""COMPUTED_VALUE"""),"[Bổ trợ]_Chữa bài tập TSA_Tư duy Toán học số 19")</f>
        <v>[Bổ trợ]_Chữa bài tập TSA_Tư duy Toán học số 19</v>
      </c>
      <c r="D321" s="39" t="str">
        <f aca="false">IFERROR(__xludf.dummyfunction("""COMPUTED_VALUE"""),"Phạm Huy Hoàng")</f>
        <v>Phạm Huy Hoàng</v>
      </c>
      <c r="E321" s="40" t="n">
        <f aca="false">IFERROR(__xludf.dummyfunction("""COMPUTED_VALUE"""),46253)</f>
        <v>46253</v>
      </c>
      <c r="F321" s="41" t="n">
        <f aca="false">IFERROR(__xludf.dummyfunction("""COMPUTED_VALUE"""),4)</f>
        <v>4</v>
      </c>
      <c r="G321" s="37" t="str">
        <f aca="false">IFERROR(__xludf.dummyfunction("""COMPUTED_VALUE"""),"19:00-20:00")</f>
        <v>19:00-20:00</v>
      </c>
      <c r="H321" s="37"/>
      <c r="I321" s="37"/>
      <c r="J321" s="37"/>
      <c r="K321" s="68" t="str">
        <f aca="false">IFERROR(__xludf.dummyfunction("""COMPUTED_VALUE"""),"Locdd")</f>
        <v>Locdd</v>
      </c>
      <c r="L321" s="68" t="str">
        <f aca="false">IFERROR(__xludf.dummyfunction("""COMPUTED_VALUE"""),"HOCMAI")</f>
        <v>HOCMAI</v>
      </c>
      <c r="M321" s="71"/>
      <c r="N321" s="77" t="str">
        <f aca="false">IFERROR(__xludf.dummyfunction("""COMPUTED_VALUE"""),"3108")</f>
        <v>3108</v>
      </c>
      <c r="O321" s="63" t="n">
        <f aca="false">IFERROR(__xludf.dummyfunction("""COMPUTED_VALUE"""),176051)</f>
        <v>176051</v>
      </c>
      <c r="P321" s="60" t="str">
        <f aca="false">IFERROR(__xludf.dummyfunction("""COMPUTED_VALUE"""),"https://hocmai.vn/bai-giang-truc-tuyen/176051/.html")</f>
        <v>https://hocmai.vn/bai-giang-truc-tuyen/176051/.html</v>
      </c>
      <c r="Q321" s="63"/>
      <c r="R321" s="41"/>
      <c r="S321" s="41"/>
      <c r="T321" s="63"/>
      <c r="U321" s="63"/>
      <c r="V321" s="70" t="n">
        <f aca="false">IFERROR(__xludf.dummyfunction("""COMPUTED_VALUE"""),46256)</f>
        <v>46256</v>
      </c>
      <c r="W321" s="39"/>
      <c r="X321" s="41" t="str">
        <f aca="false">IFERROR(__xludf.dummyfunction("""COMPUTED_VALUE"""),"Vuta")</f>
        <v>Vuta</v>
      </c>
      <c r="Y321" s="44"/>
      <c r="Z321" s="57"/>
      <c r="AA321" s="57"/>
      <c r="AB321" s="41" t="n">
        <f aca="false">IFERROR(__xludf.dummyfunction("""COMPUTED_VALUE"""),8)</f>
        <v>8</v>
      </c>
      <c r="AC321" s="57" t="str">
        <f aca="false">IFERROR(__xludf.dummyfunction("""COMPUTED_VALUE"""),"0376611308")</f>
        <v>0376611308</v>
      </c>
      <c r="AD321" s="46"/>
      <c r="AE321" s="46"/>
      <c r="AF321" s="47"/>
      <c r="AG321" s="46"/>
      <c r="AH321" s="53" t="b">
        <f aca="false">IFERROR(__xludf.dummyfunction("""COMPUTED_VALUE"""),FALSE())</f>
        <v>0</v>
      </c>
      <c r="AI321" s="53" t="b">
        <f aca="false">IFERROR(__xludf.dummyfunction("""COMPUTED_VALUE"""),TRUE())</f>
        <v>1</v>
      </c>
      <c r="AJ321" s="53" t="b">
        <f aca="false">IFERROR(__xludf.dummyfunction("""COMPUTED_VALUE"""),FALSE())</f>
        <v>0</v>
      </c>
      <c r="AK321" s="53" t="b">
        <f aca="false">IFERROR(__xludf.dummyfunction("""COMPUTED_VALUE"""),FALSE())</f>
        <v>0</v>
      </c>
      <c r="AL321" s="53" t="b">
        <f aca="false">IFERROR(__xludf.dummyfunction("""COMPUTED_VALUE"""),FALSE())</f>
        <v>0</v>
      </c>
      <c r="AM321" s="53" t="b">
        <f aca="false">IFERROR(__xludf.dummyfunction("""COMPUTED_VALUE"""),FALSE())</f>
        <v>0</v>
      </c>
      <c r="AN321" s="53" t="b">
        <f aca="false">IFERROR(__xludf.dummyfunction("""COMPUTED_VALUE"""),FALSE())</f>
        <v>0</v>
      </c>
      <c r="AO321" s="46"/>
    </row>
    <row r="322" customFormat="false" ht="15.75" hidden="false" customHeight="true" outlineLevel="0" collapsed="false">
      <c r="A322" s="37" t="str">
        <f aca="false">IFERROR(__xludf.dummyfunction("""COMPUTED_VALUE"""),"Thực chiến Định lượng")</f>
        <v>Thực chiến Định lượng</v>
      </c>
      <c r="B322" s="37" t="str">
        <f aca="false">IFERROR(__xludf.dummyfunction("""COMPUTED_VALUE"""),"TC_HSA_ĐL_15")</f>
        <v>TC_HSA_ĐL_15</v>
      </c>
      <c r="C322" s="59" t="str">
        <f aca="false">IFERROR(__xludf.dummyfunction("""COMPUTED_VALUE"""),"[Bổ trợ]_Chữa bài tập _Tư duy Định lượng số 15")</f>
        <v>[Bổ trợ]_Chữa bài tập _Tư duy Định lượng số 15</v>
      </c>
      <c r="D322" s="39" t="str">
        <f aca="false">IFERROR(__xludf.dummyfunction("""COMPUTED_VALUE"""),"Vi Vũ Trí Đức")</f>
        <v>Vi Vũ Trí Đức</v>
      </c>
      <c r="E322" s="40" t="n">
        <f aca="false">IFERROR(__xludf.dummyfunction("""COMPUTED_VALUE"""),46253)</f>
        <v>46253</v>
      </c>
      <c r="F322" s="41" t="n">
        <f aca="false">IFERROR(__xludf.dummyfunction("""COMPUTED_VALUE"""),4)</f>
        <v>4</v>
      </c>
      <c r="G322" s="37" t="str">
        <f aca="false">IFERROR(__xludf.dummyfunction("""COMPUTED_VALUE"""),"19:00-20:00")</f>
        <v>19:00-20:00</v>
      </c>
      <c r="H322" s="37"/>
      <c r="I322" s="37"/>
      <c r="J322" s="37"/>
      <c r="K322" s="68" t="str">
        <f aca="false">IFERROR(__xludf.dummyfunction("""COMPUTED_VALUE"""),"Locdd")</f>
        <v>Locdd</v>
      </c>
      <c r="L322" s="68" t="str">
        <f aca="false">IFERROR(__xludf.dummyfunction("""COMPUTED_VALUE"""),"HOCMAI")</f>
        <v>HOCMAI</v>
      </c>
      <c r="M322" s="71"/>
      <c r="N322" s="77" t="str">
        <f aca="false">IFERROR(__xludf.dummyfunction("""COMPUTED_VALUE"""),"3117")</f>
        <v>3117</v>
      </c>
      <c r="O322" s="63" t="n">
        <f aca="false">IFERROR(__xludf.dummyfunction("""COMPUTED_VALUE"""),176128)</f>
        <v>176128</v>
      </c>
      <c r="P322" s="60" t="str">
        <f aca="false">IFERROR(__xludf.dummyfunction("""COMPUTED_VALUE"""),"https://hocmai.vn/bai-giang-truc-tuyen/176128/.html")</f>
        <v>https://hocmai.vn/bai-giang-truc-tuyen/176128/.html</v>
      </c>
      <c r="Q322" s="63"/>
      <c r="R322" s="41"/>
      <c r="S322" s="41"/>
      <c r="T322" s="63"/>
      <c r="U322" s="63"/>
      <c r="V322" s="70" t="n">
        <f aca="false">IFERROR(__xludf.dummyfunction("""COMPUTED_VALUE"""),46256)</f>
        <v>46256</v>
      </c>
      <c r="W322" s="39"/>
      <c r="X322" s="41" t="str">
        <f aca="false">IFERROR(__xludf.dummyfunction("""COMPUTED_VALUE"""),"Vuta")</f>
        <v>Vuta</v>
      </c>
      <c r="Y322" s="44"/>
      <c r="Z322" s="57"/>
      <c r="AA322" s="57"/>
      <c r="AB322" s="41" t="n">
        <f aca="false">IFERROR(__xludf.dummyfunction("""COMPUTED_VALUE"""),8)</f>
        <v>8</v>
      </c>
      <c r="AC322" s="57" t="str">
        <f aca="false">IFERROR(__xludf.dummyfunction("""COMPUTED_VALUE"""),"tdstawesome@gmail.com")</f>
        <v>tdstawesome@gmail.com</v>
      </c>
      <c r="AD322" s="46"/>
      <c r="AE322" s="46"/>
      <c r="AF322" s="47"/>
      <c r="AG322" s="46"/>
      <c r="AH322" s="53" t="b">
        <f aca="false">IFERROR(__xludf.dummyfunction("""COMPUTED_VALUE"""),FALSE())</f>
        <v>0</v>
      </c>
      <c r="AI322" s="53" t="b">
        <f aca="false">IFERROR(__xludf.dummyfunction("""COMPUTED_VALUE"""),FALSE())</f>
        <v>0</v>
      </c>
      <c r="AJ322" s="53" t="b">
        <f aca="false">IFERROR(__xludf.dummyfunction("""COMPUTED_VALUE"""),TRUE())</f>
        <v>1</v>
      </c>
      <c r="AK322" s="53" t="b">
        <f aca="false">IFERROR(__xludf.dummyfunction("""COMPUTED_VALUE"""),TRUE())</f>
        <v>1</v>
      </c>
      <c r="AL322" s="53" t="b">
        <f aca="false">IFERROR(__xludf.dummyfunction("""COMPUTED_VALUE"""),FALSE())</f>
        <v>0</v>
      </c>
      <c r="AM322" s="53" t="b">
        <f aca="false">IFERROR(__xludf.dummyfunction("""COMPUTED_VALUE"""),FALSE())</f>
        <v>0</v>
      </c>
      <c r="AN322" s="53" t="b">
        <f aca="false">IFERROR(__xludf.dummyfunction("""COMPUTED_VALUE"""),FALSE())</f>
        <v>0</v>
      </c>
      <c r="AO322" s="46"/>
    </row>
    <row r="323" customFormat="false" ht="15.75" hidden="false" customHeight="true" outlineLevel="0" collapsed="false">
      <c r="A323" s="37" t="str">
        <f aca="false">IFERROR(__xludf.dummyfunction("""COMPUTED_VALUE"""),"Thực chiến Tiếng Việt")</f>
        <v>Thực chiến Tiếng Việt</v>
      </c>
      <c r="B323" s="37" t="str">
        <f aca="false">IFERROR(__xludf.dummyfunction("""COMPUTED_VALUE"""),"TC_V-ACT_TV_11")</f>
        <v>TC_V-ACT_TV_11</v>
      </c>
      <c r="C323" s="59" t="str">
        <f aca="false">IFERROR(__xludf.dummyfunction("""COMPUTED_VALUE"""),"[Bổ trợ]_Chữa bài tập_V-ACT_Tiếng Việt số 11")</f>
        <v>[Bổ trợ]_Chữa bài tập_V-ACT_Tiếng Việt số 11</v>
      </c>
      <c r="D323" s="39" t="str">
        <f aca="false">IFERROR(__xludf.dummyfunction("""COMPUTED_VALUE"""),"Nguyễn Thị Khánh Ly")</f>
        <v>Nguyễn Thị Khánh Ly</v>
      </c>
      <c r="E323" s="40" t="n">
        <f aca="false">IFERROR(__xludf.dummyfunction("""COMPUTED_VALUE"""),46253)</f>
        <v>46253</v>
      </c>
      <c r="F323" s="41" t="n">
        <f aca="false">IFERROR(__xludf.dummyfunction("""COMPUTED_VALUE"""),4)</f>
        <v>4</v>
      </c>
      <c r="G323" s="37" t="str">
        <f aca="false">IFERROR(__xludf.dummyfunction("""COMPUTED_VALUE"""),"21:15-22:15")</f>
        <v>21:15-22:15</v>
      </c>
      <c r="H323" s="37"/>
      <c r="I323" s="37"/>
      <c r="J323" s="37"/>
      <c r="K323" s="68" t="str">
        <f aca="false">IFERROR(__xludf.dummyfunction("""COMPUTED_VALUE"""),"Hoantt")</f>
        <v>Hoantt</v>
      </c>
      <c r="L323" s="68" t="str">
        <f aca="false">IFERROR(__xludf.dummyfunction("""COMPUTED_VALUE"""),"HOCMAI")</f>
        <v>HOCMAI</v>
      </c>
      <c r="M323" s="71"/>
      <c r="N323" s="77" t="str">
        <f aca="false">IFERROR(__xludf.dummyfunction("""COMPUTED_VALUE"""),"3125")</f>
        <v>3125</v>
      </c>
      <c r="O323" s="63" t="n">
        <f aca="false">IFERROR(__xludf.dummyfunction("""COMPUTED_VALUE"""),176116)</f>
        <v>176116</v>
      </c>
      <c r="P323" s="60" t="str">
        <f aca="false">IFERROR(__xludf.dummyfunction("""COMPUTED_VALUE"""),"https://hocmai.vn/bai-giang-truc-tuyen/176116/.html")</f>
        <v>https://hocmai.vn/bai-giang-truc-tuyen/176116/.html</v>
      </c>
      <c r="Q323" s="63"/>
      <c r="R323" s="41"/>
      <c r="S323" s="41"/>
      <c r="T323" s="63"/>
      <c r="U323" s="63"/>
      <c r="V323" s="70" t="n">
        <f aca="false">IFERROR(__xludf.dummyfunction("""COMPUTED_VALUE"""),46256)</f>
        <v>46256</v>
      </c>
      <c r="W323" s="39"/>
      <c r="X323" s="41" t="str">
        <f aca="false">IFERROR(__xludf.dummyfunction("""COMPUTED_VALUE"""),"Vuta")</f>
        <v>Vuta</v>
      </c>
      <c r="Y323" s="44"/>
      <c r="Z323" s="57"/>
      <c r="AA323" s="57"/>
      <c r="AB323" s="41" t="n">
        <f aca="false">IFERROR(__xludf.dummyfunction("""COMPUTED_VALUE"""),8)</f>
        <v>8</v>
      </c>
      <c r="AC323" s="57" t="str">
        <f aca="false">IFERROR(__xludf.dummyfunction("""COMPUTED_VALUE"""),"khanhly16092003@gmail.com")</f>
        <v>khanhly16092003@gmail.com</v>
      </c>
      <c r="AD323" s="46"/>
      <c r="AE323" s="46"/>
      <c r="AF323" s="47"/>
      <c r="AG323" s="46"/>
      <c r="AH323" s="53" t="b">
        <f aca="false">IFERROR(__xludf.dummyfunction("""COMPUTED_VALUE"""),FALSE())</f>
        <v>0</v>
      </c>
      <c r="AI323" s="53" t="b">
        <f aca="false">IFERROR(__xludf.dummyfunction("""COMPUTED_VALUE"""),FALSE())</f>
        <v>0</v>
      </c>
      <c r="AJ323" s="53" t="b">
        <f aca="false">IFERROR(__xludf.dummyfunction("""COMPUTED_VALUE"""),FALSE())</f>
        <v>0</v>
      </c>
      <c r="AK323" s="53" t="b">
        <f aca="false">IFERROR(__xludf.dummyfunction("""COMPUTED_VALUE"""),FALSE())</f>
        <v>0</v>
      </c>
      <c r="AL323" s="53" t="b">
        <f aca="false">IFERROR(__xludf.dummyfunction("""COMPUTED_VALUE"""),FALSE())</f>
        <v>0</v>
      </c>
      <c r="AM323" s="53" t="b">
        <f aca="false">IFERROR(__xludf.dummyfunction("""COMPUTED_VALUE"""),TRUE())</f>
        <v>1</v>
      </c>
      <c r="AN323" s="53" t="b">
        <f aca="false">IFERROR(__xludf.dummyfunction("""COMPUTED_VALUE"""),TRUE())</f>
        <v>1</v>
      </c>
      <c r="AO323" s="46"/>
    </row>
    <row r="324" customFormat="false" ht="15.75" hidden="false" customHeight="true" outlineLevel="0" collapsed="false">
      <c r="A324" s="37" t="str">
        <f aca="false">IFERROR(__xludf.dummyfunction("""COMPUTED_VALUE"""),"Thực chiến Khoa học")</f>
        <v>Thực chiến Khoa học</v>
      </c>
      <c r="B324" s="37" t="str">
        <f aca="false">IFERROR(__xludf.dummyfunction("""COMPUTED_VALUE"""),"TC_V-ACT_KH_06")</f>
        <v>TC_V-ACT_KH_06</v>
      </c>
      <c r="C324" s="59" t="str">
        <f aca="false">IFERROR(__xludf.dummyfunction("""COMPUTED_VALUE"""),"[Bổ trợ]_Chữa bài tập_V-ACT_Tư duy khoa học số 06")</f>
        <v>[Bổ trợ]_Chữa bài tập_V-ACT_Tư duy khoa học số 06</v>
      </c>
      <c r="D324" s="39" t="str">
        <f aca="false">IFERROR(__xludf.dummyfunction("""COMPUTED_VALUE"""),"Lê Thế Anh")</f>
        <v>Lê Thế Anh</v>
      </c>
      <c r="E324" s="40" t="n">
        <f aca="false">IFERROR(__xludf.dummyfunction("""COMPUTED_VALUE"""),46253)</f>
        <v>46253</v>
      </c>
      <c r="F324" s="41" t="n">
        <f aca="false">IFERROR(__xludf.dummyfunction("""COMPUTED_VALUE"""),4)</f>
        <v>4</v>
      </c>
      <c r="G324" s="37" t="str">
        <f aca="false">IFERROR(__xludf.dummyfunction("""COMPUTED_VALUE"""),"19:00-20:00")</f>
        <v>19:00-20:00</v>
      </c>
      <c r="H324" s="37"/>
      <c r="I324" s="37"/>
      <c r="J324" s="42" t="str">
        <f aca="false">IFERROR(__xludf.dummyfunction("""COMPUTED_VALUE"""),"https://drive.google.com/drive/folders/12PshYjHJjjEXRBouSdLjrpnmldFc5Zse?usp=drive_link")</f>
        <v>https://drive.google.com/drive/folders/12PshYjHJjjEXRBouSdLjrpnmldFc5Zse?usp=drive_link</v>
      </c>
      <c r="K324" s="68" t="str">
        <f aca="false">IFERROR(__xludf.dummyfunction("""COMPUTED_VALUE"""),"Trangnth2")</f>
        <v>Trangnth2</v>
      </c>
      <c r="L324" s="68" t="str">
        <f aca="false">IFERROR(__xludf.dummyfunction("""COMPUTED_VALUE"""),"HOCMAI")</f>
        <v>HOCMAI</v>
      </c>
      <c r="M324" s="71"/>
      <c r="N324" s="77" t="str">
        <f aca="false">IFERROR(__xludf.dummyfunction("""COMPUTED_VALUE"""),"3126")</f>
        <v>3126</v>
      </c>
      <c r="O324" s="63" t="n">
        <f aca="false">IFERROR(__xludf.dummyfunction("""COMPUTED_VALUE"""),176083)</f>
        <v>176083</v>
      </c>
      <c r="P324" s="60" t="str">
        <f aca="false">IFERROR(__xludf.dummyfunction("""COMPUTED_VALUE"""),"https://hocmai.vn/bai-giang-truc-tuyen/176083/.html")</f>
        <v>https://hocmai.vn/bai-giang-truc-tuyen/176083/.html</v>
      </c>
      <c r="Q324" s="63"/>
      <c r="R324" s="41"/>
      <c r="S324" s="41"/>
      <c r="T324" s="63"/>
      <c r="U324" s="63"/>
      <c r="V324" s="70" t="n">
        <f aca="false">IFERROR(__xludf.dummyfunction("""COMPUTED_VALUE"""),46256)</f>
        <v>46256</v>
      </c>
      <c r="W324" s="39" t="str">
        <f aca="false">IFERROR(__xludf.dummyfunction("""COMPUTED_VALUE"""),"Hoàn thành TL live")</f>
        <v>Hoàn thành TL live</v>
      </c>
      <c r="X324" s="41" t="str">
        <f aca="false">IFERROR(__xludf.dummyfunction("""COMPUTED_VALUE"""),"Vuta")</f>
        <v>Vuta</v>
      </c>
      <c r="Y324" s="44"/>
      <c r="Z324" s="57"/>
      <c r="AA324" s="57"/>
      <c r="AB324" s="41" t="n">
        <f aca="false">IFERROR(__xludf.dummyfunction("""COMPUTED_VALUE"""),8)</f>
        <v>8</v>
      </c>
      <c r="AC324" s="57" t="str">
        <f aca="false">IFERROR(__xludf.dummyfunction("""COMPUTED_VALUE"""),"ss.vact01@ctv.hocmai.vn")</f>
        <v>ss.vact01@ctv.hocmai.vn</v>
      </c>
      <c r="AD324" s="46"/>
      <c r="AE324" s="46"/>
      <c r="AF324" s="47"/>
      <c r="AG324" s="46"/>
      <c r="AH324" s="53" t="b">
        <f aca="false">IFERROR(__xludf.dummyfunction("""COMPUTED_VALUE"""),FALSE())</f>
        <v>0</v>
      </c>
      <c r="AI324" s="53" t="b">
        <f aca="false">IFERROR(__xludf.dummyfunction("""COMPUTED_VALUE"""),FALSE())</f>
        <v>0</v>
      </c>
      <c r="AJ324" s="53" t="b">
        <f aca="false">IFERROR(__xludf.dummyfunction("""COMPUTED_VALUE"""),FALSE())</f>
        <v>0</v>
      </c>
      <c r="AK324" s="53" t="b">
        <f aca="false">IFERROR(__xludf.dummyfunction("""COMPUTED_VALUE"""),FALSE())</f>
        <v>0</v>
      </c>
      <c r="AL324" s="53" t="b">
        <f aca="false">IFERROR(__xludf.dummyfunction("""COMPUTED_VALUE"""),FALSE())</f>
        <v>0</v>
      </c>
      <c r="AM324" s="53" t="b">
        <f aca="false">IFERROR(__xludf.dummyfunction("""COMPUTED_VALUE"""),TRUE())</f>
        <v>1</v>
      </c>
      <c r="AN324" s="53" t="b">
        <f aca="false">IFERROR(__xludf.dummyfunction("""COMPUTED_VALUE"""),TRUE())</f>
        <v>1</v>
      </c>
      <c r="AO324" s="46"/>
    </row>
    <row r="325" customFormat="false" ht="15.75" hidden="false" customHeight="true" outlineLevel="0" collapsed="false">
      <c r="A325" s="37" t="str">
        <f aca="false">IFERROR(__xludf.dummyfunction("""COMPUTED_VALUE"""),"Vật lí")</f>
        <v>Vật lí</v>
      </c>
      <c r="B325" s="37" t="str">
        <f aca="false">IFERROR(__xludf.dummyfunction("""COMPUTED_VALUE"""),"TOV_TSA_L10")</f>
        <v>TOV_TSA_L10</v>
      </c>
      <c r="C325" s="59" t="str">
        <f aca="false">IFERROR(__xludf.dummyfunction("""COMPUTED_VALUE"""),"Dòng điện và mạch điện – Phân tích và giải mã các mạch điện")</f>
        <v>Dòng điện và mạch điện – Phân tích và giải mã các mạch điện</v>
      </c>
      <c r="D325" s="39" t="str">
        <f aca="false">IFERROR(__xludf.dummyfunction("""COMPUTED_VALUE"""),"Thiều Thị Dung")</f>
        <v>Thiều Thị Dung</v>
      </c>
      <c r="E325" s="40" t="n">
        <f aca="false">IFERROR(__xludf.dummyfunction("""COMPUTED_VALUE"""),46254)</f>
        <v>46254</v>
      </c>
      <c r="F325" s="41" t="n">
        <f aca="false">IFERROR(__xludf.dummyfunction("""COMPUTED_VALUE"""),5)</f>
        <v>5</v>
      </c>
      <c r="G325" s="37" t="str">
        <f aca="false">IFERROR(__xludf.dummyfunction("""COMPUTED_VALUE"""),"21:00-23:00")</f>
        <v>21:00-23:00</v>
      </c>
      <c r="H325" s="37"/>
      <c r="I325" s="37"/>
      <c r="J325" s="37"/>
      <c r="K325" s="68" t="str">
        <f aca="false">IFERROR(__xludf.dummyfunction("""COMPUTED_VALUE"""),"Trangnth2")</f>
        <v>Trangnth2</v>
      </c>
      <c r="L325" s="68" t="str">
        <f aca="false">IFERROR(__xludf.dummyfunction("""COMPUTED_VALUE"""),"Trần Đức Lương")</f>
        <v>Trần Đức Lương</v>
      </c>
      <c r="M325" s="71"/>
      <c r="N325" s="77" t="str">
        <f aca="false">IFERROR(__xludf.dummyfunction("""COMPUTED_VALUE"""),"3110")</f>
        <v>3110</v>
      </c>
      <c r="O325" s="63" t="n">
        <f aca="false">IFERROR(__xludf.dummyfunction("""COMPUTED_VALUE"""),167264)</f>
        <v>167264</v>
      </c>
      <c r="P325" s="63"/>
      <c r="Q325" s="63"/>
      <c r="R325" s="41"/>
      <c r="S325" s="41"/>
      <c r="T325" s="63"/>
      <c r="U325" s="63"/>
      <c r="V325" s="70" t="n">
        <f aca="false">IFERROR(__xludf.dummyfunction("""COMPUTED_VALUE"""),46257)</f>
        <v>46257</v>
      </c>
      <c r="W325" s="39"/>
      <c r="X325" s="41" t="str">
        <f aca="false">IFERROR(__xludf.dummyfunction("""COMPUTED_VALUE"""),"Trangnth2")</f>
        <v>Trangnth2</v>
      </c>
      <c r="Y325" s="44" t="str">
        <f aca="false">IFERROR(__xludf.dummyfunction("""COMPUTED_VALUE"""),"done")</f>
        <v>done</v>
      </c>
      <c r="Z325" s="57" t="str">
        <f aca="false">IFERROR(__xludf.dummyfunction("""COMPUTED_VALUE"""),"#N/A")</f>
        <v>#N/A</v>
      </c>
      <c r="AA325" s="57"/>
      <c r="AB325" s="41" t="n">
        <f aca="false">IFERROR(__xludf.dummyfunction("""COMPUTED_VALUE"""),8)</f>
        <v>8</v>
      </c>
      <c r="AC325" s="57" t="str">
        <f aca="false">IFERROR(__xludf.dummyfunction("""COMPUTED_VALUE"""),"dungtt2@hocmai.vn                ")</f>
        <v>dungtt2@hocmai.vn                </v>
      </c>
      <c r="AD325" s="46" t="str">
        <f aca="false">IFERROR(__xludf.dummyfunction("""COMPUTED_VALUE"""),"ss.hsa01@ctv.hocmai.vn")</f>
        <v>ss.hsa01@ctv.hocmai.vn</v>
      </c>
      <c r="AE325" s="46"/>
      <c r="AF325" s="74" t="b">
        <f aca="false">IFERROR(__xludf.dummyfunction("""COMPUTED_VALUE"""),FALSE())</f>
        <v>0</v>
      </c>
      <c r="AG325" s="46" t="str">
        <f aca="false">IFERROR(__xludf.dummyfunction("""COMPUTED_VALUE"""),"")</f>
        <v/>
      </c>
      <c r="AH325" s="35"/>
      <c r="AI325" s="53" t="b">
        <f aca="false">IFERROR(__xludf.dummyfunction("""COMPUTED_VALUE"""),TRUE())</f>
        <v>1</v>
      </c>
      <c r="AJ325" s="35"/>
      <c r="AK325" s="35"/>
      <c r="AL325" s="35"/>
      <c r="AM325" s="35"/>
      <c r="AN325" s="35"/>
      <c r="AO325" s="46"/>
    </row>
    <row r="326" customFormat="false" ht="15.75" hidden="false" customHeight="true" outlineLevel="0" collapsed="false">
      <c r="A326" s="37" t="str">
        <f aca="false">IFERROR(__xludf.dummyfunction("""COMPUTED_VALUE"""),"Toán")</f>
        <v>Toán</v>
      </c>
      <c r="B326" s="37" t="str">
        <f aca="false">IFERROR(__xludf.dummyfunction("""COMPUTED_VALUE"""),"TOV_HSA_DL10")</f>
        <v>TOV_HSA_DL10</v>
      </c>
      <c r="C326" s="59" t="str">
        <f aca="false">IFERROR(__xludf.dummyfunction("""COMPUTED_VALUE"""),"Bài toán tô màu")</f>
        <v>Bài toán tô màu</v>
      </c>
      <c r="D326" s="39" t="str">
        <f aca="false">IFERROR(__xludf.dummyfunction("""COMPUTED_VALUE"""),"Nguyễn Thanh Tùng")</f>
        <v>Nguyễn Thanh Tùng</v>
      </c>
      <c r="E326" s="40" t="n">
        <f aca="false">IFERROR(__xludf.dummyfunction("""COMPUTED_VALUE"""),46254)</f>
        <v>46254</v>
      </c>
      <c r="F326" s="41" t="n">
        <f aca="false">IFERROR(__xludf.dummyfunction("""COMPUTED_VALUE"""),5)</f>
        <v>5</v>
      </c>
      <c r="G326" s="37" t="str">
        <f aca="false">IFERROR(__xludf.dummyfunction("""COMPUTED_VALUE"""),"18:00-20:00")</f>
        <v>18:00-20:00</v>
      </c>
      <c r="H326" s="37"/>
      <c r="I326" s="37"/>
      <c r="J326" s="37"/>
      <c r="K326" s="68" t="str">
        <f aca="false">IFERROR(__xludf.dummyfunction("""COMPUTED_VALUE"""),"Lent")</f>
        <v>Lent</v>
      </c>
      <c r="L326" s="68" t="str">
        <f aca="false">IFERROR(__xludf.dummyfunction("""COMPUTED_VALUE"""),"Tưởng Thị Huyền Trang")</f>
        <v>Tưởng Thị Huyền Trang</v>
      </c>
      <c r="M326" s="71"/>
      <c r="N326" s="77" t="str">
        <f aca="false">IFERROR(__xludf.dummyfunction("""COMPUTED_VALUE"""),"3117,3315")</f>
        <v>3117,3315</v>
      </c>
      <c r="O326" s="73" t="n">
        <f aca="false">IFERROR(__xludf.dummyfunction("""COMPUTED_VALUE"""),168589.16833)</f>
        <v>168589.16833</v>
      </c>
      <c r="P326" s="63" t="str">
        <f aca="false">IFERROR(__xludf.dummyfunction("""COMPUTED_VALUE"""),"9028,9036,9104,9106")</f>
        <v>9028,9036,9104,9106</v>
      </c>
      <c r="Q326" s="63" t="n">
        <f aca="false">IFERROR(__xludf.dummyfunction("""COMPUTED_VALUE"""),168330)</f>
        <v>168330</v>
      </c>
      <c r="R326" s="41"/>
      <c r="S326" s="41"/>
      <c r="T326" s="63"/>
      <c r="U326" s="63"/>
      <c r="V326" s="70" t="n">
        <f aca="false">IFERROR(__xludf.dummyfunction("""COMPUTED_VALUE"""),46257)</f>
        <v>46257</v>
      </c>
      <c r="W326" s="39"/>
      <c r="X326" s="41" t="str">
        <f aca="false">IFERROR(__xludf.dummyfunction("""COMPUTED_VALUE"""),"Lent")</f>
        <v>Lent</v>
      </c>
      <c r="Y326" s="44" t="str">
        <f aca="false">IFERROR(__xludf.dummyfunction("""COMPUTED_VALUE"""),"done")</f>
        <v>done</v>
      </c>
      <c r="Z326" s="57" t="str">
        <f aca="false">IFERROR(__xludf.dummyfunction("""COMPUTED_VALUE"""),"#N/A")</f>
        <v>#N/A</v>
      </c>
      <c r="AA326" s="57"/>
      <c r="AB326" s="41" t="n">
        <f aca="false">IFERROR(__xludf.dummyfunction("""COMPUTED_VALUE"""),8)</f>
        <v>8</v>
      </c>
      <c r="AC326" s="57" t="str">
        <f aca="false">IFERROR(__xludf.dummyfunction("""COMPUTED_VALUE"""),"gv.tungnt@hocmai.edu.vn ")</f>
        <v>gv.tungnt@hocmai.edu.vn </v>
      </c>
      <c r="AD326" s="46" t="str">
        <f aca="false">IFERROR(__xludf.dummyfunction("""COMPUTED_VALUE"""),"trangcrazy699@gmail.com")</f>
        <v>trangcrazy699@gmail.com</v>
      </c>
      <c r="AE326" s="46"/>
      <c r="AF326" s="47" t="str">
        <f aca="false">IFERROR(__xludf.dummyfunction("""COMPUTED_VALUE"""),"lophoctoan-946254")</f>
        <v>lophoctoan-946254</v>
      </c>
      <c r="AG326" s="46" t="str">
        <f aca="false">IFERROR(__xludf.dummyfunction("""COMPUTED_VALUE"""),"")</f>
        <v/>
      </c>
      <c r="AH326" s="35"/>
      <c r="AI326" s="35"/>
      <c r="AJ326" s="53" t="b">
        <f aca="false">IFERROR(__xludf.dummyfunction("""COMPUTED_VALUE"""),TRUE())</f>
        <v>1</v>
      </c>
      <c r="AK326" s="53" t="b">
        <f aca="false">IFERROR(__xludf.dummyfunction("""COMPUTED_VALUE"""),TRUE())</f>
        <v>1</v>
      </c>
      <c r="AL326" s="35"/>
      <c r="AM326" s="35"/>
      <c r="AN326" s="35"/>
      <c r="AO326" s="46"/>
    </row>
    <row r="327" customFormat="false" ht="15.75" hidden="false" customHeight="true" outlineLevel="0" collapsed="false">
      <c r="A327" s="37" t="str">
        <f aca="false">IFERROR(__xludf.dummyfunction("""COMPUTED_VALUE"""),"Vật lí")</f>
        <v>Vật lí</v>
      </c>
      <c r="B327" s="37" t="str">
        <f aca="false">IFERROR(__xludf.dummyfunction("""COMPUTED_VALUE"""),"TOV_HT_VL10")</f>
        <v>TOV_HT_VL10</v>
      </c>
      <c r="C327" s="59" t="str">
        <f aca="false">IFERROR(__xludf.dummyfunction("""COMPUTED_VALUE"""),"Tổng ôn lớp 10 “Chuyển động – Tương tác – Năng lượng”")</f>
        <v>Tổng ôn lớp 10 “Chuyển động – Tương tác – Năng lượng”</v>
      </c>
      <c r="D327" s="39" t="str">
        <f aca="false">IFERROR(__xludf.dummyfunction("""COMPUTED_VALUE"""),"Nguyễn Hữu Tình")</f>
        <v>Nguyễn Hữu Tình</v>
      </c>
      <c r="E327" s="40" t="n">
        <f aca="false">IFERROR(__xludf.dummyfunction("""COMPUTED_VALUE"""),46254)</f>
        <v>46254</v>
      </c>
      <c r="F327" s="41" t="n">
        <f aca="false">IFERROR(__xludf.dummyfunction("""COMPUTED_VALUE"""),5)</f>
        <v>5</v>
      </c>
      <c r="G327" s="37" t="str">
        <f aca="false">IFERROR(__xludf.dummyfunction("""COMPUTED_VALUE"""),"21:00-23:00")</f>
        <v>21:00-23:00</v>
      </c>
      <c r="H327" s="37"/>
      <c r="I327" s="37"/>
      <c r="J327" s="37"/>
      <c r="K327" s="68" t="str">
        <f aca="false">IFERROR(__xludf.dummyfunction("""COMPUTED_VALUE"""),"Trangnth2")</f>
        <v>Trangnth2</v>
      </c>
      <c r="L327" s="68" t="str">
        <f aca="false">IFERROR(__xludf.dummyfunction("""COMPUTED_VALUE"""),"Kiều Bảo Minh")</f>
        <v>Kiều Bảo Minh</v>
      </c>
      <c r="M327" s="71"/>
      <c r="N327" s="80" t="str">
        <f aca="false">IFERROR(__xludf.dummyfunction("""COMPUTED_VALUE"""),"3119,3130")</f>
        <v>3119,3130</v>
      </c>
      <c r="O327" s="73" t="n">
        <f aca="false">IFERROR(__xludf.dummyfunction("""COMPUTED_VALUE"""),167525.167572)</f>
        <v>167525.167572</v>
      </c>
      <c r="P327" s="63" t="str">
        <f aca="false">IFERROR(__xludf.dummyfunction("""COMPUTED_VALUE"""),"9031,9039,9020")</f>
        <v>9031,9039,9020</v>
      </c>
      <c r="Q327" s="63"/>
      <c r="R327" s="41"/>
      <c r="S327" s="41"/>
      <c r="T327" s="63"/>
      <c r="U327" s="63" t="n">
        <f aca="false">IFERROR(__xludf.dummyfunction("""COMPUTED_VALUE"""),10466)</f>
        <v>10466</v>
      </c>
      <c r="V327" s="70" t="n">
        <f aca="false">IFERROR(__xludf.dummyfunction("""COMPUTED_VALUE"""),46257)</f>
        <v>46257</v>
      </c>
      <c r="W327" s="39"/>
      <c r="X327" s="41" t="str">
        <f aca="false">IFERROR(__xludf.dummyfunction("""COMPUTED_VALUE"""),"Trangnth2")</f>
        <v>Trangnth2</v>
      </c>
      <c r="Y327" s="44"/>
      <c r="Z327" s="57" t="str">
        <f aca="false">IFERROR(__xludf.dummyfunction("""COMPUTED_VALUE"""),"#N/A")</f>
        <v>#N/A</v>
      </c>
      <c r="AA327" s="57"/>
      <c r="AB327" s="41" t="n">
        <f aca="false">IFERROR(__xludf.dummyfunction("""COMPUTED_VALUE"""),8)</f>
        <v>8</v>
      </c>
      <c r="AC327" s="57" t="str">
        <f aca="false">IFERROR(__xludf.dummyfunction("""COMPUTED_VALUE"""),"gv.tinhnh@hocmai.edu.vn ")</f>
        <v>gv.tinhnh@hocmai.edu.vn </v>
      </c>
      <c r="AD327" s="46" t="str">
        <f aca="false">IFERROR(__xludf.dummyfunction("""COMPUTED_VALUE"""),"mkieu2662@gmail.com")</f>
        <v>mkieu2662@gmail.com</v>
      </c>
      <c r="AE327" s="46"/>
      <c r="AF327" s="74" t="b">
        <f aca="false">IFERROR(__xludf.dummyfunction("""COMPUTED_VALUE"""),FALSE())</f>
        <v>0</v>
      </c>
      <c r="AG327" s="46" t="str">
        <f aca="false">IFERROR(__xludf.dummyfunction("""COMPUTED_VALUE"""),"")</f>
        <v/>
      </c>
      <c r="AH327" s="35"/>
      <c r="AI327" s="35"/>
      <c r="AJ327" s="53" t="b">
        <f aca="false">IFERROR(__xludf.dummyfunction("""COMPUTED_VALUE"""),TRUE())</f>
        <v>1</v>
      </c>
      <c r="AK327" s="53" t="b">
        <f aca="false">IFERROR(__xludf.dummyfunction("""COMPUTED_VALUE"""),TRUE())</f>
        <v>1</v>
      </c>
      <c r="AL327" s="53" t="b">
        <f aca="false">IFERROR(__xludf.dummyfunction("""COMPUTED_VALUE"""),TRUE())</f>
        <v>1</v>
      </c>
      <c r="AM327" s="35"/>
      <c r="AN327" s="35"/>
      <c r="AO327" s="46"/>
    </row>
    <row r="328" customFormat="false" ht="15.75" hidden="false" customHeight="true" outlineLevel="0" collapsed="false">
      <c r="A328" s="37" t="str">
        <f aca="false">IFERROR(__xludf.dummyfunction("""COMPUTED_VALUE"""),"Toán")</f>
        <v>Toán</v>
      </c>
      <c r="B328" s="37" t="str">
        <f aca="false">IFERROR(__xludf.dummyfunction("""COMPUTED_VALUE"""),"TOA_V-ACT_T10")</f>
        <v>TOA_V-ACT_T10</v>
      </c>
      <c r="C328" s="59" t="str">
        <f aca="false">IFERROR(__xludf.dummyfunction("""COMPUTED_VALUE"""),"Các bài toán trọng tâm về hàm số (P1)")</f>
        <v>Các bài toán trọng tâm về hàm số (P1)</v>
      </c>
      <c r="D328" s="39" t="str">
        <f aca="false">IFERROR(__xludf.dummyfunction("""COMPUTED_VALUE"""),"Nguyễn Hoài Nam")</f>
        <v>Nguyễn Hoài Nam</v>
      </c>
      <c r="E328" s="40" t="n">
        <f aca="false">IFERROR(__xludf.dummyfunction("""COMPUTED_VALUE"""),46254)</f>
        <v>46254</v>
      </c>
      <c r="F328" s="41" t="n">
        <f aca="false">IFERROR(__xludf.dummyfunction("""COMPUTED_VALUE"""),5)</f>
        <v>5</v>
      </c>
      <c r="G328" s="37" t="str">
        <f aca="false">IFERROR(__xludf.dummyfunction("""COMPUTED_VALUE"""),"21:00-22:30")</f>
        <v>21:00-22:30</v>
      </c>
      <c r="H328" s="37"/>
      <c r="I328" s="37"/>
      <c r="J328" s="37"/>
      <c r="K328" s="68" t="str">
        <f aca="false">IFERROR(__xludf.dummyfunction("""COMPUTED_VALUE"""),"Lent")</f>
        <v>Lent</v>
      </c>
      <c r="L328" s="68" t="str">
        <f aca="false">IFERROR(__xludf.dummyfunction("""COMPUTED_VALUE"""),"Lường Nhật Nam")</f>
        <v>Lường Nhật Nam</v>
      </c>
      <c r="M328" s="71"/>
      <c r="N328" s="77" t="str">
        <f aca="false">IFERROR(__xludf.dummyfunction("""COMPUTED_VALUE"""),"3124,3316")</f>
        <v>3124,3316</v>
      </c>
      <c r="O328" s="73" t="n">
        <f aca="false">IFERROR(__xludf.dummyfunction("""COMPUTED_VALUE"""),167197.166864)</f>
        <v>167197.166864</v>
      </c>
      <c r="P328" s="63" t="n">
        <f aca="false">IFERROR(__xludf.dummyfunction("""COMPUTED_VALUE"""),9044.9108)</f>
        <v>9044.9108</v>
      </c>
      <c r="Q328" s="63" t="n">
        <f aca="false">IFERROR(__xludf.dummyfunction("""COMPUTED_VALUE"""),167197)</f>
        <v>167197</v>
      </c>
      <c r="R328" s="41" t="n">
        <f aca="false">IFERROR(__xludf.dummyfunction("""COMPUTED_VALUE"""),166864)</f>
        <v>166864</v>
      </c>
      <c r="S328" s="41"/>
      <c r="T328" s="63"/>
      <c r="U328" s="63"/>
      <c r="V328" s="70" t="n">
        <f aca="false">IFERROR(__xludf.dummyfunction("""COMPUTED_VALUE"""),46257)</f>
        <v>46257</v>
      </c>
      <c r="W328" s="39"/>
      <c r="X328" s="41" t="str">
        <f aca="false">IFERROR(__xludf.dummyfunction("""COMPUTED_VALUE"""),"Lent")</f>
        <v>Lent</v>
      </c>
      <c r="Y328" s="44" t="str">
        <f aca="false">IFERROR(__xludf.dummyfunction("""COMPUTED_VALUE"""),"done")</f>
        <v>done</v>
      </c>
      <c r="Z328" s="57" t="str">
        <f aca="false">IFERROR(__xludf.dummyfunction("""COMPUTED_VALUE"""),"#N/A")</f>
        <v>#N/A</v>
      </c>
      <c r="AA328" s="57"/>
      <c r="AB328" s="41" t="n">
        <f aca="false">IFERROR(__xludf.dummyfunction("""COMPUTED_VALUE"""),8)</f>
        <v>8</v>
      </c>
      <c r="AC328" s="57" t="str">
        <f aca="false">IFERROR(__xludf.dummyfunction("""COMPUTED_VALUE"""),"gv.namnh@hocmai.edu.vn ")</f>
        <v>gv.namnh@hocmai.edu.vn </v>
      </c>
      <c r="AD328" s="46" t="str">
        <f aca="false">IFERROR(__xludf.dummyfunction("""COMPUTED_VALUE"""),"nhatnam1092@gmail.com")</f>
        <v>nhatnam1092@gmail.com</v>
      </c>
      <c r="AE328" s="46"/>
      <c r="AF328" s="47" t="str">
        <f aca="false">IFERROR(__xludf.dummyfunction("""COMPUTED_VALUE"""),"lophoctoan-946254")</f>
        <v>lophoctoan-946254</v>
      </c>
      <c r="AG328" s="46" t="str">
        <f aca="false">IFERROR(__xludf.dummyfunction("""COMPUTED_VALUE"""),"")</f>
        <v/>
      </c>
      <c r="AH328" s="35"/>
      <c r="AI328" s="35"/>
      <c r="AJ328" s="35"/>
      <c r="AK328" s="35"/>
      <c r="AL328" s="35"/>
      <c r="AM328" s="53" t="b">
        <f aca="false">IFERROR(__xludf.dummyfunction("""COMPUTED_VALUE"""),TRUE())</f>
        <v>1</v>
      </c>
      <c r="AN328" s="53" t="b">
        <f aca="false">IFERROR(__xludf.dummyfunction("""COMPUTED_VALUE"""),TRUE())</f>
        <v>1</v>
      </c>
      <c r="AO328" s="46"/>
    </row>
    <row r="329" customFormat="false" ht="15.75" hidden="false" customHeight="true" outlineLevel="0" collapsed="false">
      <c r="A329" s="37" t="str">
        <f aca="false">IFERROR(__xludf.dummyfunction("""COMPUTED_VALUE"""),"Tiếng Anh")</f>
        <v>Tiếng Anh</v>
      </c>
      <c r="B329" s="37" t="str">
        <f aca="false">IFERROR(__xludf.dummyfunction("""COMPUTED_VALUE"""),"TOV_TNTHPT_TA01")</f>
        <v>TOV_TNTHPT_TA01</v>
      </c>
      <c r="C329" s="59" t="str">
        <f aca="false">IFERROR(__xludf.dummyfunction("""COMPUTED_VALUE"""),"Tổng ôn ngữ pháp từ loại (danh từ - tính từ - trạng từ)")</f>
        <v>Tổng ôn ngữ pháp từ loại (danh từ - tính từ - trạng từ)</v>
      </c>
      <c r="D329" s="39" t="str">
        <f aca="false">IFERROR(__xludf.dummyfunction("""COMPUTED_VALUE"""),"Nguyễn Trung Nguyên")</f>
        <v>Nguyễn Trung Nguyên</v>
      </c>
      <c r="E329" s="40" t="n">
        <f aca="false">IFERROR(__xludf.dummyfunction("""COMPUTED_VALUE"""),46254)</f>
        <v>46254</v>
      </c>
      <c r="F329" s="41" t="n">
        <f aca="false">IFERROR(__xludf.dummyfunction("""COMPUTED_VALUE"""),5)</f>
        <v>5</v>
      </c>
      <c r="G329" s="37" t="str">
        <f aca="false">IFERROR(__xludf.dummyfunction("""COMPUTED_VALUE"""),"18:00-20:00")</f>
        <v>18:00-20:00</v>
      </c>
      <c r="H329" s="37"/>
      <c r="I329" s="37"/>
      <c r="J329" s="37"/>
      <c r="K329" s="68" t="str">
        <f aca="false">IFERROR(__xludf.dummyfunction("""COMPUTED_VALUE"""),"huyennn2")</f>
        <v>huyennn2</v>
      </c>
      <c r="L329" s="68" t="str">
        <f aca="false">IFERROR(__xludf.dummyfunction("""COMPUTED_VALUE"""),"Phan Đức Kiên")</f>
        <v>Phan Đức Kiên</v>
      </c>
      <c r="M329" s="71"/>
      <c r="N329" s="77" t="str">
        <f aca="false">IFERROR(__xludf.dummyfunction("""COMPUTED_VALUE"""),"3129")</f>
        <v>3129</v>
      </c>
      <c r="O329" s="63" t="n">
        <f aca="false">IFERROR(__xludf.dummyfunction("""COMPUTED_VALUE"""),167653)</f>
        <v>167653</v>
      </c>
      <c r="P329" s="63"/>
      <c r="Q329" s="63"/>
      <c r="R329" s="41"/>
      <c r="S329" s="41"/>
      <c r="T329" s="63"/>
      <c r="U329" s="63"/>
      <c r="V329" s="70" t="n">
        <f aca="false">IFERROR(__xludf.dummyfunction("""COMPUTED_VALUE"""),46257)</f>
        <v>46257</v>
      </c>
      <c r="W329" s="39"/>
      <c r="X329" s="41" t="str">
        <f aca="false">IFERROR(__xludf.dummyfunction("""COMPUTED_VALUE"""),"lytt")</f>
        <v>lytt</v>
      </c>
      <c r="Y329" s="44"/>
      <c r="Z329" s="57" t="str">
        <f aca="false">IFERROR(__xludf.dummyfunction("""COMPUTED_VALUE"""),"#N/A")</f>
        <v>#N/A</v>
      </c>
      <c r="AA329" s="57"/>
      <c r="AB329" s="41" t="n">
        <f aca="false">IFERROR(__xludf.dummyfunction("""COMPUTED_VALUE"""),8)</f>
        <v>8</v>
      </c>
      <c r="AC329" s="57" t="str">
        <f aca="false">IFERROR(__xludf.dummyfunction("""COMPUTED_VALUE"""),"gv.nguyennt@hocmai.edu.vn ")</f>
        <v>gv.nguyennt@hocmai.edu.vn </v>
      </c>
      <c r="AD329" s="46" t="str">
        <f aca="false">IFERROR(__xludf.dummyfunction("""COMPUTED_VALUE"""),"duckien010607@gmail.com")</f>
        <v>duckien010607@gmail.com</v>
      </c>
      <c r="AE329" s="46"/>
      <c r="AF329" s="47" t="str">
        <f aca="false">IFERROR(__xludf.dummyfunction("""COMPUTED_VALUE"""),"lophoctienganh46254")</f>
        <v>lophoctienganh46254</v>
      </c>
      <c r="AG329" s="46" t="str">
        <f aca="false">IFERROR(__xludf.dummyfunction("""COMPUTED_VALUE"""),"")</f>
        <v/>
      </c>
      <c r="AH329" s="35"/>
      <c r="AI329" s="35"/>
      <c r="AJ329" s="35"/>
      <c r="AK329" s="35"/>
      <c r="AL329" s="53" t="b">
        <f aca="false">IFERROR(__xludf.dummyfunction("""COMPUTED_VALUE"""),TRUE())</f>
        <v>1</v>
      </c>
      <c r="AM329" s="35"/>
      <c r="AN329" s="35"/>
      <c r="AO329" s="46"/>
    </row>
    <row r="330" customFormat="false" ht="15.75" hidden="false" customHeight="true" outlineLevel="0" collapsed="false">
      <c r="A330" s="37" t="str">
        <f aca="false">IFERROR(__xludf.dummyfunction("""COMPUTED_VALUE"""),"Thực chiến Khoa học")</f>
        <v>Thực chiến Khoa học</v>
      </c>
      <c r="B330" s="37" t="str">
        <f aca="false">IFERROR(__xludf.dummyfunction("""COMPUTED_VALUE"""),"TC_TSA_KH_20")</f>
        <v>TC_TSA_KH_20</v>
      </c>
      <c r="C330" s="59" t="str">
        <f aca="false">IFERROR(__xludf.dummyfunction("""COMPUTED_VALUE"""),"[Bổ trợ]_Chữa bài tập TSA_Tư duy Khoa học số 20")</f>
        <v>[Bổ trợ]_Chữa bài tập TSA_Tư duy Khoa học số 20</v>
      </c>
      <c r="D330" s="39" t="str">
        <f aca="false">IFERROR(__xludf.dummyfunction("""COMPUTED_VALUE"""),"Phạm Huy Hoàng")</f>
        <v>Phạm Huy Hoàng</v>
      </c>
      <c r="E330" s="40" t="n">
        <f aca="false">IFERROR(__xludf.dummyfunction("""COMPUTED_VALUE"""),46254)</f>
        <v>46254</v>
      </c>
      <c r="F330" s="41" t="n">
        <f aca="false">IFERROR(__xludf.dummyfunction("""COMPUTED_VALUE"""),5)</f>
        <v>5</v>
      </c>
      <c r="G330" s="37" t="str">
        <f aca="false">IFERROR(__xludf.dummyfunction("""COMPUTED_VALUE"""),"19:00-20:00")</f>
        <v>19:00-20:00</v>
      </c>
      <c r="H330" s="37"/>
      <c r="I330" s="37"/>
      <c r="J330" s="37"/>
      <c r="K330" s="68" t="str">
        <f aca="false">IFERROR(__xludf.dummyfunction("""COMPUTED_VALUE"""),"Trangnth2")</f>
        <v>Trangnth2</v>
      </c>
      <c r="L330" s="68" t="str">
        <f aca="false">IFERROR(__xludf.dummyfunction("""COMPUTED_VALUE"""),"HOCMAI")</f>
        <v>HOCMAI</v>
      </c>
      <c r="M330" s="71"/>
      <c r="N330" s="77" t="str">
        <f aca="false">IFERROR(__xludf.dummyfunction("""COMPUTED_VALUE"""),"3110")</f>
        <v>3110</v>
      </c>
      <c r="O330" s="63" t="n">
        <f aca="false">IFERROR(__xludf.dummyfunction("""COMPUTED_VALUE"""),176073)</f>
        <v>176073</v>
      </c>
      <c r="P330" s="60" t="str">
        <f aca="false">IFERROR(__xludf.dummyfunction("""COMPUTED_VALUE"""),"https://hocmai.vn/bai-giang-truc-tuyen/176073/.html")</f>
        <v>https://hocmai.vn/bai-giang-truc-tuyen/176073/.html</v>
      </c>
      <c r="Q330" s="63"/>
      <c r="R330" s="41"/>
      <c r="S330" s="41"/>
      <c r="T330" s="63"/>
      <c r="U330" s="63"/>
      <c r="V330" s="70" t="n">
        <f aca="false">IFERROR(__xludf.dummyfunction("""COMPUTED_VALUE"""),46257)</f>
        <v>46257</v>
      </c>
      <c r="W330" s="39"/>
      <c r="X330" s="41" t="str">
        <f aca="false">IFERROR(__xludf.dummyfunction("""COMPUTED_VALUE"""),"Vuta")</f>
        <v>Vuta</v>
      </c>
      <c r="Y330" s="44"/>
      <c r="Z330" s="57"/>
      <c r="AA330" s="57"/>
      <c r="AB330" s="41" t="n">
        <f aca="false">IFERROR(__xludf.dummyfunction("""COMPUTED_VALUE"""),8)</f>
        <v>8</v>
      </c>
      <c r="AC330" s="57" t="str">
        <f aca="false">IFERROR(__xludf.dummyfunction("""COMPUTED_VALUE"""),"0376611308")</f>
        <v>0376611308</v>
      </c>
      <c r="AD330" s="46"/>
      <c r="AE330" s="46"/>
      <c r="AF330" s="47"/>
      <c r="AG330" s="46"/>
      <c r="AH330" s="53" t="b">
        <f aca="false">IFERROR(__xludf.dummyfunction("""COMPUTED_VALUE"""),FALSE())</f>
        <v>0</v>
      </c>
      <c r="AI330" s="53" t="b">
        <f aca="false">IFERROR(__xludf.dummyfunction("""COMPUTED_VALUE"""),TRUE())</f>
        <v>1</v>
      </c>
      <c r="AJ330" s="53" t="b">
        <f aca="false">IFERROR(__xludf.dummyfunction("""COMPUTED_VALUE"""),FALSE())</f>
        <v>0</v>
      </c>
      <c r="AK330" s="53" t="b">
        <f aca="false">IFERROR(__xludf.dummyfunction("""COMPUTED_VALUE"""),FALSE())</f>
        <v>0</v>
      </c>
      <c r="AL330" s="53" t="b">
        <f aca="false">IFERROR(__xludf.dummyfunction("""COMPUTED_VALUE"""),FALSE())</f>
        <v>0</v>
      </c>
      <c r="AM330" s="53" t="b">
        <f aca="false">IFERROR(__xludf.dummyfunction("""COMPUTED_VALUE"""),FALSE())</f>
        <v>0</v>
      </c>
      <c r="AN330" s="53" t="b">
        <f aca="false">IFERROR(__xludf.dummyfunction("""COMPUTED_VALUE"""),FALSE())</f>
        <v>0</v>
      </c>
      <c r="AO330" s="46"/>
    </row>
    <row r="331" customFormat="false" ht="15.75" hidden="false" customHeight="true" outlineLevel="0" collapsed="false">
      <c r="A331" s="37" t="str">
        <f aca="false">IFERROR(__xludf.dummyfunction("""COMPUTED_VALUE"""),"Toán")</f>
        <v>Toán</v>
      </c>
      <c r="B331" s="37" t="str">
        <f aca="false">IFERROR(__xludf.dummyfunction("""COMPUTED_VALUE"""),"TOV_TSA_T10")</f>
        <v>TOV_TSA_T10</v>
      </c>
      <c r="C331" s="59" t="str">
        <f aca="false">IFERROR(__xludf.dummyfunction("""COMPUTED_VALUE"""),"Bài toán tô màu")</f>
        <v>Bài toán tô màu</v>
      </c>
      <c r="D331" s="39" t="str">
        <f aca="false">IFERROR(__xludf.dummyfunction("""COMPUTED_VALUE"""),"Nguyễn Thanh Tùng")</f>
        <v>Nguyễn Thanh Tùng</v>
      </c>
      <c r="E331" s="40" t="n">
        <f aca="false">IFERROR(__xludf.dummyfunction("""COMPUTED_VALUE"""),46255)</f>
        <v>46255</v>
      </c>
      <c r="F331" s="41" t="n">
        <f aca="false">IFERROR(__xludf.dummyfunction("""COMPUTED_VALUE"""),6)</f>
        <v>6</v>
      </c>
      <c r="G331" s="37" t="str">
        <f aca="false">IFERROR(__xludf.dummyfunction("""COMPUTED_VALUE"""),"18:00-20:00")</f>
        <v>18:00-20:00</v>
      </c>
      <c r="H331" s="37"/>
      <c r="I331" s="37"/>
      <c r="J331" s="37"/>
      <c r="K331" s="68" t="str">
        <f aca="false">IFERROR(__xludf.dummyfunction("""COMPUTED_VALUE"""),"Locdd")</f>
        <v>Locdd</v>
      </c>
      <c r="L331" s="68" t="str">
        <f aca="false">IFERROR(__xludf.dummyfunction("""COMPUTED_VALUE"""),"Tưởng Thị Huyền Trang")</f>
        <v>Tưởng Thị Huyền Trang</v>
      </c>
      <c r="M331" s="71"/>
      <c r="N331" s="77" t="str">
        <f aca="false">IFERROR(__xludf.dummyfunction("""COMPUTED_VALUE"""),"3108")</f>
        <v>3108</v>
      </c>
      <c r="O331" s="63" t="n">
        <f aca="false">IFERROR(__xludf.dummyfunction("""COMPUTED_VALUE"""),168374)</f>
        <v>168374</v>
      </c>
      <c r="P331" s="63"/>
      <c r="Q331" s="63"/>
      <c r="R331" s="41"/>
      <c r="S331" s="41"/>
      <c r="T331" s="63"/>
      <c r="U331" s="63"/>
      <c r="V331" s="70" t="n">
        <f aca="false">IFERROR(__xludf.dummyfunction("""COMPUTED_VALUE"""),46258)</f>
        <v>46258</v>
      </c>
      <c r="W331" s="39"/>
      <c r="X331" s="41" t="str">
        <f aca="false">IFERROR(__xludf.dummyfunction("""COMPUTED_VALUE"""),"Locdd")</f>
        <v>Locdd</v>
      </c>
      <c r="Y331" s="44" t="str">
        <f aca="false">IFERROR(__xludf.dummyfunction("""COMPUTED_VALUE"""),"done")</f>
        <v>done</v>
      </c>
      <c r="Z331" s="57" t="str">
        <f aca="false">IFERROR(__xludf.dummyfunction("""COMPUTED_VALUE"""),"#N/A")</f>
        <v>#N/A</v>
      </c>
      <c r="AA331" s="57"/>
      <c r="AB331" s="41" t="n">
        <f aca="false">IFERROR(__xludf.dummyfunction("""COMPUTED_VALUE"""),8)</f>
        <v>8</v>
      </c>
      <c r="AC331" s="57" t="str">
        <f aca="false">IFERROR(__xludf.dummyfunction("""COMPUTED_VALUE"""),"gv.tungnt@hocmai.edu.vn ")</f>
        <v>gv.tungnt@hocmai.edu.vn </v>
      </c>
      <c r="AD331" s="46" t="str">
        <f aca="false">IFERROR(__xludf.dummyfunction("""COMPUTED_VALUE"""),"trangcrazy699@gmail.com")</f>
        <v>trangcrazy699@gmail.com</v>
      </c>
      <c r="AE331" s="46"/>
      <c r="AF331" s="47" t="str">
        <f aca="false">IFERROR(__xludf.dummyfunction("""COMPUTED_VALUE"""),"lophoctoan-946255")</f>
        <v>lophoctoan-946255</v>
      </c>
      <c r="AG331" s="46" t="str">
        <f aca="false">IFERROR(__xludf.dummyfunction("""COMPUTED_VALUE"""),"")</f>
        <v/>
      </c>
      <c r="AH331" s="35"/>
      <c r="AI331" s="53" t="b">
        <f aca="false">IFERROR(__xludf.dummyfunction("""COMPUTED_VALUE"""),TRUE())</f>
        <v>1</v>
      </c>
      <c r="AJ331" s="35"/>
      <c r="AK331" s="35"/>
      <c r="AL331" s="35"/>
      <c r="AM331" s="35"/>
      <c r="AN331" s="35"/>
      <c r="AO331" s="46"/>
    </row>
    <row r="332" customFormat="false" ht="15.75" hidden="false" customHeight="true" outlineLevel="0" collapsed="false">
      <c r="A332" s="37" t="str">
        <f aca="false">IFERROR(__xludf.dummyfunction("""COMPUTED_VALUE"""),"Sinh học")</f>
        <v>Sinh học</v>
      </c>
      <c r="B332" s="37" t="str">
        <f aca="false">IFERROR(__xludf.dummyfunction("""COMPUTED_VALUE"""),"TOV_HT_SH10")</f>
        <v>TOV_HT_SH10</v>
      </c>
      <c r="C332" s="59" t="str">
        <f aca="false">IFERROR(__xludf.dummyfunction("""COMPUTED_VALUE"""),"Tổng ôn Lớp 10: Tế bào – Vi sinh – Công nghệ")</f>
        <v>Tổng ôn Lớp 10: Tế bào – Vi sinh – Công nghệ</v>
      </c>
      <c r="D332" s="39" t="str">
        <f aca="false">IFERROR(__xludf.dummyfunction("""COMPUTED_VALUE"""),"Nguyễn Dương Ánh Hồng")</f>
        <v>Nguyễn Dương Ánh Hồng</v>
      </c>
      <c r="E332" s="40" t="n">
        <f aca="false">IFERROR(__xludf.dummyfunction("""COMPUTED_VALUE"""),46255)</f>
        <v>46255</v>
      </c>
      <c r="F332" s="41" t="n">
        <f aca="false">IFERROR(__xludf.dummyfunction("""COMPUTED_VALUE"""),6)</f>
        <v>6</v>
      </c>
      <c r="G332" s="37" t="str">
        <f aca="false">IFERROR(__xludf.dummyfunction("""COMPUTED_VALUE"""),"19:30-21:30")</f>
        <v>19:30-21:30</v>
      </c>
      <c r="H332" s="37"/>
      <c r="I332" s="37"/>
      <c r="J332" s="37"/>
      <c r="K332" s="68" t="str">
        <f aca="false">IFERROR(__xludf.dummyfunction("""COMPUTED_VALUE"""),"Phuongdt")</f>
        <v>Phuongdt</v>
      </c>
      <c r="L332" s="68" t="str">
        <f aca="false">IFERROR(__xludf.dummyfunction("""COMPUTED_VALUE"""),"Phan Đức Kiên")</f>
        <v>Phan Đức Kiên</v>
      </c>
      <c r="M332" s="71"/>
      <c r="N332" s="77" t="str">
        <f aca="false">IFERROR(__xludf.dummyfunction("""COMPUTED_VALUE"""),"3121,3132")</f>
        <v>3121,3132</v>
      </c>
      <c r="O332" s="73" t="n">
        <f aca="false">IFERROR(__xludf.dummyfunction("""COMPUTED_VALUE"""),167327.167341)</f>
        <v>167327.167341</v>
      </c>
      <c r="P332" s="63" t="str">
        <f aca="false">IFERROR(__xludf.dummyfunction("""COMPUTED_VALUE"""),"9033,9041,9022")</f>
        <v>9033,9041,9022</v>
      </c>
      <c r="Q332" s="63"/>
      <c r="R332" s="41"/>
      <c r="S332" s="41"/>
      <c r="T332" s="63" t="n">
        <f aca="false">IFERROR(__xludf.dummyfunction("""COMPUTED_VALUE"""),23841)</f>
        <v>23841</v>
      </c>
      <c r="U332" s="63"/>
      <c r="V332" s="70" t="n">
        <f aca="false">IFERROR(__xludf.dummyfunction("""COMPUTED_VALUE"""),46258)</f>
        <v>46258</v>
      </c>
      <c r="W332" s="39"/>
      <c r="X332" s="41" t="str">
        <f aca="false">IFERROR(__xludf.dummyfunction("""COMPUTED_VALUE"""),"Phuongdt")</f>
        <v>Phuongdt</v>
      </c>
      <c r="Y332" s="44"/>
      <c r="Z332" s="57" t="str">
        <f aca="false">IFERROR(__xludf.dummyfunction("""COMPUTED_VALUE"""),"#N/A")</f>
        <v>#N/A</v>
      </c>
      <c r="AA332" s="57"/>
      <c r="AB332" s="41" t="n">
        <f aca="false">IFERROR(__xludf.dummyfunction("""COMPUTED_VALUE"""),8)</f>
        <v>8</v>
      </c>
      <c r="AC332" s="57" t="str">
        <f aca="false">IFERROR(__xludf.dummyfunction("""COMPUTED_VALUE"""),"gv.hongnda@hocmai.edu.vn ")</f>
        <v>gv.hongnda@hocmai.edu.vn </v>
      </c>
      <c r="AD332" s="46" t="str">
        <f aca="false">IFERROR(__xludf.dummyfunction("""COMPUTED_VALUE"""),"duckien010607@gmail.com")</f>
        <v>duckien010607@gmail.com</v>
      </c>
      <c r="AE332" s="46"/>
      <c r="AF332" s="74" t="b">
        <f aca="false">IFERROR(__xludf.dummyfunction("""COMPUTED_VALUE"""),FALSE())</f>
        <v>0</v>
      </c>
      <c r="AG332" s="46" t="str">
        <f aca="false">IFERROR(__xludf.dummyfunction("""COMPUTED_VALUE"""),"")</f>
        <v/>
      </c>
      <c r="AH332" s="35"/>
      <c r="AI332" s="35"/>
      <c r="AJ332" s="53" t="b">
        <f aca="false">IFERROR(__xludf.dummyfunction("""COMPUTED_VALUE"""),TRUE())</f>
        <v>1</v>
      </c>
      <c r="AK332" s="53" t="b">
        <f aca="false">IFERROR(__xludf.dummyfunction("""COMPUTED_VALUE"""),TRUE())</f>
        <v>1</v>
      </c>
      <c r="AL332" s="53" t="b">
        <f aca="false">IFERROR(__xludf.dummyfunction("""COMPUTED_VALUE"""),TRUE())</f>
        <v>1</v>
      </c>
      <c r="AM332" s="35"/>
      <c r="AN332" s="35"/>
      <c r="AO332" s="46"/>
    </row>
    <row r="333" customFormat="false" ht="15.75" hidden="false" customHeight="true" outlineLevel="0" collapsed="false">
      <c r="A333" s="37" t="str">
        <f aca="false">IFERROR(__xludf.dummyfunction("""COMPUTED_VALUE"""),"Lịch sử")</f>
        <v>Lịch sử</v>
      </c>
      <c r="B333" s="37" t="str">
        <f aca="false">IFERROR(__xludf.dummyfunction("""COMPUTED_VALUE"""),"TOV_HSA_LS08")</f>
        <v>TOV_HSA_LS08</v>
      </c>
      <c r="C333" s="59" t="str">
        <f aca="false">IFERROR(__xludf.dummyfunction("""COMPUTED_VALUE"""),"Chiến tranh bảo vệ Tổ quốc và chiến tranh giải phóng dân tộc trong lịch sử Việt Nam (trước Cách mạng tháng Tám năm 1945)")</f>
        <v>Chiến tranh bảo vệ Tổ quốc và chiến tranh giải phóng dân tộc trong lịch sử Việt Nam (trước Cách mạng tháng Tám năm 1945)</v>
      </c>
      <c r="D333" s="39" t="str">
        <f aca="false">IFERROR(__xludf.dummyfunction("""COMPUTED_VALUE"""),"Dương Thị Huyền")</f>
        <v>Dương Thị Huyền</v>
      </c>
      <c r="E333" s="40" t="n">
        <f aca="false">IFERROR(__xludf.dummyfunction("""COMPUTED_VALUE"""),46255)</f>
        <v>46255</v>
      </c>
      <c r="F333" s="41" t="n">
        <f aca="false">IFERROR(__xludf.dummyfunction("""COMPUTED_VALUE"""),6)</f>
        <v>6</v>
      </c>
      <c r="G333" s="37" t="str">
        <f aca="false">IFERROR(__xludf.dummyfunction("""COMPUTED_VALUE"""),"21:30-23:30")</f>
        <v>21:30-23:30</v>
      </c>
      <c r="H333" s="37"/>
      <c r="I333" s="37"/>
      <c r="J333" s="37"/>
      <c r="K333" s="68" t="str">
        <f aca="false">IFERROR(__xludf.dummyfunction("""COMPUTED_VALUE"""),"Trinhntt")</f>
        <v>Trinhntt</v>
      </c>
      <c r="L333" s="68" t="str">
        <f aca="false">IFERROR(__xludf.dummyfunction("""COMPUTED_VALUE"""),"Phan Đức Kiên")</f>
        <v>Phan Đức Kiên</v>
      </c>
      <c r="M333" s="71"/>
      <c r="N333" s="77" t="str">
        <f aca="false">IFERROR(__xludf.dummyfunction("""COMPUTED_VALUE"""),"3122")</f>
        <v>3122</v>
      </c>
      <c r="O333" s="63" t="n">
        <f aca="false">IFERROR(__xludf.dummyfunction("""COMPUTED_VALUE"""),174735)</f>
        <v>174735</v>
      </c>
      <c r="P333" s="63"/>
      <c r="Q333" s="63"/>
      <c r="R333" s="41"/>
      <c r="S333" s="41"/>
      <c r="T333" s="63"/>
      <c r="U333" s="63"/>
      <c r="V333" s="70" t="n">
        <f aca="false">IFERROR(__xludf.dummyfunction("""COMPUTED_VALUE"""),46258)</f>
        <v>46258</v>
      </c>
      <c r="W333" s="39"/>
      <c r="X333" s="41" t="str">
        <f aca="false">IFERROR(__xludf.dummyfunction("""COMPUTED_VALUE"""),"Huent7")</f>
        <v>Huent7</v>
      </c>
      <c r="Y333" s="44"/>
      <c r="Z333" s="57" t="str">
        <f aca="false">IFERROR(__xludf.dummyfunction("""COMPUTED_VALUE"""),"#N/A")</f>
        <v>#N/A</v>
      </c>
      <c r="AA333" s="57"/>
      <c r="AB333" s="41"/>
      <c r="AC333" s="57" t="str">
        <f aca="false">IFERROR(__xludf.dummyfunction("""COMPUTED_VALUE"""),"gv.huyendt2@hocmai.edu.vn")</f>
        <v>gv.huyendt2@hocmai.edu.vn</v>
      </c>
      <c r="AD333" s="46" t="str">
        <f aca="false">IFERROR(__xludf.dummyfunction("""COMPUTED_VALUE"""),"duckien010607@gmail.com")</f>
        <v>duckien010607@gmail.com</v>
      </c>
      <c r="AE333" s="46"/>
      <c r="AF333" s="74" t="b">
        <f aca="false">IFERROR(__xludf.dummyfunction("""COMPUTED_VALUE"""),FALSE())</f>
        <v>0</v>
      </c>
      <c r="AG333" s="46" t="str">
        <f aca="false">IFERROR(__xludf.dummyfunction("""COMPUTED_VALUE"""),"")</f>
        <v/>
      </c>
      <c r="AH333" s="35"/>
      <c r="AI333" s="35"/>
      <c r="AJ333" s="53" t="b">
        <f aca="false">IFERROR(__xludf.dummyfunction("""COMPUTED_VALUE"""),TRUE())</f>
        <v>1</v>
      </c>
      <c r="AK333" s="53" t="b">
        <f aca="false">IFERROR(__xludf.dummyfunction("""COMPUTED_VALUE"""),TRUE())</f>
        <v>1</v>
      </c>
      <c r="AL333" s="35"/>
      <c r="AM333" s="35"/>
      <c r="AN333" s="35"/>
      <c r="AO333" s="46"/>
    </row>
    <row r="334" customFormat="false" ht="15.75" hidden="false" customHeight="true" outlineLevel="0" collapsed="false">
      <c r="A334" s="37" t="str">
        <f aca="false">IFERROR(__xludf.dummyfunction("""COMPUTED_VALUE"""),"Thực chiến Toán")</f>
        <v>Thực chiến Toán</v>
      </c>
      <c r="B334" s="39" t="str">
        <f aca="false">IFERROR(__xludf.dummyfunction("""COMPUTED_VALUE"""),"TC_V-ACT_T_16")</f>
        <v>TC_V-ACT_T_16</v>
      </c>
      <c r="C334" s="39" t="str">
        <f aca="false">IFERROR(__xludf.dummyfunction("""COMPUTED_VALUE"""),"[Bổ trợ]_Chữa bài tập_V-ACT_Toán số 16")</f>
        <v>[Bổ trợ]_Chữa bài tập_V-ACT_Toán số 16</v>
      </c>
      <c r="D334" s="39" t="str">
        <f aca="false">IFERROR(__xludf.dummyfunction("""COMPUTED_VALUE"""),"Lê Thế Anh")</f>
        <v>Lê Thế Anh</v>
      </c>
      <c r="E334" s="40" t="n">
        <f aca="false">IFERROR(__xludf.dummyfunction("""COMPUTED_VALUE"""),46255)</f>
        <v>46255</v>
      </c>
      <c r="F334" s="41" t="n">
        <f aca="false">IFERROR(__xludf.dummyfunction("""COMPUTED_VALUE"""),6)</f>
        <v>6</v>
      </c>
      <c r="G334" s="37" t="str">
        <f aca="false">IFERROR(__xludf.dummyfunction("""COMPUTED_VALUE"""),"18:45-19:45")</f>
        <v>18:45-19:45</v>
      </c>
      <c r="H334" s="37"/>
      <c r="I334" s="37"/>
      <c r="J334" s="37"/>
      <c r="K334" s="68" t="str">
        <f aca="false">IFERROR(__xludf.dummyfunction("""COMPUTED_VALUE"""),"lent")</f>
        <v>lent</v>
      </c>
      <c r="L334" s="68" t="str">
        <f aca="false">IFERROR(__xludf.dummyfunction("""COMPUTED_VALUE"""),"HOCMAI")</f>
        <v>HOCMAI</v>
      </c>
      <c r="M334" s="71"/>
      <c r="N334" s="77" t="str">
        <f aca="false">IFERROR(__xludf.dummyfunction("""COMPUTED_VALUE"""),"3124")</f>
        <v>3124</v>
      </c>
      <c r="O334" s="63" t="n">
        <f aca="false">IFERROR(__xludf.dummyfunction("""COMPUTED_VALUE"""),176093)</f>
        <v>176093</v>
      </c>
      <c r="P334" s="60" t="str">
        <f aca="false">IFERROR(__xludf.dummyfunction("""COMPUTED_VALUE"""),"https://hocmai.vn/bai-giang-truc-tuyen/176093/.html")</f>
        <v>https://hocmai.vn/bai-giang-truc-tuyen/176093/.html</v>
      </c>
      <c r="Q334" s="63"/>
      <c r="R334" s="41"/>
      <c r="S334" s="41"/>
      <c r="T334" s="63"/>
      <c r="U334" s="63"/>
      <c r="V334" s="70" t="n">
        <f aca="false">IFERROR(__xludf.dummyfunction("""COMPUTED_VALUE"""),46258)</f>
        <v>46258</v>
      </c>
      <c r="W334" s="39"/>
      <c r="X334" s="41" t="str">
        <f aca="false">IFERROR(__xludf.dummyfunction("""COMPUTED_VALUE"""),"Vuta")</f>
        <v>Vuta</v>
      </c>
      <c r="Y334" s="44"/>
      <c r="Z334" s="57"/>
      <c r="AA334" s="57"/>
      <c r="AB334" s="41" t="n">
        <f aca="false">IFERROR(__xludf.dummyfunction("""COMPUTED_VALUE"""),8)</f>
        <v>8</v>
      </c>
      <c r="AC334" s="57" t="str">
        <f aca="false">IFERROR(__xludf.dummyfunction("""COMPUTED_VALUE"""),"ss.vact01@ctv.hocmai.vn")</f>
        <v>ss.vact01@ctv.hocmai.vn</v>
      </c>
      <c r="AD334" s="46"/>
      <c r="AE334" s="46"/>
      <c r="AF334" s="47"/>
      <c r="AG334" s="46"/>
      <c r="AH334" s="53" t="b">
        <f aca="false">IFERROR(__xludf.dummyfunction("""COMPUTED_VALUE"""),FALSE())</f>
        <v>0</v>
      </c>
      <c r="AI334" s="53" t="b">
        <f aca="false">IFERROR(__xludf.dummyfunction("""COMPUTED_VALUE"""),FALSE())</f>
        <v>0</v>
      </c>
      <c r="AJ334" s="53" t="b">
        <f aca="false">IFERROR(__xludf.dummyfunction("""COMPUTED_VALUE"""),FALSE())</f>
        <v>0</v>
      </c>
      <c r="AK334" s="53" t="b">
        <f aca="false">IFERROR(__xludf.dummyfunction("""COMPUTED_VALUE"""),FALSE())</f>
        <v>0</v>
      </c>
      <c r="AL334" s="53" t="b">
        <f aca="false">IFERROR(__xludf.dummyfunction("""COMPUTED_VALUE"""),FALSE())</f>
        <v>0</v>
      </c>
      <c r="AM334" s="53" t="b">
        <f aca="false">IFERROR(__xludf.dummyfunction("""COMPUTED_VALUE"""),TRUE())</f>
        <v>1</v>
      </c>
      <c r="AN334" s="53" t="b">
        <f aca="false">IFERROR(__xludf.dummyfunction("""COMPUTED_VALUE"""),TRUE())</f>
        <v>1</v>
      </c>
      <c r="AO334" s="46"/>
    </row>
    <row r="335" customFormat="false" ht="15.75" hidden="false" customHeight="true" outlineLevel="0" collapsed="false">
      <c r="A335" s="37" t="str">
        <f aca="false">IFERROR(__xludf.dummyfunction("""COMPUTED_VALUE"""),"Thực chiến Tiếng Anh")</f>
        <v>Thực chiến Tiếng Anh</v>
      </c>
      <c r="B335" s="37" t="str">
        <f aca="false">IFERROR(__xludf.dummyfunction("""COMPUTED_VALUE"""),"TC_V-ACT_TA_13")</f>
        <v>TC_V-ACT_TA_13</v>
      </c>
      <c r="C335" s="59" t="str">
        <f aca="false">IFERROR(__xludf.dummyfunction("""COMPUTED_VALUE"""),"[Bổ trợ]_Chữa bài tập_V-ACT_Tiếng Anh số 13")</f>
        <v>[Bổ trợ]_Chữa bài tập_V-ACT_Tiếng Anh số 13</v>
      </c>
      <c r="D335" s="39" t="str">
        <f aca="false">IFERROR(__xludf.dummyfunction("""COMPUTED_VALUE"""),"Dung Thành Vinh")</f>
        <v>Dung Thành Vinh</v>
      </c>
      <c r="E335" s="40" t="n">
        <f aca="false">IFERROR(__xludf.dummyfunction("""COMPUTED_VALUE"""),46255)</f>
        <v>46255</v>
      </c>
      <c r="F335" s="41" t="n">
        <f aca="false">IFERROR(__xludf.dummyfunction("""COMPUTED_VALUE"""),6)</f>
        <v>6</v>
      </c>
      <c r="G335" s="37" t="str">
        <f aca="false">IFERROR(__xludf.dummyfunction("""COMPUTED_VALUE"""),"20:00-21:00")</f>
        <v>20:00-21:00</v>
      </c>
      <c r="H335" s="37"/>
      <c r="I335" s="37"/>
      <c r="J335" s="37"/>
      <c r="K335" s="68" t="str">
        <f aca="false">IFERROR(__xludf.dummyfunction("""COMPUTED_VALUE"""),"Huyenn2")</f>
        <v>Huyenn2</v>
      </c>
      <c r="L335" s="68" t="str">
        <f aca="false">IFERROR(__xludf.dummyfunction("""COMPUTED_VALUE"""),"HOCMAI")</f>
        <v>HOCMAI</v>
      </c>
      <c r="M335" s="71"/>
      <c r="N335" s="77" t="str">
        <f aca="false">IFERROR(__xludf.dummyfunction("""COMPUTED_VALUE"""),"3165")</f>
        <v>3165</v>
      </c>
      <c r="O335" s="63" t="n">
        <f aca="false">IFERROR(__xludf.dummyfunction("""COMPUTED_VALUE"""),176106)</f>
        <v>176106</v>
      </c>
      <c r="P335" s="60" t="str">
        <f aca="false">IFERROR(__xludf.dummyfunction("""COMPUTED_VALUE"""),"https://hocmai.vn/bai-giang-truc-tuyen/176106/.html")</f>
        <v>https://hocmai.vn/bai-giang-truc-tuyen/176106/.html</v>
      </c>
      <c r="Q335" s="63"/>
      <c r="R335" s="41"/>
      <c r="S335" s="41"/>
      <c r="T335" s="63"/>
      <c r="U335" s="63"/>
      <c r="V335" s="70" t="n">
        <f aca="false">IFERROR(__xludf.dummyfunction("""COMPUTED_VALUE"""),46258)</f>
        <v>46258</v>
      </c>
      <c r="W335" s="39"/>
      <c r="X335" s="41" t="str">
        <f aca="false">IFERROR(__xludf.dummyfunction("""COMPUTED_VALUE"""),"Vuta")</f>
        <v>Vuta</v>
      </c>
      <c r="Y335" s="44"/>
      <c r="Z335" s="57"/>
      <c r="AA335" s="57"/>
      <c r="AB335" s="41" t="n">
        <f aca="false">IFERROR(__xludf.dummyfunction("""COMPUTED_VALUE"""),8)</f>
        <v>8</v>
      </c>
      <c r="AC335" s="57" t="str">
        <f aca="false">IFERROR(__xludf.dummyfunction("""COMPUTED_VALUE"""),"shimlim04@gmail.com")</f>
        <v>shimlim04@gmail.com</v>
      </c>
      <c r="AD335" s="46"/>
      <c r="AE335" s="46"/>
      <c r="AF335" s="47"/>
      <c r="AG335" s="46"/>
      <c r="AH335" s="53" t="b">
        <f aca="false">IFERROR(__xludf.dummyfunction("""COMPUTED_VALUE"""),FALSE())</f>
        <v>0</v>
      </c>
      <c r="AI335" s="53" t="b">
        <f aca="false">IFERROR(__xludf.dummyfunction("""COMPUTED_VALUE"""),FALSE())</f>
        <v>0</v>
      </c>
      <c r="AJ335" s="53" t="b">
        <f aca="false">IFERROR(__xludf.dummyfunction("""COMPUTED_VALUE"""),FALSE())</f>
        <v>0</v>
      </c>
      <c r="AK335" s="53" t="b">
        <f aca="false">IFERROR(__xludf.dummyfunction("""COMPUTED_VALUE"""),FALSE())</f>
        <v>0</v>
      </c>
      <c r="AL335" s="53" t="b">
        <f aca="false">IFERROR(__xludf.dummyfunction("""COMPUTED_VALUE"""),FALSE())</f>
        <v>0</v>
      </c>
      <c r="AM335" s="53" t="b">
        <f aca="false">IFERROR(__xludf.dummyfunction("""COMPUTED_VALUE"""),TRUE())</f>
        <v>1</v>
      </c>
      <c r="AN335" s="53" t="b">
        <f aca="false">IFERROR(__xludf.dummyfunction("""COMPUTED_VALUE"""),TRUE())</f>
        <v>1</v>
      </c>
      <c r="AO335" s="46"/>
    </row>
    <row r="336" customFormat="false" ht="15.75" hidden="false" customHeight="true" outlineLevel="0" collapsed="false">
      <c r="A336" s="37" t="str">
        <f aca="false">IFERROR(__xludf.dummyfunction("""COMPUTED_VALUE"""),"Sinh học")</f>
        <v>Sinh học</v>
      </c>
      <c r="B336" s="37" t="str">
        <f aca="false">IFERROR(__xludf.dummyfunction("""COMPUTED_VALUE"""),"TOV_TSA_S05")</f>
        <v>TOV_TSA_S05</v>
      </c>
      <c r="C336" s="59" t="str">
        <f aca="false">IFERROR(__xludf.dummyfunction("""COMPUTED_VALUE"""),"Trao đổi chất và chuyển hóa năng lượng ở động vật")</f>
        <v>Trao đổi chất và chuyển hóa năng lượng ở động vật</v>
      </c>
      <c r="D336" s="39" t="str">
        <f aca="false">IFERROR(__xludf.dummyfunction("""COMPUTED_VALUE"""),"Vũ Khắc Ngọc")</f>
        <v>Vũ Khắc Ngọc</v>
      </c>
      <c r="E336" s="40" t="n">
        <f aca="false">IFERROR(__xludf.dummyfunction("""COMPUTED_VALUE"""),46256)</f>
        <v>46256</v>
      </c>
      <c r="F336" s="41" t="n">
        <f aca="false">IFERROR(__xludf.dummyfunction("""COMPUTED_VALUE"""),7)</f>
        <v>7</v>
      </c>
      <c r="G336" s="37" t="str">
        <f aca="false">IFERROR(__xludf.dummyfunction("""COMPUTED_VALUE"""),"21:30-23:30")</f>
        <v>21:30-23:30</v>
      </c>
      <c r="H336" s="37"/>
      <c r="I336" s="37"/>
      <c r="J336" s="37"/>
      <c r="K336" s="68" t="str">
        <f aca="false">IFERROR(__xludf.dummyfunction("""COMPUTED_VALUE"""),"Phuongdt")</f>
        <v>Phuongdt</v>
      </c>
      <c r="L336" s="68" t="str">
        <f aca="false">IFERROR(__xludf.dummyfunction("""COMPUTED_VALUE"""),"Bùi Vĩnh Thọ")</f>
        <v>Bùi Vĩnh Thọ</v>
      </c>
      <c r="M336" s="71"/>
      <c r="N336" s="77" t="str">
        <f aca="false">IFERROR(__xludf.dummyfunction("""COMPUTED_VALUE"""),"3110")</f>
        <v>3110</v>
      </c>
      <c r="O336" s="63" t="n">
        <f aca="false">IFERROR(__xludf.dummyfunction("""COMPUTED_VALUE"""),167265)</f>
        <v>167265</v>
      </c>
      <c r="P336" s="63"/>
      <c r="Q336" s="63"/>
      <c r="R336" s="41"/>
      <c r="S336" s="41"/>
      <c r="T336" s="63" t="n">
        <f aca="false">IFERROR(__xludf.dummyfunction("""COMPUTED_VALUE"""),23676)</f>
        <v>23676</v>
      </c>
      <c r="U336" s="63" t="n">
        <f aca="false">IFERROR(__xludf.dummyfunction("""COMPUTED_VALUE"""),10615)</f>
        <v>10615</v>
      </c>
      <c r="V336" s="70" t="n">
        <f aca="false">IFERROR(__xludf.dummyfunction("""COMPUTED_VALUE"""),46259)</f>
        <v>46259</v>
      </c>
      <c r="W336" s="39"/>
      <c r="X336" s="41" t="str">
        <f aca="false">IFERROR(__xludf.dummyfunction("""COMPUTED_VALUE"""),"Phuongdt")</f>
        <v>Phuongdt</v>
      </c>
      <c r="Y336" s="44" t="str">
        <f aca="false">IFERROR(__xludf.dummyfunction("""COMPUTED_VALUE"""),"done")</f>
        <v>done</v>
      </c>
      <c r="Z336" s="57" t="str">
        <f aca="false">IFERROR(__xludf.dummyfunction("""COMPUTED_VALUE"""),"#N/A")</f>
        <v>#N/A</v>
      </c>
      <c r="AA336" s="57"/>
      <c r="AB336" s="41" t="n">
        <f aca="false">IFERROR(__xludf.dummyfunction("""COMPUTED_VALUE"""),8)</f>
        <v>8</v>
      </c>
      <c r="AC336" s="57" t="str">
        <f aca="false">IFERROR(__xludf.dummyfunction("""COMPUTED_VALUE"""),"gv.ngocvk@hocmai.edu.vn")</f>
        <v>gv.ngocvk@hocmai.edu.vn</v>
      </c>
      <c r="AD336" s="46" t="str">
        <f aca="false">IFERROR(__xludf.dummyfunction("""COMPUTED_VALUE"""),"vinhtho0704@gmail.com")</f>
        <v>vinhtho0704@gmail.com</v>
      </c>
      <c r="AE336" s="46"/>
      <c r="AF336" s="74" t="b">
        <f aca="false">IFERROR(__xludf.dummyfunction("""COMPUTED_VALUE"""),FALSE())</f>
        <v>0</v>
      </c>
      <c r="AG336" s="46" t="str">
        <f aca="false">IFERROR(__xludf.dummyfunction("""COMPUTED_VALUE"""),"")</f>
        <v/>
      </c>
      <c r="AH336" s="35"/>
      <c r="AI336" s="53" t="b">
        <f aca="false">IFERROR(__xludf.dummyfunction("""COMPUTED_VALUE"""),TRUE())</f>
        <v>1</v>
      </c>
      <c r="AJ336" s="35"/>
      <c r="AK336" s="35"/>
      <c r="AL336" s="35"/>
      <c r="AM336" s="35"/>
      <c r="AN336" s="35"/>
      <c r="AO336" s="46"/>
    </row>
    <row r="337" customFormat="false" ht="15.75" hidden="false" customHeight="true" outlineLevel="0" collapsed="false">
      <c r="A337" s="37" t="str">
        <f aca="false">IFERROR(__xludf.dummyfunction("""COMPUTED_VALUE"""),"Khoa học")</f>
        <v>Khoa học</v>
      </c>
      <c r="B337" s="37" t="str">
        <f aca="false">IFERROR(__xludf.dummyfunction("""COMPUTED_VALUE"""),"TOS_V-ACT_KH10")</f>
        <v>TOS_V-ACT_KH10</v>
      </c>
      <c r="C337" s="59" t="str">
        <f aca="false">IFERROR(__xludf.dummyfunction("""COMPUTED_VALUE"""),"Thực hành xây dựng công thức, quy luật mới từ dữ kiện bài đọc (P2).")</f>
        <v>Thực hành xây dựng công thức, quy luật mới từ dữ kiện bài đọc (P2).</v>
      </c>
      <c r="D337" s="39" t="str">
        <f aca="false">IFERROR(__xludf.dummyfunction("""COMPUTED_VALUE"""),"Lê Văn Minh")</f>
        <v>Lê Văn Minh</v>
      </c>
      <c r="E337" s="40" t="n">
        <f aca="false">IFERROR(__xludf.dummyfunction("""COMPUTED_VALUE"""),46256)</f>
        <v>46256</v>
      </c>
      <c r="F337" s="41" t="n">
        <f aca="false">IFERROR(__xludf.dummyfunction("""COMPUTED_VALUE"""),7)</f>
        <v>7</v>
      </c>
      <c r="G337" s="37" t="str">
        <f aca="false">IFERROR(__xludf.dummyfunction("""COMPUTED_VALUE"""),"20:30-22:00")</f>
        <v>20:30-22:00</v>
      </c>
      <c r="H337" s="37"/>
      <c r="I337" s="37"/>
      <c r="J337" s="37"/>
      <c r="K337" s="68" t="str">
        <f aca="false">IFERROR(__xludf.dummyfunction("""COMPUTED_VALUE"""),"Kimnq")</f>
        <v>Kimnq</v>
      </c>
      <c r="L337" s="68" t="str">
        <f aca="false">IFERROR(__xludf.dummyfunction("""COMPUTED_VALUE"""),"Lê Quốc Việt")</f>
        <v>Lê Quốc Việt</v>
      </c>
      <c r="M337" s="71"/>
      <c r="N337" s="77" t="str">
        <f aca="false">IFERROR(__xludf.dummyfunction("""COMPUTED_VALUE"""),"3340,3126")</f>
        <v>3340,3126</v>
      </c>
      <c r="O337" s="73" t="n">
        <f aca="false">IFERROR(__xludf.dummyfunction("""COMPUTED_VALUE"""),167501.167388)</f>
        <v>167501.167388</v>
      </c>
      <c r="P337" s="63"/>
      <c r="Q337" s="63"/>
      <c r="R337" s="41"/>
      <c r="S337" s="41"/>
      <c r="T337" s="63"/>
      <c r="U337" s="63"/>
      <c r="V337" s="70" t="n">
        <f aca="false">IFERROR(__xludf.dummyfunction("""COMPUTED_VALUE"""),46259)</f>
        <v>46259</v>
      </c>
      <c r="W337" s="39"/>
      <c r="X337" s="41" t="str">
        <f aca="false">IFERROR(__xludf.dummyfunction("""COMPUTED_VALUE"""),"Kimnq")</f>
        <v>Kimnq</v>
      </c>
      <c r="Y337" s="44" t="str">
        <f aca="false">IFERROR(__xludf.dummyfunction("""COMPUTED_VALUE"""),"done")</f>
        <v>done</v>
      </c>
      <c r="Z337" s="57" t="str">
        <f aca="false">IFERROR(__xludf.dummyfunction("""COMPUTED_VALUE"""),"#N/A")</f>
        <v>#N/A</v>
      </c>
      <c r="AA337" s="57"/>
      <c r="AB337" s="41" t="n">
        <f aca="false">IFERROR(__xludf.dummyfunction("""COMPUTED_VALUE"""),8)</f>
        <v>8</v>
      </c>
      <c r="AC337" s="57" t="str">
        <f aca="false">IFERROR(__xludf.dummyfunction("""COMPUTED_VALUE"""),"gv.minhlv@hocmai.edu.vn		")</f>
        <v>gv.minhlv@hocmai.edu.vn		</v>
      </c>
      <c r="AD337" s="46" t="str">
        <f aca="false">IFERROR(__xludf.dummyfunction("""COMPUTED_VALUE"""),"Ralph02091@gmail.com")</f>
        <v>Ralph02091@gmail.com</v>
      </c>
      <c r="AE337" s="46"/>
      <c r="AF337" s="47" t="str">
        <f aca="false">IFERROR(__xludf.dummyfunction("""COMPUTED_VALUE"""),"lophoctoan-946256")</f>
        <v>lophoctoan-946256</v>
      </c>
      <c r="AG337" s="46" t="str">
        <f aca="false">IFERROR(__xludf.dummyfunction("""COMPUTED_VALUE"""),"")</f>
        <v/>
      </c>
      <c r="AH337" s="35"/>
      <c r="AI337" s="35"/>
      <c r="AJ337" s="35"/>
      <c r="AK337" s="35"/>
      <c r="AL337" s="35"/>
      <c r="AM337" s="53" t="b">
        <f aca="false">IFERROR(__xludf.dummyfunction("""COMPUTED_VALUE"""),TRUE())</f>
        <v>1</v>
      </c>
      <c r="AN337" s="53" t="b">
        <f aca="false">IFERROR(__xludf.dummyfunction("""COMPUTED_VALUE"""),TRUE())</f>
        <v>1</v>
      </c>
      <c r="AO337" s="46"/>
    </row>
    <row r="338" customFormat="false" ht="15.75" hidden="false" customHeight="true" outlineLevel="0" collapsed="false">
      <c r="A338" s="37" t="str">
        <f aca="false">IFERROR(__xludf.dummyfunction("""COMPUTED_VALUE"""),"Thực chiến Khoa học")</f>
        <v>Thực chiến Khoa học</v>
      </c>
      <c r="B338" s="37" t="str">
        <f aca="false">IFERROR(__xludf.dummyfunction("""COMPUTED_VALUE"""),"TC_TSA_KH_21")</f>
        <v>TC_TSA_KH_21</v>
      </c>
      <c r="C338" s="59" t="str">
        <f aca="false">IFERROR(__xludf.dummyfunction("""COMPUTED_VALUE"""),"[Bổ trợ]_Chữa bài tập TSA_Tư duy Khoa học số 21")</f>
        <v>[Bổ trợ]_Chữa bài tập TSA_Tư duy Khoa học số 21</v>
      </c>
      <c r="D338" s="39" t="str">
        <f aca="false">IFERROR(__xludf.dummyfunction("""COMPUTED_VALUE"""),"Nguyễn Trọng Trường Anh")</f>
        <v>Nguyễn Trọng Trường Anh</v>
      </c>
      <c r="E338" s="40" t="n">
        <f aca="false">IFERROR(__xludf.dummyfunction("""COMPUTED_VALUE"""),46256)</f>
        <v>46256</v>
      </c>
      <c r="F338" s="41" t="n">
        <f aca="false">IFERROR(__xludf.dummyfunction("""COMPUTED_VALUE"""),7)</f>
        <v>7</v>
      </c>
      <c r="G338" s="37" t="str">
        <f aca="false">IFERROR(__xludf.dummyfunction("""COMPUTED_VALUE"""),"19:00-20:00")</f>
        <v>19:00-20:00</v>
      </c>
      <c r="H338" s="37"/>
      <c r="I338" s="37"/>
      <c r="J338" s="37"/>
      <c r="K338" s="68" t="str">
        <f aca="false">IFERROR(__xludf.dummyfunction("""COMPUTED_VALUE"""),"Trangnth2")</f>
        <v>Trangnth2</v>
      </c>
      <c r="L338" s="68" t="str">
        <f aca="false">IFERROR(__xludf.dummyfunction("""COMPUTED_VALUE"""),"HOCMAI")</f>
        <v>HOCMAI</v>
      </c>
      <c r="M338" s="71"/>
      <c r="N338" s="77" t="str">
        <f aca="false">IFERROR(__xludf.dummyfunction("""COMPUTED_VALUE"""),"3110")</f>
        <v>3110</v>
      </c>
      <c r="O338" s="63" t="n">
        <f aca="false">IFERROR(__xludf.dummyfunction("""COMPUTED_VALUE"""),176074)</f>
        <v>176074</v>
      </c>
      <c r="P338" s="60" t="str">
        <f aca="false">IFERROR(__xludf.dummyfunction("""COMPUTED_VALUE"""),"https://hocmai.vn/bai-giang-truc-tuyen/176074/.html")</f>
        <v>https://hocmai.vn/bai-giang-truc-tuyen/176074/.html</v>
      </c>
      <c r="Q338" s="63"/>
      <c r="R338" s="41"/>
      <c r="S338" s="41"/>
      <c r="T338" s="63"/>
      <c r="U338" s="63"/>
      <c r="V338" s="70" t="n">
        <f aca="false">IFERROR(__xludf.dummyfunction("""COMPUTED_VALUE"""),46259)</f>
        <v>46259</v>
      </c>
      <c r="W338" s="39"/>
      <c r="X338" s="41" t="str">
        <f aca="false">IFERROR(__xludf.dummyfunction("""COMPUTED_VALUE"""),"Vuta")</f>
        <v>Vuta</v>
      </c>
      <c r="Y338" s="44"/>
      <c r="Z338" s="57"/>
      <c r="AA338" s="57"/>
      <c r="AB338" s="41" t="n">
        <f aca="false">IFERROR(__xludf.dummyfunction("""COMPUTED_VALUE"""),8)</f>
        <v>8</v>
      </c>
      <c r="AC338" s="57" t="str">
        <f aca="false">IFERROR(__xludf.dummyfunction("""COMPUTED_VALUE"""),"thochi1981@gmail.com")</f>
        <v>thochi1981@gmail.com</v>
      </c>
      <c r="AD338" s="46"/>
      <c r="AE338" s="46"/>
      <c r="AF338" s="47"/>
      <c r="AG338" s="46"/>
      <c r="AH338" s="53" t="b">
        <f aca="false">IFERROR(__xludf.dummyfunction("""COMPUTED_VALUE"""),FALSE())</f>
        <v>0</v>
      </c>
      <c r="AI338" s="53" t="b">
        <f aca="false">IFERROR(__xludf.dummyfunction("""COMPUTED_VALUE"""),TRUE())</f>
        <v>1</v>
      </c>
      <c r="AJ338" s="53" t="b">
        <f aca="false">IFERROR(__xludf.dummyfunction("""COMPUTED_VALUE"""),FALSE())</f>
        <v>0</v>
      </c>
      <c r="AK338" s="53" t="b">
        <f aca="false">IFERROR(__xludf.dummyfunction("""COMPUTED_VALUE"""),FALSE())</f>
        <v>0</v>
      </c>
      <c r="AL338" s="53" t="b">
        <f aca="false">IFERROR(__xludf.dummyfunction("""COMPUTED_VALUE"""),FALSE())</f>
        <v>0</v>
      </c>
      <c r="AM338" s="53" t="b">
        <f aca="false">IFERROR(__xludf.dummyfunction("""COMPUTED_VALUE"""),FALSE())</f>
        <v>0</v>
      </c>
      <c r="AN338" s="53" t="b">
        <f aca="false">IFERROR(__xludf.dummyfunction("""COMPUTED_VALUE"""),FALSE())</f>
        <v>0</v>
      </c>
      <c r="AO338" s="46"/>
    </row>
    <row r="339" customFormat="false" ht="15.75" hidden="false" customHeight="true" outlineLevel="0" collapsed="false">
      <c r="A339" s="37" t="str">
        <f aca="false">IFERROR(__xludf.dummyfunction("""COMPUTED_VALUE"""),"Thực chiến Định lượng")</f>
        <v>Thực chiến Định lượng</v>
      </c>
      <c r="B339" s="37" t="str">
        <f aca="false">IFERROR(__xludf.dummyfunction("""COMPUTED_VALUE"""),"TC_HSA_ĐL_16")</f>
        <v>TC_HSA_ĐL_16</v>
      </c>
      <c r="C339" s="59" t="str">
        <f aca="false">IFERROR(__xludf.dummyfunction("""COMPUTED_VALUE"""),"[Bổ trợ]_Chữa bài tập _Tư duy Định lượng số 16")</f>
        <v>[Bổ trợ]_Chữa bài tập _Tư duy Định lượng số 16</v>
      </c>
      <c r="D339" s="39" t="str">
        <f aca="false">IFERROR(__xludf.dummyfunction("""COMPUTED_VALUE"""),"Vi Vũ Trí Đức")</f>
        <v>Vi Vũ Trí Đức</v>
      </c>
      <c r="E339" s="40" t="n">
        <f aca="false">IFERROR(__xludf.dummyfunction("""COMPUTED_VALUE"""),46256)</f>
        <v>46256</v>
      </c>
      <c r="F339" s="41" t="n">
        <f aca="false">IFERROR(__xludf.dummyfunction("""COMPUTED_VALUE"""),7)</f>
        <v>7</v>
      </c>
      <c r="G339" s="37" t="str">
        <f aca="false">IFERROR(__xludf.dummyfunction("""COMPUTED_VALUE"""),"21:00-22:00")</f>
        <v>21:00-22:00</v>
      </c>
      <c r="H339" s="37"/>
      <c r="I339" s="37"/>
      <c r="J339" s="37"/>
      <c r="K339" s="68" t="str">
        <f aca="false">IFERROR(__xludf.dummyfunction("""COMPUTED_VALUE"""),"Locdd")</f>
        <v>Locdd</v>
      </c>
      <c r="L339" s="68" t="str">
        <f aca="false">IFERROR(__xludf.dummyfunction("""COMPUTED_VALUE"""),"HOCMAI")</f>
        <v>HOCMAI</v>
      </c>
      <c r="M339" s="71"/>
      <c r="N339" s="77" t="str">
        <f aca="false">IFERROR(__xludf.dummyfunction("""COMPUTED_VALUE"""),"3117")</f>
        <v>3117</v>
      </c>
      <c r="O339" s="63" t="n">
        <f aca="false">IFERROR(__xludf.dummyfunction("""COMPUTED_VALUE"""),176129)</f>
        <v>176129</v>
      </c>
      <c r="P339" s="60" t="str">
        <f aca="false">IFERROR(__xludf.dummyfunction("""COMPUTED_VALUE"""),"https://hocmai.vn/bai-giang-truc-tuyen/176129/.html")</f>
        <v>https://hocmai.vn/bai-giang-truc-tuyen/176129/.html</v>
      </c>
      <c r="Q339" s="63"/>
      <c r="R339" s="41"/>
      <c r="S339" s="41"/>
      <c r="T339" s="63"/>
      <c r="U339" s="63"/>
      <c r="V339" s="70" t="n">
        <f aca="false">IFERROR(__xludf.dummyfunction("""COMPUTED_VALUE"""),46259)</f>
        <v>46259</v>
      </c>
      <c r="W339" s="39"/>
      <c r="X339" s="41" t="str">
        <f aca="false">IFERROR(__xludf.dummyfunction("""COMPUTED_VALUE"""),"Vuta")</f>
        <v>Vuta</v>
      </c>
      <c r="Y339" s="44"/>
      <c r="Z339" s="57"/>
      <c r="AA339" s="57"/>
      <c r="AB339" s="41" t="n">
        <f aca="false">IFERROR(__xludf.dummyfunction("""COMPUTED_VALUE"""),8)</f>
        <v>8</v>
      </c>
      <c r="AC339" s="57" t="str">
        <f aca="false">IFERROR(__xludf.dummyfunction("""COMPUTED_VALUE"""),"tdstawesome@gmail.com")</f>
        <v>tdstawesome@gmail.com</v>
      </c>
      <c r="AD339" s="46"/>
      <c r="AE339" s="46"/>
      <c r="AF339" s="47"/>
      <c r="AG339" s="46"/>
      <c r="AH339" s="53" t="b">
        <f aca="false">IFERROR(__xludf.dummyfunction("""COMPUTED_VALUE"""),FALSE())</f>
        <v>0</v>
      </c>
      <c r="AI339" s="53" t="b">
        <f aca="false">IFERROR(__xludf.dummyfunction("""COMPUTED_VALUE"""),FALSE())</f>
        <v>0</v>
      </c>
      <c r="AJ339" s="53" t="b">
        <f aca="false">IFERROR(__xludf.dummyfunction("""COMPUTED_VALUE"""),TRUE())</f>
        <v>1</v>
      </c>
      <c r="AK339" s="53" t="b">
        <f aca="false">IFERROR(__xludf.dummyfunction("""COMPUTED_VALUE"""),TRUE())</f>
        <v>1</v>
      </c>
      <c r="AL339" s="53" t="b">
        <f aca="false">IFERROR(__xludf.dummyfunction("""COMPUTED_VALUE"""),FALSE())</f>
        <v>0</v>
      </c>
      <c r="AM339" s="53" t="b">
        <f aca="false">IFERROR(__xludf.dummyfunction("""COMPUTED_VALUE"""),FALSE())</f>
        <v>0</v>
      </c>
      <c r="AN339" s="53" t="b">
        <f aca="false">IFERROR(__xludf.dummyfunction("""COMPUTED_VALUE"""),FALSE())</f>
        <v>0</v>
      </c>
      <c r="AO339" s="46"/>
    </row>
    <row r="340" customFormat="false" ht="15.75" hidden="false" customHeight="true" outlineLevel="0" collapsed="false">
      <c r="A340" s="37" t="str">
        <f aca="false">IFERROR(__xludf.dummyfunction("""COMPUTED_VALUE"""),"Thực chiến Tiếng Việt")</f>
        <v>Thực chiến Tiếng Việt</v>
      </c>
      <c r="B340" s="37" t="str">
        <f aca="false">IFERROR(__xludf.dummyfunction("""COMPUTED_VALUE"""),"TC_V-ACT_TV_12")</f>
        <v>TC_V-ACT_TV_12</v>
      </c>
      <c r="C340" s="59" t="str">
        <f aca="false">IFERROR(__xludf.dummyfunction("""COMPUTED_VALUE"""),"[Bổ trợ]_Chữa bài tập_V-ACT_Tiếng Việt số 12")</f>
        <v>[Bổ trợ]_Chữa bài tập_V-ACT_Tiếng Việt số 12</v>
      </c>
      <c r="D340" s="39" t="str">
        <f aca="false">IFERROR(__xludf.dummyfunction("""COMPUTED_VALUE"""),"Nguyễn Thị Khánh Ly")</f>
        <v>Nguyễn Thị Khánh Ly</v>
      </c>
      <c r="E340" s="40" t="n">
        <f aca="false">IFERROR(__xludf.dummyfunction("""COMPUTED_VALUE"""),46256)</f>
        <v>46256</v>
      </c>
      <c r="F340" s="41" t="n">
        <f aca="false">IFERROR(__xludf.dummyfunction("""COMPUTED_VALUE"""),7)</f>
        <v>7</v>
      </c>
      <c r="G340" s="37" t="str">
        <f aca="false">IFERROR(__xludf.dummyfunction("""COMPUTED_VALUE"""),"19:00-20:00")</f>
        <v>19:00-20:00</v>
      </c>
      <c r="H340" s="37"/>
      <c r="I340" s="37"/>
      <c r="J340" s="37"/>
      <c r="K340" s="68" t="str">
        <f aca="false">IFERROR(__xludf.dummyfunction("""COMPUTED_VALUE"""),"Hoantt")</f>
        <v>Hoantt</v>
      </c>
      <c r="L340" s="68" t="str">
        <f aca="false">IFERROR(__xludf.dummyfunction("""COMPUTED_VALUE"""),"HOCMAI")</f>
        <v>HOCMAI</v>
      </c>
      <c r="M340" s="71"/>
      <c r="N340" s="77" t="str">
        <f aca="false">IFERROR(__xludf.dummyfunction("""COMPUTED_VALUE"""),"3125")</f>
        <v>3125</v>
      </c>
      <c r="O340" s="63" t="n">
        <f aca="false">IFERROR(__xludf.dummyfunction("""COMPUTED_VALUE"""),176117)</f>
        <v>176117</v>
      </c>
      <c r="P340" s="60" t="str">
        <f aca="false">IFERROR(__xludf.dummyfunction("""COMPUTED_VALUE"""),"https://hocmai.vn/bai-giang-truc-tuyen/176117/.html")</f>
        <v>https://hocmai.vn/bai-giang-truc-tuyen/176117/.html</v>
      </c>
      <c r="Q340" s="63"/>
      <c r="R340" s="41"/>
      <c r="S340" s="41"/>
      <c r="T340" s="63"/>
      <c r="U340" s="63"/>
      <c r="V340" s="70" t="n">
        <f aca="false">IFERROR(__xludf.dummyfunction("""COMPUTED_VALUE"""),46259)</f>
        <v>46259</v>
      </c>
      <c r="W340" s="39"/>
      <c r="X340" s="41" t="str">
        <f aca="false">IFERROR(__xludf.dummyfunction("""COMPUTED_VALUE"""),"Vuta")</f>
        <v>Vuta</v>
      </c>
      <c r="Y340" s="44"/>
      <c r="Z340" s="57"/>
      <c r="AA340" s="57"/>
      <c r="AB340" s="41" t="n">
        <f aca="false">IFERROR(__xludf.dummyfunction("""COMPUTED_VALUE"""),8)</f>
        <v>8</v>
      </c>
      <c r="AC340" s="57" t="str">
        <f aca="false">IFERROR(__xludf.dummyfunction("""COMPUTED_VALUE"""),"khanhly16092003@gmail.com")</f>
        <v>khanhly16092003@gmail.com</v>
      </c>
      <c r="AD340" s="46"/>
      <c r="AE340" s="46"/>
      <c r="AF340" s="47"/>
      <c r="AG340" s="46"/>
      <c r="AH340" s="53" t="b">
        <f aca="false">IFERROR(__xludf.dummyfunction("""COMPUTED_VALUE"""),FALSE())</f>
        <v>0</v>
      </c>
      <c r="AI340" s="53" t="b">
        <f aca="false">IFERROR(__xludf.dummyfunction("""COMPUTED_VALUE"""),FALSE())</f>
        <v>0</v>
      </c>
      <c r="AJ340" s="53" t="b">
        <f aca="false">IFERROR(__xludf.dummyfunction("""COMPUTED_VALUE"""),FALSE())</f>
        <v>0</v>
      </c>
      <c r="AK340" s="53" t="b">
        <f aca="false">IFERROR(__xludf.dummyfunction("""COMPUTED_VALUE"""),FALSE())</f>
        <v>0</v>
      </c>
      <c r="AL340" s="53" t="b">
        <f aca="false">IFERROR(__xludf.dummyfunction("""COMPUTED_VALUE"""),FALSE())</f>
        <v>0</v>
      </c>
      <c r="AM340" s="53" t="b">
        <f aca="false">IFERROR(__xludf.dummyfunction("""COMPUTED_VALUE"""),TRUE())</f>
        <v>1</v>
      </c>
      <c r="AN340" s="53" t="b">
        <f aca="false">IFERROR(__xludf.dummyfunction("""COMPUTED_VALUE"""),TRUE())</f>
        <v>1</v>
      </c>
      <c r="AO340" s="46"/>
    </row>
    <row r="341" customFormat="false" ht="15.75" hidden="false" customHeight="true" outlineLevel="0" collapsed="false">
      <c r="A341" s="37" t="str">
        <f aca="false">IFERROR(__xludf.dummyfunction("""COMPUTED_VALUE"""),"Toán")</f>
        <v>Toán</v>
      </c>
      <c r="B341" s="37" t="str">
        <f aca="false">IFERROR(__xludf.dummyfunction("""COMPUTED_VALUE"""),"NT_N_19")</f>
        <v>NT_N_19</v>
      </c>
      <c r="C341" s="59" t="str">
        <f aca="false">IFERROR(__xludf.dummyfunction("""COMPUTED_VALUE"""),"Tổng quan về nguyên hàm")</f>
        <v>Tổng quan về nguyên hàm</v>
      </c>
      <c r="D341" s="39" t="str">
        <f aca="false">IFERROR(__xludf.dummyfunction("""COMPUTED_VALUE"""),"Nguyễn Hoài Nam")</f>
        <v>Nguyễn Hoài Nam</v>
      </c>
      <c r="E341" s="40" t="n">
        <f aca="false">IFERROR(__xludf.dummyfunction("""COMPUTED_VALUE"""),46257)</f>
        <v>46257</v>
      </c>
      <c r="F341" s="41" t="str">
        <f aca="false">IFERROR(__xludf.dummyfunction("""COMPUTED_VALUE"""),"CN")</f>
        <v>CN</v>
      </c>
      <c r="G341" s="37" t="str">
        <f aca="false">IFERROR(__xludf.dummyfunction("""COMPUTED_VALUE"""),"21:00-22:30")</f>
        <v>21:00-22:30</v>
      </c>
      <c r="H341" s="37"/>
      <c r="I341" s="37"/>
      <c r="J341" s="62"/>
      <c r="K341" s="68" t="str">
        <f aca="false">IFERROR(__xludf.dummyfunction("""COMPUTED_VALUE"""),"lent")</f>
        <v>lent</v>
      </c>
      <c r="L341" s="68" t="str">
        <f aca="false">IFERROR(__xludf.dummyfunction("""COMPUTED_VALUE"""),"Tưởng Thị Huyền Trang")</f>
        <v>Tưởng Thị Huyền Trang</v>
      </c>
      <c r="M341" s="69" t="str">
        <f aca="false">IFERROR(__xludf.dummyfunction("""COMPUTED_VALUE"""),"https://hocmai.sharepoint.com/Education_Development/Lists/San_xuat_video/DispForm.aspx?ID=12206")</f>
        <v>https://hocmai.sharepoint.com/Education_Development/Lists/San_xuat_video/DispForm.aspx?ID=12206</v>
      </c>
      <c r="N341" s="78" t="n">
        <f aca="false">IFERROR(__xludf.dummyfunction("""COMPUTED_VALUE"""),3313)</f>
        <v>3313</v>
      </c>
      <c r="O341" s="63" t="n">
        <f aca="false">IFERROR(__xludf.dummyfunction("""COMPUTED_VALUE"""),166643)</f>
        <v>166643</v>
      </c>
      <c r="P341" s="63"/>
      <c r="Q341" s="63" t="n">
        <f aca="false">IFERROR(__xludf.dummyfunction("""COMPUTED_VALUE"""),8037)</f>
        <v>8037</v>
      </c>
      <c r="R341" s="41"/>
      <c r="S341" s="41"/>
      <c r="T341" s="63" t="n">
        <f aca="false">IFERROR(__xludf.dummyfunction("""COMPUTED_VALUE"""),8038)</f>
        <v>8038</v>
      </c>
      <c r="U341" s="63"/>
      <c r="V341" s="70" t="n">
        <f aca="false">IFERROR(__xludf.dummyfunction("""COMPUTED_VALUE"""),46259)</f>
        <v>46259</v>
      </c>
      <c r="W341" s="39"/>
      <c r="X341" s="41" t="str">
        <f aca="false">IFERROR(__xludf.dummyfunction("""COMPUTED_VALUE"""),"Huent7")</f>
        <v>Huent7</v>
      </c>
      <c r="Y341" s="44"/>
      <c r="Z341" s="57"/>
      <c r="AA341" s="57"/>
      <c r="AB341" s="41" t="n">
        <f aca="false">IFERROR(__xludf.dummyfunction("""COMPUTED_VALUE"""),8)</f>
        <v>8</v>
      </c>
      <c r="AC341" s="57"/>
      <c r="AD341" s="46"/>
      <c r="AE341" s="46"/>
      <c r="AF341" s="47" t="str">
        <f aca="false">IFERROR(__xludf.dummyfunction("""COMPUTED_VALUE"""),"lophoctoan-946257")</f>
        <v>lophoctoan-946257</v>
      </c>
      <c r="AG341" s="46" t="str">
        <f aca="false">IFERROR(__xludf.dummyfunction("""COMPUTED_VALUE"""),"")</f>
        <v/>
      </c>
      <c r="AH341" s="53" t="b">
        <f aca="false">IFERROR(__xludf.dummyfunction("""COMPUTED_VALUE"""),TRUE())</f>
        <v>1</v>
      </c>
      <c r="AI341" s="35"/>
      <c r="AJ341" s="35"/>
      <c r="AK341" s="35"/>
      <c r="AL341" s="35"/>
      <c r="AM341" s="35"/>
      <c r="AN341" s="35"/>
      <c r="AO341" s="46"/>
    </row>
    <row r="342" customFormat="false" ht="15.75" hidden="false" customHeight="true" outlineLevel="0" collapsed="false">
      <c r="A342" s="37" t="str">
        <f aca="false">IFERROR(__xludf.dummyfunction("""COMPUTED_VALUE"""),"Toán")</f>
        <v>Toán</v>
      </c>
      <c r="B342" s="37" t="str">
        <f aca="false">IFERROR(__xludf.dummyfunction("""COMPUTED_VALUE"""),"NT_T_35")</f>
        <v>NT_T_35</v>
      </c>
      <c r="C342" s="59" t="str">
        <f aca="false">IFERROR(__xludf.dummyfunction("""COMPUTED_VALUE"""),"Tổng quan về PT ĐT – MP – MC")</f>
        <v>Tổng quan về PT ĐT – MP – MC</v>
      </c>
      <c r="D342" s="39" t="str">
        <f aca="false">IFERROR(__xludf.dummyfunction("""COMPUTED_VALUE"""),"Nguyễn Thanh Tùng")</f>
        <v>Nguyễn Thanh Tùng</v>
      </c>
      <c r="E342" s="40" t="n">
        <f aca="false">IFERROR(__xludf.dummyfunction("""COMPUTED_VALUE"""),46257)</f>
        <v>46257</v>
      </c>
      <c r="F342" s="41" t="str">
        <f aca="false">IFERROR(__xludf.dummyfunction("""COMPUTED_VALUE"""),"CN")</f>
        <v>CN</v>
      </c>
      <c r="G342" s="37" t="str">
        <f aca="false">IFERROR(__xludf.dummyfunction("""COMPUTED_VALUE"""),"18:00-20:00")</f>
        <v>18:00-20:00</v>
      </c>
      <c r="H342" s="37"/>
      <c r="I342" s="37"/>
      <c r="J342" s="62"/>
      <c r="K342" s="68" t="str">
        <f aca="false">IFERROR(__xludf.dummyfunction("""COMPUTED_VALUE"""),"Khanhnl")</f>
        <v>Khanhnl</v>
      </c>
      <c r="L342" s="68" t="str">
        <f aca="false">IFERROR(__xludf.dummyfunction("""COMPUTED_VALUE"""),"Tưởng Thị Huyền Trang")</f>
        <v>Tưởng Thị Huyền Trang</v>
      </c>
      <c r="M342" s="69" t="str">
        <f aca="false">IFERROR(__xludf.dummyfunction("""COMPUTED_VALUE"""),"https://hocmai.sharepoint.com/Education_Development/Lists/San_xuat_video/DispForm.aspx?ID=12174")</f>
        <v>https://hocmai.sharepoint.com/Education_Development/Lists/San_xuat_video/DispForm.aspx?ID=12174</v>
      </c>
      <c r="N342" s="63" t="n">
        <f aca="false">IFERROR(__xludf.dummyfunction("""COMPUTED_VALUE"""),3312)</f>
        <v>3312</v>
      </c>
      <c r="O342" s="63" t="n">
        <f aca="false">IFERROR(__xludf.dummyfunction("""COMPUTED_VALUE"""),166568)</f>
        <v>166568</v>
      </c>
      <c r="P342" s="63"/>
      <c r="Q342" s="63" t="n">
        <f aca="false">IFERROR(__xludf.dummyfunction("""COMPUTED_VALUE"""),7953)</f>
        <v>7953</v>
      </c>
      <c r="R342" s="41"/>
      <c r="S342" s="41"/>
      <c r="T342" s="63" t="n">
        <f aca="false">IFERROR(__xludf.dummyfunction("""COMPUTED_VALUE"""),7954)</f>
        <v>7954</v>
      </c>
      <c r="U342" s="63"/>
      <c r="V342" s="70" t="n">
        <f aca="false">IFERROR(__xludf.dummyfunction("""COMPUTED_VALUE"""),46260)</f>
        <v>46260</v>
      </c>
      <c r="W342" s="39"/>
      <c r="X342" s="41" t="str">
        <f aca="false">IFERROR(__xludf.dummyfunction("""COMPUTED_VALUE"""),"Huent7")</f>
        <v>Huent7</v>
      </c>
      <c r="Y342" s="44"/>
      <c r="Z342" s="57"/>
      <c r="AA342" s="57"/>
      <c r="AB342" s="41" t="n">
        <f aca="false">IFERROR(__xludf.dummyfunction("""COMPUTED_VALUE"""),8)</f>
        <v>8</v>
      </c>
      <c r="AC342" s="57"/>
      <c r="AD342" s="46"/>
      <c r="AE342" s="46"/>
      <c r="AF342" s="47" t="str">
        <f aca="false">IFERROR(__xludf.dummyfunction("""COMPUTED_VALUE"""),"lophoctoan-946257")</f>
        <v>lophoctoan-946257</v>
      </c>
      <c r="AG342" s="46" t="str">
        <f aca="false">IFERROR(__xludf.dummyfunction("""COMPUTED_VALUE"""),"")</f>
        <v/>
      </c>
      <c r="AH342" s="53" t="b">
        <f aca="false">IFERROR(__xludf.dummyfunction("""COMPUTED_VALUE"""),TRUE())</f>
        <v>1</v>
      </c>
      <c r="AI342" s="35"/>
      <c r="AJ342" s="35"/>
      <c r="AK342" s="35"/>
      <c r="AL342" s="35"/>
      <c r="AM342" s="35"/>
      <c r="AN342" s="35"/>
      <c r="AO342" s="46"/>
    </row>
    <row r="343" customFormat="false" ht="15.75" hidden="false" customHeight="true" outlineLevel="0" collapsed="false">
      <c r="A343" s="37" t="str">
        <f aca="false">IFERROR(__xludf.dummyfunction("""COMPUTED_VALUE"""),"Thực chiến Toán")</f>
        <v>Thực chiến Toán</v>
      </c>
      <c r="B343" s="37" t="str">
        <f aca="false">IFERROR(__xludf.dummyfunction("""COMPUTED_VALUE"""),"TC_TSA_T_20")</f>
        <v>TC_TSA_T_20</v>
      </c>
      <c r="C343" s="59" t="str">
        <f aca="false">IFERROR(__xludf.dummyfunction("""COMPUTED_VALUE"""),"[Bổ trợ]_Chữa bài tập TSA_Tư duy Toán học số 20")</f>
        <v>[Bổ trợ]_Chữa bài tập TSA_Tư duy Toán học số 20</v>
      </c>
      <c r="D343" s="39" t="str">
        <f aca="false">IFERROR(__xludf.dummyfunction("""COMPUTED_VALUE"""),"Phạm Huy Hoàng")</f>
        <v>Phạm Huy Hoàng</v>
      </c>
      <c r="E343" s="40" t="n">
        <f aca="false">IFERROR(__xludf.dummyfunction("""COMPUTED_VALUE"""),46257)</f>
        <v>46257</v>
      </c>
      <c r="F343" s="41" t="str">
        <f aca="false">IFERROR(__xludf.dummyfunction("""COMPUTED_VALUE"""),"CN")</f>
        <v>CN</v>
      </c>
      <c r="G343" s="37" t="str">
        <f aca="false">IFERROR(__xludf.dummyfunction("""COMPUTED_VALUE"""),"15:00-16:00")</f>
        <v>15:00-16:00</v>
      </c>
      <c r="H343" s="37"/>
      <c r="I343" s="37"/>
      <c r="J343" s="37"/>
      <c r="K343" s="68" t="str">
        <f aca="false">IFERROR(__xludf.dummyfunction("""COMPUTED_VALUE"""),"Locdd")</f>
        <v>Locdd</v>
      </c>
      <c r="L343" s="68" t="str">
        <f aca="false">IFERROR(__xludf.dummyfunction("""COMPUTED_VALUE"""),"HOCMAI")</f>
        <v>HOCMAI</v>
      </c>
      <c r="M343" s="71"/>
      <c r="N343" s="77" t="str">
        <f aca="false">IFERROR(__xludf.dummyfunction("""COMPUTED_VALUE"""),"3108")</f>
        <v>3108</v>
      </c>
      <c r="O343" s="63" t="n">
        <f aca="false">IFERROR(__xludf.dummyfunction("""COMPUTED_VALUE"""),176052)</f>
        <v>176052</v>
      </c>
      <c r="P343" s="60" t="str">
        <f aca="false">IFERROR(__xludf.dummyfunction("""COMPUTED_VALUE"""),"https://hocmai.vn/bai-giang-truc-tuyen/176052/.html")</f>
        <v>https://hocmai.vn/bai-giang-truc-tuyen/176052/.html</v>
      </c>
      <c r="Q343" s="63"/>
      <c r="R343" s="41"/>
      <c r="S343" s="41"/>
      <c r="T343" s="63"/>
      <c r="U343" s="63"/>
      <c r="V343" s="70" t="n">
        <f aca="false">IFERROR(__xludf.dummyfunction("""COMPUTED_VALUE"""),46260)</f>
        <v>46260</v>
      </c>
      <c r="W343" s="39"/>
      <c r="X343" s="41" t="str">
        <f aca="false">IFERROR(__xludf.dummyfunction("""COMPUTED_VALUE"""),"Vuta")</f>
        <v>Vuta</v>
      </c>
      <c r="Y343" s="44"/>
      <c r="Z343" s="57"/>
      <c r="AA343" s="57"/>
      <c r="AB343" s="41" t="n">
        <f aca="false">IFERROR(__xludf.dummyfunction("""COMPUTED_VALUE"""),8)</f>
        <v>8</v>
      </c>
      <c r="AC343" s="57" t="str">
        <f aca="false">IFERROR(__xludf.dummyfunction("""COMPUTED_VALUE"""),"0376611308")</f>
        <v>0376611308</v>
      </c>
      <c r="AD343" s="46"/>
      <c r="AE343" s="46"/>
      <c r="AF343" s="47"/>
      <c r="AG343" s="46"/>
      <c r="AH343" s="53" t="b">
        <f aca="false">IFERROR(__xludf.dummyfunction("""COMPUTED_VALUE"""),FALSE())</f>
        <v>0</v>
      </c>
      <c r="AI343" s="53" t="b">
        <f aca="false">IFERROR(__xludf.dummyfunction("""COMPUTED_VALUE"""),TRUE())</f>
        <v>1</v>
      </c>
      <c r="AJ343" s="53" t="b">
        <f aca="false">IFERROR(__xludf.dummyfunction("""COMPUTED_VALUE"""),FALSE())</f>
        <v>0</v>
      </c>
      <c r="AK343" s="53" t="b">
        <f aca="false">IFERROR(__xludf.dummyfunction("""COMPUTED_VALUE"""),FALSE())</f>
        <v>0</v>
      </c>
      <c r="AL343" s="53" t="b">
        <f aca="false">IFERROR(__xludf.dummyfunction("""COMPUTED_VALUE"""),FALSE())</f>
        <v>0</v>
      </c>
      <c r="AM343" s="53" t="b">
        <f aca="false">IFERROR(__xludf.dummyfunction("""COMPUTED_VALUE"""),FALSE())</f>
        <v>0</v>
      </c>
      <c r="AN343" s="53" t="b">
        <f aca="false">IFERROR(__xludf.dummyfunction("""COMPUTED_VALUE"""),FALSE())</f>
        <v>0</v>
      </c>
      <c r="AO343" s="46"/>
    </row>
    <row r="344" customFormat="false" ht="15.75" hidden="false" customHeight="true" outlineLevel="0" collapsed="false">
      <c r="A344" s="37" t="str">
        <f aca="false">IFERROR(__xludf.dummyfunction("""COMPUTED_VALUE"""),"Thực chiến Đọc hiểu")</f>
        <v>Thực chiến Đọc hiểu</v>
      </c>
      <c r="B344" s="37" t="str">
        <f aca="false">IFERROR(__xludf.dummyfunction("""COMPUTED_VALUE"""),"TC_TSA_DH_07")</f>
        <v>TC_TSA_DH_07</v>
      </c>
      <c r="C344" s="59" t="str">
        <f aca="false">IFERROR(__xludf.dummyfunction("""COMPUTED_VALUE"""),"[Bổ trợ]_Chữa bài tập TSA_Tư duy Đọc hiểu số 07")</f>
        <v>[Bổ trợ]_Chữa bài tập TSA_Tư duy Đọc hiểu số 07</v>
      </c>
      <c r="D344" s="39" t="str">
        <f aca="false">IFERROR(__xludf.dummyfunction("""COMPUTED_VALUE"""),"Đào Hồng Phúc")</f>
        <v>Đào Hồng Phúc</v>
      </c>
      <c r="E344" s="40" t="n">
        <f aca="false">IFERROR(__xludf.dummyfunction("""COMPUTED_VALUE"""),46257)</f>
        <v>46257</v>
      </c>
      <c r="F344" s="41" t="str">
        <f aca="false">IFERROR(__xludf.dummyfunction("""COMPUTED_VALUE"""),"CN")</f>
        <v>CN</v>
      </c>
      <c r="G344" s="37" t="str">
        <f aca="false">IFERROR(__xludf.dummyfunction("""COMPUTED_VALUE"""),"10:00-11:00")</f>
        <v>10:00-11:00</v>
      </c>
      <c r="H344" s="37"/>
      <c r="I344" s="37"/>
      <c r="J344" s="42" t="str">
        <f aca="false">IFERROR(__xludf.dummyfunction("""COMPUTED_VALUE"""),"https://drive.google.com/drive/folders/1jwma7JKsqpCDOS5-rRSvBBVX14nvIZzH?usp=drive_link")</f>
        <v>https://drive.google.com/drive/folders/1jwma7JKsqpCDOS5-rRSvBBVX14nvIZzH?usp=drive_link</v>
      </c>
      <c r="K344" s="68" t="str">
        <f aca="false">IFERROR(__xludf.dummyfunction("""COMPUTED_VALUE"""),"Hangvt3")</f>
        <v>Hangvt3</v>
      </c>
      <c r="L344" s="68" t="str">
        <f aca="false">IFERROR(__xludf.dummyfunction("""COMPUTED_VALUE"""),"HOCMAI")</f>
        <v>HOCMAI</v>
      </c>
      <c r="M344" s="71"/>
      <c r="N344" s="77" t="str">
        <f aca="false">IFERROR(__xludf.dummyfunction("""COMPUTED_VALUE"""),"3109")</f>
        <v>3109</v>
      </c>
      <c r="O344" s="63" t="n">
        <f aca="false">IFERROR(__xludf.dummyfunction("""COMPUTED_VALUE"""),176062)</f>
        <v>176062</v>
      </c>
      <c r="P344" s="60" t="str">
        <f aca="false">IFERROR(__xludf.dummyfunction("""COMPUTED_VALUE"""),"https://hocmai.vn/bai-giang-truc-tuyen/176062/.html")</f>
        <v>https://hocmai.vn/bai-giang-truc-tuyen/176062/.html</v>
      </c>
      <c r="Q344" s="63"/>
      <c r="R344" s="41"/>
      <c r="S344" s="41"/>
      <c r="T344" s="63"/>
      <c r="U344" s="63"/>
      <c r="V344" s="70" t="n">
        <f aca="false">IFERROR(__xludf.dummyfunction("""COMPUTED_VALUE"""),46260)</f>
        <v>46260</v>
      </c>
      <c r="W344" s="39" t="str">
        <f aca="false">IFERROR(__xludf.dummyfunction("""COMPUTED_VALUE"""),"Hoàn thành TL live")</f>
        <v>Hoàn thành TL live</v>
      </c>
      <c r="X344" s="41" t="str">
        <f aca="false">IFERROR(__xludf.dummyfunction("""COMPUTED_VALUE"""),"Vuta")</f>
        <v>Vuta</v>
      </c>
      <c r="Y344" s="44"/>
      <c r="Z344" s="57"/>
      <c r="AA344" s="57"/>
      <c r="AB344" s="41" t="n">
        <f aca="false">IFERROR(__xludf.dummyfunction("""COMPUTED_VALUE"""),8)</f>
        <v>8</v>
      </c>
      <c r="AC344" s="57" t="str">
        <f aca="false">IFERROR(__xludf.dummyfunction("""COMPUTED_VALUE"""),"0987781413")</f>
        <v>0987781413</v>
      </c>
      <c r="AD344" s="46"/>
      <c r="AE344" s="46"/>
      <c r="AF344" s="47"/>
      <c r="AG344" s="46"/>
      <c r="AH344" s="53" t="b">
        <f aca="false">IFERROR(__xludf.dummyfunction("""COMPUTED_VALUE"""),FALSE())</f>
        <v>0</v>
      </c>
      <c r="AI344" s="53" t="b">
        <f aca="false">IFERROR(__xludf.dummyfunction("""COMPUTED_VALUE"""),TRUE())</f>
        <v>1</v>
      </c>
      <c r="AJ344" s="53" t="b">
        <f aca="false">IFERROR(__xludf.dummyfunction("""COMPUTED_VALUE"""),FALSE())</f>
        <v>0</v>
      </c>
      <c r="AK344" s="53" t="b">
        <f aca="false">IFERROR(__xludf.dummyfunction("""COMPUTED_VALUE"""),FALSE())</f>
        <v>0</v>
      </c>
      <c r="AL344" s="53" t="b">
        <f aca="false">IFERROR(__xludf.dummyfunction("""COMPUTED_VALUE"""),FALSE())</f>
        <v>0</v>
      </c>
      <c r="AM344" s="53" t="b">
        <f aca="false">IFERROR(__xludf.dummyfunction("""COMPUTED_VALUE"""),FALSE())</f>
        <v>0</v>
      </c>
      <c r="AN344" s="53" t="b">
        <f aca="false">IFERROR(__xludf.dummyfunction("""COMPUTED_VALUE"""),FALSE())</f>
        <v>0</v>
      </c>
      <c r="AO344" s="46"/>
    </row>
    <row r="345" customFormat="false" ht="15.75" hidden="false" customHeight="true" outlineLevel="0" collapsed="false">
      <c r="A345" s="37" t="str">
        <f aca="false">IFERROR(__xludf.dummyfunction("""COMPUTED_VALUE"""),"Thực chiến Định tính")</f>
        <v>Thực chiến Định tính</v>
      </c>
      <c r="B345" s="37" t="str">
        <f aca="false">IFERROR(__xludf.dummyfunction("""COMPUTED_VALUE"""),"TC_HSA_ĐT_06")</f>
        <v>TC_HSA_ĐT_06</v>
      </c>
      <c r="C345" s="59" t="str">
        <f aca="false">IFERROR(__xludf.dummyfunction("""COMPUTED_VALUE"""),"[Bổ trợ]_Chữa bài tập _Tư duy Định tính số 06")</f>
        <v>[Bổ trợ]_Chữa bài tập _Tư duy Định tính số 06</v>
      </c>
      <c r="D345" s="39" t="str">
        <f aca="false">IFERROR(__xludf.dummyfunction("""COMPUTED_VALUE"""),"Nguyễn Thị Thanh Hoa")</f>
        <v>Nguyễn Thị Thanh Hoa</v>
      </c>
      <c r="E345" s="40" t="n">
        <f aca="false">IFERROR(__xludf.dummyfunction("""COMPUTED_VALUE"""),46257)</f>
        <v>46257</v>
      </c>
      <c r="F345" s="41" t="str">
        <f aca="false">IFERROR(__xludf.dummyfunction("""COMPUTED_VALUE"""),"CN")</f>
        <v>CN</v>
      </c>
      <c r="G345" s="37" t="str">
        <f aca="false">IFERROR(__xludf.dummyfunction("""COMPUTED_VALUE"""),"17:00-18:00")</f>
        <v>17:00-18:00</v>
      </c>
      <c r="H345" s="37"/>
      <c r="I345" s="37"/>
      <c r="J345" s="37"/>
      <c r="K345" s="68" t="str">
        <f aca="false">IFERROR(__xludf.dummyfunction("""COMPUTED_VALUE"""),"Hoantt")</f>
        <v>Hoantt</v>
      </c>
      <c r="L345" s="68" t="str">
        <f aca="false">IFERROR(__xludf.dummyfunction("""COMPUTED_VALUE"""),"HOCMAI")</f>
        <v>HOCMAI</v>
      </c>
      <c r="M345" s="71"/>
      <c r="N345" s="77" t="str">
        <f aca="false">IFERROR(__xludf.dummyfunction("""COMPUTED_VALUE"""),"3118")</f>
        <v>3118</v>
      </c>
      <c r="O345" s="63" t="n">
        <f aca="false">IFERROR(__xludf.dummyfunction("""COMPUTED_VALUE"""),176139)</f>
        <v>176139</v>
      </c>
      <c r="P345" s="60" t="str">
        <f aca="false">IFERROR(__xludf.dummyfunction("""COMPUTED_VALUE"""),"https://hocmai.vn/bai-giang-truc-tuyen/176139/.html")</f>
        <v>https://hocmai.vn/bai-giang-truc-tuyen/176139/.html</v>
      </c>
      <c r="Q345" s="63"/>
      <c r="R345" s="41"/>
      <c r="S345" s="41"/>
      <c r="T345" s="63"/>
      <c r="U345" s="63"/>
      <c r="V345" s="70" t="n">
        <f aca="false">IFERROR(__xludf.dummyfunction("""COMPUTED_VALUE"""),46260)</f>
        <v>46260</v>
      </c>
      <c r="W345" s="39"/>
      <c r="X345" s="41" t="str">
        <f aca="false">IFERROR(__xludf.dummyfunction("""COMPUTED_VALUE"""),"Vuta")</f>
        <v>Vuta</v>
      </c>
      <c r="Y345" s="44"/>
      <c r="Z345" s="57"/>
      <c r="AA345" s="57"/>
      <c r="AB345" s="41" t="n">
        <f aca="false">IFERROR(__xludf.dummyfunction("""COMPUTED_VALUE"""),8)</f>
        <v>8</v>
      </c>
      <c r="AC345" s="57" t="str">
        <f aca="false">IFERROR(__xludf.dummyfunction("""COMPUTED_VALUE"""),"hoantt@hocmai.vn")</f>
        <v>hoantt@hocmai.vn</v>
      </c>
      <c r="AD345" s="46"/>
      <c r="AE345" s="46"/>
      <c r="AF345" s="47"/>
      <c r="AG345" s="46"/>
      <c r="AH345" s="53" t="b">
        <f aca="false">IFERROR(__xludf.dummyfunction("""COMPUTED_VALUE"""),FALSE())</f>
        <v>0</v>
      </c>
      <c r="AI345" s="53" t="b">
        <f aca="false">IFERROR(__xludf.dummyfunction("""COMPUTED_VALUE"""),FALSE())</f>
        <v>0</v>
      </c>
      <c r="AJ345" s="53" t="b">
        <f aca="false">IFERROR(__xludf.dummyfunction("""COMPUTED_VALUE"""),TRUE())</f>
        <v>1</v>
      </c>
      <c r="AK345" s="53" t="b">
        <f aca="false">IFERROR(__xludf.dummyfunction("""COMPUTED_VALUE"""),TRUE())</f>
        <v>1</v>
      </c>
      <c r="AL345" s="53" t="b">
        <f aca="false">IFERROR(__xludf.dummyfunction("""COMPUTED_VALUE"""),FALSE())</f>
        <v>0</v>
      </c>
      <c r="AM345" s="53" t="b">
        <f aca="false">IFERROR(__xludf.dummyfunction("""COMPUTED_VALUE"""),FALSE())</f>
        <v>0</v>
      </c>
      <c r="AN345" s="53" t="b">
        <f aca="false">IFERROR(__xludf.dummyfunction("""COMPUTED_VALUE"""),FALSE())</f>
        <v>0</v>
      </c>
      <c r="AO345" s="46"/>
    </row>
    <row r="346" customFormat="false" ht="15.75" hidden="false" customHeight="true" outlineLevel="0" collapsed="false">
      <c r="A346" s="37" t="str">
        <f aca="false">IFERROR(__xludf.dummyfunction("""COMPUTED_VALUE"""),"Thực chiến Định lượng")</f>
        <v>Thực chiến Định lượng</v>
      </c>
      <c r="B346" s="37" t="str">
        <f aca="false">IFERROR(__xludf.dummyfunction("""COMPUTED_VALUE"""),"TC_HSA_ĐL_17")</f>
        <v>TC_HSA_ĐL_17</v>
      </c>
      <c r="C346" s="59" t="str">
        <f aca="false">IFERROR(__xludf.dummyfunction("""COMPUTED_VALUE"""),"[Bổ trợ]_Chữa bài tập _Tư duy Định lượng số 17")</f>
        <v>[Bổ trợ]_Chữa bài tập _Tư duy Định lượng số 17</v>
      </c>
      <c r="D346" s="39" t="str">
        <f aca="false">IFERROR(__xludf.dummyfunction("""COMPUTED_VALUE"""),"Nguyễn Trọng Trường Anh")</f>
        <v>Nguyễn Trọng Trường Anh</v>
      </c>
      <c r="E346" s="40" t="n">
        <f aca="false">IFERROR(__xludf.dummyfunction("""COMPUTED_VALUE"""),46257)</f>
        <v>46257</v>
      </c>
      <c r="F346" s="41" t="str">
        <f aca="false">IFERROR(__xludf.dummyfunction("""COMPUTED_VALUE"""),"CN")</f>
        <v>CN</v>
      </c>
      <c r="G346" s="37" t="str">
        <f aca="false">IFERROR(__xludf.dummyfunction("""COMPUTED_VALUE"""),"10:00-11:00")</f>
        <v>10:00-11:00</v>
      </c>
      <c r="H346" s="37"/>
      <c r="I346" s="37"/>
      <c r="J346" s="37"/>
      <c r="K346" s="68" t="str">
        <f aca="false">IFERROR(__xludf.dummyfunction("""COMPUTED_VALUE"""),"Locdd")</f>
        <v>Locdd</v>
      </c>
      <c r="L346" s="68" t="str">
        <f aca="false">IFERROR(__xludf.dummyfunction("""COMPUTED_VALUE"""),"HOCMAI")</f>
        <v>HOCMAI</v>
      </c>
      <c r="M346" s="71"/>
      <c r="N346" s="77" t="str">
        <f aca="false">IFERROR(__xludf.dummyfunction("""COMPUTED_VALUE"""),"3117")</f>
        <v>3117</v>
      </c>
      <c r="O346" s="63" t="n">
        <f aca="false">IFERROR(__xludf.dummyfunction("""COMPUTED_VALUE"""),176130)</f>
        <v>176130</v>
      </c>
      <c r="P346" s="60" t="str">
        <f aca="false">IFERROR(__xludf.dummyfunction("""COMPUTED_VALUE"""),"https://hocmai.vn/bai-giang-truc-tuyen/176130/.html")</f>
        <v>https://hocmai.vn/bai-giang-truc-tuyen/176130/.html</v>
      </c>
      <c r="Q346" s="63"/>
      <c r="R346" s="41"/>
      <c r="S346" s="41"/>
      <c r="T346" s="63"/>
      <c r="U346" s="63"/>
      <c r="V346" s="70" t="n">
        <f aca="false">IFERROR(__xludf.dummyfunction("""COMPUTED_VALUE"""),46260)</f>
        <v>46260</v>
      </c>
      <c r="W346" s="39"/>
      <c r="X346" s="41" t="str">
        <f aca="false">IFERROR(__xludf.dummyfunction("""COMPUTED_VALUE"""),"Vuta")</f>
        <v>Vuta</v>
      </c>
      <c r="Y346" s="44"/>
      <c r="Z346" s="57"/>
      <c r="AA346" s="57"/>
      <c r="AB346" s="41" t="n">
        <f aca="false">IFERROR(__xludf.dummyfunction("""COMPUTED_VALUE"""),8)</f>
        <v>8</v>
      </c>
      <c r="AC346" s="57" t="str">
        <f aca="false">IFERROR(__xludf.dummyfunction("""COMPUTED_VALUE"""),"thochi1981@gmail.com")</f>
        <v>thochi1981@gmail.com</v>
      </c>
      <c r="AD346" s="46"/>
      <c r="AE346" s="46"/>
      <c r="AF346" s="47"/>
      <c r="AG346" s="46"/>
      <c r="AH346" s="53" t="b">
        <f aca="false">IFERROR(__xludf.dummyfunction("""COMPUTED_VALUE"""),FALSE())</f>
        <v>0</v>
      </c>
      <c r="AI346" s="53" t="b">
        <f aca="false">IFERROR(__xludf.dummyfunction("""COMPUTED_VALUE"""),FALSE())</f>
        <v>0</v>
      </c>
      <c r="AJ346" s="53" t="b">
        <f aca="false">IFERROR(__xludf.dummyfunction("""COMPUTED_VALUE"""),TRUE())</f>
        <v>1</v>
      </c>
      <c r="AK346" s="53" t="b">
        <f aca="false">IFERROR(__xludf.dummyfunction("""COMPUTED_VALUE"""),TRUE())</f>
        <v>1</v>
      </c>
      <c r="AL346" s="53" t="b">
        <f aca="false">IFERROR(__xludf.dummyfunction("""COMPUTED_VALUE"""),FALSE())</f>
        <v>0</v>
      </c>
      <c r="AM346" s="53" t="b">
        <f aca="false">IFERROR(__xludf.dummyfunction("""COMPUTED_VALUE"""),FALSE())</f>
        <v>0</v>
      </c>
      <c r="AN346" s="53" t="b">
        <f aca="false">IFERROR(__xludf.dummyfunction("""COMPUTED_VALUE"""),FALSE())</f>
        <v>0</v>
      </c>
      <c r="AO346" s="46"/>
    </row>
    <row r="347" customFormat="false" ht="15.75" hidden="false" customHeight="true" outlineLevel="0" collapsed="false">
      <c r="A347" s="37" t="str">
        <f aca="false">IFERROR(__xludf.dummyfunction("""COMPUTED_VALUE"""),"Thực chiến Toán")</f>
        <v>Thực chiến Toán</v>
      </c>
      <c r="B347" s="37" t="str">
        <f aca="false">IFERROR(__xludf.dummyfunction("""COMPUTED_VALUE"""),"TC_V-ACT_T_17")</f>
        <v>TC_V-ACT_T_17</v>
      </c>
      <c r="C347" s="59" t="str">
        <f aca="false">IFERROR(__xludf.dummyfunction("""COMPUTED_VALUE"""),"[Bổ trợ]_Chữa bài tập_V-ACT_Toán số 17")</f>
        <v>[Bổ trợ]_Chữa bài tập_V-ACT_Toán số 17</v>
      </c>
      <c r="D347" s="39" t="str">
        <f aca="false">IFERROR(__xludf.dummyfunction("""COMPUTED_VALUE"""),"Lê Thế Anh")</f>
        <v>Lê Thế Anh</v>
      </c>
      <c r="E347" s="40" t="n">
        <f aca="false">IFERROR(__xludf.dummyfunction("""COMPUTED_VALUE"""),46257)</f>
        <v>46257</v>
      </c>
      <c r="F347" s="41" t="str">
        <f aca="false">IFERROR(__xludf.dummyfunction("""COMPUTED_VALUE"""),"CN")</f>
        <v>CN</v>
      </c>
      <c r="G347" s="37" t="str">
        <f aca="false">IFERROR(__xludf.dummyfunction("""COMPUTED_VALUE"""),"10:00-11:00")</f>
        <v>10:00-11:00</v>
      </c>
      <c r="H347" s="37"/>
      <c r="I347" s="37"/>
      <c r="J347" s="37"/>
      <c r="K347" s="68" t="str">
        <f aca="false">IFERROR(__xludf.dummyfunction("""COMPUTED_VALUE"""),"lent")</f>
        <v>lent</v>
      </c>
      <c r="L347" s="68" t="str">
        <f aca="false">IFERROR(__xludf.dummyfunction("""COMPUTED_VALUE"""),"HOCMAI")</f>
        <v>HOCMAI</v>
      </c>
      <c r="M347" s="71"/>
      <c r="N347" s="77" t="str">
        <f aca="false">IFERROR(__xludf.dummyfunction("""COMPUTED_VALUE"""),"3124")</f>
        <v>3124</v>
      </c>
      <c r="O347" s="63" t="n">
        <f aca="false">IFERROR(__xludf.dummyfunction("""COMPUTED_VALUE"""),176094)</f>
        <v>176094</v>
      </c>
      <c r="P347" s="60" t="str">
        <f aca="false">IFERROR(__xludf.dummyfunction("""COMPUTED_VALUE"""),"https://hocmai.vn/bai-giang-truc-tuyen/176094/.html")</f>
        <v>https://hocmai.vn/bai-giang-truc-tuyen/176094/.html</v>
      </c>
      <c r="Q347" s="63"/>
      <c r="R347" s="41"/>
      <c r="S347" s="41"/>
      <c r="T347" s="63"/>
      <c r="U347" s="63"/>
      <c r="V347" s="70" t="n">
        <f aca="false">IFERROR(__xludf.dummyfunction("""COMPUTED_VALUE"""),46260)</f>
        <v>46260</v>
      </c>
      <c r="W347" s="39"/>
      <c r="X347" s="41" t="str">
        <f aca="false">IFERROR(__xludf.dummyfunction("""COMPUTED_VALUE"""),"Vuta")</f>
        <v>Vuta</v>
      </c>
      <c r="Y347" s="44"/>
      <c r="Z347" s="57"/>
      <c r="AA347" s="57"/>
      <c r="AB347" s="41" t="n">
        <f aca="false">IFERROR(__xludf.dummyfunction("""COMPUTED_VALUE"""),8)</f>
        <v>8</v>
      </c>
      <c r="AC347" s="57" t="str">
        <f aca="false">IFERROR(__xludf.dummyfunction("""COMPUTED_VALUE"""),"ss.vact01@ctv.hocmai.vn")</f>
        <v>ss.vact01@ctv.hocmai.vn</v>
      </c>
      <c r="AD347" s="46"/>
      <c r="AE347" s="46"/>
      <c r="AF347" s="47"/>
      <c r="AG347" s="46"/>
      <c r="AH347" s="53" t="b">
        <f aca="false">IFERROR(__xludf.dummyfunction("""COMPUTED_VALUE"""),FALSE())</f>
        <v>0</v>
      </c>
      <c r="AI347" s="53" t="b">
        <f aca="false">IFERROR(__xludf.dummyfunction("""COMPUTED_VALUE"""),FALSE())</f>
        <v>0</v>
      </c>
      <c r="AJ347" s="53" t="b">
        <f aca="false">IFERROR(__xludf.dummyfunction("""COMPUTED_VALUE"""),FALSE())</f>
        <v>0</v>
      </c>
      <c r="AK347" s="53" t="b">
        <f aca="false">IFERROR(__xludf.dummyfunction("""COMPUTED_VALUE"""),FALSE())</f>
        <v>0</v>
      </c>
      <c r="AL347" s="53" t="b">
        <f aca="false">IFERROR(__xludf.dummyfunction("""COMPUTED_VALUE"""),FALSE())</f>
        <v>0</v>
      </c>
      <c r="AM347" s="53" t="b">
        <f aca="false">IFERROR(__xludf.dummyfunction("""COMPUTED_VALUE"""),TRUE())</f>
        <v>1</v>
      </c>
      <c r="AN347" s="53" t="b">
        <f aca="false">IFERROR(__xludf.dummyfunction("""COMPUTED_VALUE"""),TRUE())</f>
        <v>1</v>
      </c>
      <c r="AO347" s="46"/>
    </row>
    <row r="348" customFormat="false" ht="15.75" hidden="false" customHeight="true" outlineLevel="0" collapsed="false">
      <c r="A348" s="37" t="str">
        <f aca="false">IFERROR(__xludf.dummyfunction("""COMPUTED_VALUE"""),"Đọc hiểu")</f>
        <v>Đọc hiểu</v>
      </c>
      <c r="B348" s="37" t="str">
        <f aca="false">IFERROR(__xludf.dummyfunction("""COMPUTED_VALUE"""),"TOV_TSA_DH11")</f>
        <v>TOV_TSA_DH11</v>
      </c>
      <c r="C348" s="59" t="str">
        <f aca="false">IFERROR(__xludf.dummyfunction("""COMPUTED_VALUE"""),"Quan điểm tác giả và cơ chế gây nhiễu thông tin")</f>
        <v>Quan điểm tác giả và cơ chế gây nhiễu thông tin</v>
      </c>
      <c r="D348" s="39" t="str">
        <f aca="false">IFERROR(__xludf.dummyfunction("""COMPUTED_VALUE"""),"Vũ Khắc Ngọc")</f>
        <v>Vũ Khắc Ngọc</v>
      </c>
      <c r="E348" s="40" t="n">
        <f aca="false">IFERROR(__xludf.dummyfunction("""COMPUTED_VALUE"""),46258)</f>
        <v>46258</v>
      </c>
      <c r="F348" s="41" t="n">
        <f aca="false">IFERROR(__xludf.dummyfunction("""COMPUTED_VALUE"""),2)</f>
        <v>2</v>
      </c>
      <c r="G348" s="37" t="str">
        <f aca="false">IFERROR(__xludf.dummyfunction("""COMPUTED_VALUE"""),"21:30-23:30")</f>
        <v>21:30-23:30</v>
      </c>
      <c r="H348" s="37"/>
      <c r="I348" s="37"/>
      <c r="J348" s="37"/>
      <c r="K348" s="68" t="str">
        <f aca="false">IFERROR(__xludf.dummyfunction("""COMPUTED_VALUE"""),"Hangvt3")</f>
        <v>Hangvt3</v>
      </c>
      <c r="L348" s="68" t="str">
        <f aca="false">IFERROR(__xludf.dummyfunction("""COMPUTED_VALUE"""),"Phan Đức Kiên")</f>
        <v>Phan Đức Kiên</v>
      </c>
      <c r="M348" s="71"/>
      <c r="N348" s="77" t="str">
        <f aca="false">IFERROR(__xludf.dummyfunction("""COMPUTED_VALUE"""),"3109")</f>
        <v>3109</v>
      </c>
      <c r="O348" s="63" t="n">
        <f aca="false">IFERROR(__xludf.dummyfunction("""COMPUTED_VALUE"""),167234)</f>
        <v>167234</v>
      </c>
      <c r="P348" s="63"/>
      <c r="Q348" s="63"/>
      <c r="R348" s="41"/>
      <c r="S348" s="41"/>
      <c r="T348" s="63"/>
      <c r="U348" s="63"/>
      <c r="V348" s="70" t="n">
        <f aca="false">IFERROR(__xludf.dummyfunction("""COMPUTED_VALUE"""),46261)</f>
        <v>46261</v>
      </c>
      <c r="W348" s="39"/>
      <c r="X348" s="41" t="str">
        <f aca="false">IFERROR(__xludf.dummyfunction("""COMPUTED_VALUE"""),"Huent7")</f>
        <v>Huent7</v>
      </c>
      <c r="Y348" s="44" t="str">
        <f aca="false">IFERROR(__xludf.dummyfunction("""COMPUTED_VALUE"""),"done")</f>
        <v>done</v>
      </c>
      <c r="Z348" s="57" t="str">
        <f aca="false">IFERROR(__xludf.dummyfunction("""COMPUTED_VALUE"""),"#N/A")</f>
        <v>#N/A</v>
      </c>
      <c r="AA348" s="57"/>
      <c r="AB348" s="41" t="n">
        <f aca="false">IFERROR(__xludf.dummyfunction("""COMPUTED_VALUE"""),8)</f>
        <v>8</v>
      </c>
      <c r="AC348" s="57" t="str">
        <f aca="false">IFERROR(__xludf.dummyfunction("""COMPUTED_VALUE"""),"gv.ngocvk@hocmai.edu.vn")</f>
        <v>gv.ngocvk@hocmai.edu.vn</v>
      </c>
      <c r="AD348" s="46" t="str">
        <f aca="false">IFERROR(__xludf.dummyfunction("""COMPUTED_VALUE"""),"duckien010607@gmail.com")</f>
        <v>duckien010607@gmail.com</v>
      </c>
      <c r="AE348" s="46"/>
      <c r="AF348" s="47" t="str">
        <f aca="false">IFERROR(__xludf.dummyfunction("""COMPUTED_VALUE"""),"lophoctoan-946258")</f>
        <v>lophoctoan-946258</v>
      </c>
      <c r="AG348" s="46" t="str">
        <f aca="false">IFERROR(__xludf.dummyfunction("""COMPUTED_VALUE"""),"")</f>
        <v/>
      </c>
      <c r="AH348" s="35"/>
      <c r="AI348" s="53" t="b">
        <f aca="false">IFERROR(__xludf.dummyfunction("""COMPUTED_VALUE"""),TRUE())</f>
        <v>1</v>
      </c>
      <c r="AJ348" s="35"/>
      <c r="AK348" s="35"/>
      <c r="AL348" s="35"/>
      <c r="AM348" s="35"/>
      <c r="AN348" s="35"/>
      <c r="AO348" s="46"/>
    </row>
    <row r="349" customFormat="false" ht="15.75" hidden="false" customHeight="true" outlineLevel="0" collapsed="false">
      <c r="A349" s="37" t="str">
        <f aca="false">IFERROR(__xludf.dummyfunction("""COMPUTED_VALUE"""),"Tiếng Anh")</f>
        <v>Tiếng Anh</v>
      </c>
      <c r="B349" s="37" t="str">
        <f aca="false">IFERROR(__xludf.dummyfunction("""COMPUTED_VALUE"""),"TOV_HV_TA11")</f>
        <v>TOV_HV_TA11</v>
      </c>
      <c r="C349" s="59" t="str">
        <f aca="false">IFERROR(__xludf.dummyfunction("""COMPUTED_VALUE"""),"Phương pháp làm bài Tìm câu Đồng nghĩa hiệu quả (P2)")</f>
        <v>Phương pháp làm bài Tìm câu Đồng nghĩa hiệu quả (P2)</v>
      </c>
      <c r="D349" s="39" t="str">
        <f aca="false">IFERROR(__xludf.dummyfunction("""COMPUTED_VALUE"""),"Nguyễn Thanh Hương")</f>
        <v>Nguyễn Thanh Hương</v>
      </c>
      <c r="E349" s="40" t="n">
        <f aca="false">IFERROR(__xludf.dummyfunction("""COMPUTED_VALUE"""),46258)</f>
        <v>46258</v>
      </c>
      <c r="F349" s="41" t="n">
        <f aca="false">IFERROR(__xludf.dummyfunction("""COMPUTED_VALUE"""),2)</f>
        <v>2</v>
      </c>
      <c r="G349" s="37" t="str">
        <f aca="false">IFERROR(__xludf.dummyfunction("""COMPUTED_VALUE"""),"20:00-22:00")</f>
        <v>20:00-22:00</v>
      </c>
      <c r="H349" s="37"/>
      <c r="I349" s="37"/>
      <c r="J349" s="37"/>
      <c r="K349" s="68" t="str">
        <f aca="false">IFERROR(__xludf.dummyfunction("""COMPUTED_VALUE"""),"huyennn2")</f>
        <v>huyennn2</v>
      </c>
      <c r="L349" s="68" t="str">
        <f aca="false">IFERROR(__xludf.dummyfunction("""COMPUTED_VALUE"""),"Nguyễn Lê Thụy Quyên ")</f>
        <v>Nguyễn Lê Thụy Quyên </v>
      </c>
      <c r="M349" s="71"/>
      <c r="N349" s="77" t="str">
        <f aca="false">IFERROR(__xludf.dummyfunction("""COMPUTED_VALUE"""),"3140,3165,3339")</f>
        <v>3140,3165,3339</v>
      </c>
      <c r="O349" s="73" t="str">
        <f aca="false">IFERROR(__xludf.dummyfunction("""COMPUTED_VALUE"""),"167547,167615,167639")</f>
        <v>167547,167615,167639</v>
      </c>
      <c r="P349" s="63" t="str">
        <f aca="false">IFERROR(__xludf.dummyfunction("""COMPUTED_VALUE"""),"9030,9038,9047,9119")</f>
        <v>9030,9038,9047,9119</v>
      </c>
      <c r="Q349" s="63"/>
      <c r="R349" s="41"/>
      <c r="S349" s="41"/>
      <c r="T349" s="63"/>
      <c r="U349" s="63"/>
      <c r="V349" s="70" t="n">
        <f aca="false">IFERROR(__xludf.dummyfunction("""COMPUTED_VALUE"""),46261)</f>
        <v>46261</v>
      </c>
      <c r="W349" s="39"/>
      <c r="X349" s="41" t="str">
        <f aca="false">IFERROR(__xludf.dummyfunction("""COMPUTED_VALUE"""),"huyennn2")</f>
        <v>huyennn2</v>
      </c>
      <c r="Y349" s="44" t="str">
        <f aca="false">IFERROR(__xludf.dummyfunction("""COMPUTED_VALUE"""),"done")</f>
        <v>done</v>
      </c>
      <c r="Z349" s="57" t="str">
        <f aca="false">IFERROR(__xludf.dummyfunction("""COMPUTED_VALUE"""),"#N/A")</f>
        <v>#N/A</v>
      </c>
      <c r="AA349" s="57"/>
      <c r="AB349" s="41" t="n">
        <f aca="false">IFERROR(__xludf.dummyfunction("""COMPUTED_VALUE"""),8)</f>
        <v>8</v>
      </c>
      <c r="AC349" s="57" t="str">
        <f aca="false">IFERROR(__xludf.dummyfunction("""COMPUTED_VALUE"""),"gv.huongnt@hocmai.edu.vn ")</f>
        <v>gv.huongnt@hocmai.edu.vn </v>
      </c>
      <c r="AD349" s="46" t="str">
        <f aca="false">IFERROR(__xludf.dummyfunction("""COMPUTED_VALUE"""),"nguyenlethuyquyencp@gmail.com")</f>
        <v>nguyenlethuyquyencp@gmail.com</v>
      </c>
      <c r="AE349" s="46"/>
      <c r="AF349" s="47" t="str">
        <f aca="false">IFERROR(__xludf.dummyfunction("""COMPUTED_VALUE"""),"lophoctienganh46258")</f>
        <v>lophoctienganh46258</v>
      </c>
      <c r="AG349" s="46" t="str">
        <f aca="false">IFERROR(__xludf.dummyfunction("""COMPUTED_VALUE"""),"")</f>
        <v/>
      </c>
      <c r="AH349" s="35"/>
      <c r="AI349" s="35"/>
      <c r="AJ349" s="53" t="b">
        <f aca="false">IFERROR(__xludf.dummyfunction("""COMPUTED_VALUE"""),TRUE())</f>
        <v>1</v>
      </c>
      <c r="AK349" s="53" t="b">
        <f aca="false">IFERROR(__xludf.dummyfunction("""COMPUTED_VALUE"""),TRUE())</f>
        <v>1</v>
      </c>
      <c r="AL349" s="35"/>
      <c r="AM349" s="53" t="b">
        <f aca="false">IFERROR(__xludf.dummyfunction("""COMPUTED_VALUE"""),TRUE())</f>
        <v>1</v>
      </c>
      <c r="AN349" s="53" t="b">
        <f aca="false">IFERROR(__xludf.dummyfunction("""COMPUTED_VALUE"""),TRUE())</f>
        <v>1</v>
      </c>
      <c r="AO349" s="46"/>
    </row>
    <row r="350" customFormat="false" ht="15.75" hidden="false" customHeight="true" outlineLevel="0" collapsed="false">
      <c r="A350" s="39" t="str">
        <f aca="false">IFERROR(__xludf.dummyfunction("""COMPUTED_VALUE"""),"Hóa học")</f>
        <v>Hóa học</v>
      </c>
      <c r="B350" s="39" t="str">
        <f aca="false">IFERROR(__xludf.dummyfunction("""COMPUTED_VALUE"""),"TOV_HT_HH11")</f>
        <v>TOV_HT_HH11</v>
      </c>
      <c r="C350" s="59" t="str">
        <f aca="false">IFERROR(__xludf.dummyfunction("""COMPUTED_VALUE"""),"Hệ thống nhanh Hoá học vô cơ lớp 10 – 11")</f>
        <v>Hệ thống nhanh Hoá học vô cơ lớp 10 – 11</v>
      </c>
      <c r="D350" s="39" t="str">
        <f aca="false">IFERROR(__xludf.dummyfunction("""COMPUTED_VALUE"""),"Chu Hải Long")</f>
        <v>Chu Hải Long</v>
      </c>
      <c r="E350" s="40" t="n">
        <f aca="false">IFERROR(__xludf.dummyfunction("""COMPUTED_VALUE"""),46258)</f>
        <v>46258</v>
      </c>
      <c r="F350" s="41" t="n">
        <f aca="false">IFERROR(__xludf.dummyfunction("""COMPUTED_VALUE"""),2)</f>
        <v>2</v>
      </c>
      <c r="G350" s="37" t="str">
        <f aca="false">IFERROR(__xludf.dummyfunction("""COMPUTED_VALUE"""),"19:45-21:45")</f>
        <v>19:45-21:45</v>
      </c>
      <c r="H350" s="37"/>
      <c r="I350" s="37"/>
      <c r="J350" s="37"/>
      <c r="K350" s="68" t="str">
        <f aca="false">IFERROR(__xludf.dummyfunction("""COMPUTED_VALUE"""),"Huebt")</f>
        <v>Huebt</v>
      </c>
      <c r="L350" s="68" t="str">
        <f aca="false">IFERROR(__xludf.dummyfunction("""COMPUTED_VALUE"""),"Võ Hương Giang")</f>
        <v>Võ Hương Giang</v>
      </c>
      <c r="M350" s="71"/>
      <c r="N350" s="77" t="str">
        <f aca="false">IFERROR(__xludf.dummyfunction("""COMPUTED_VALUE"""),"3120,3131")</f>
        <v>3120,3131</v>
      </c>
      <c r="O350" s="63" t="str">
        <f aca="false">IFERROR(__xludf.dummyfunction("""COMPUTED_VALUE"""),"167435,167447")</f>
        <v>167435,167447</v>
      </c>
      <c r="P350" s="63" t="str">
        <f aca="false">IFERROR(__xludf.dummyfunction("""COMPUTED_VALUE"""),"9032,9040,9021")</f>
        <v>9032,9040,9021</v>
      </c>
      <c r="Q350" s="63"/>
      <c r="R350" s="41"/>
      <c r="S350" s="41"/>
      <c r="T350" s="63"/>
      <c r="U350" s="63" t="n">
        <f aca="false">IFERROR(__xludf.dummyfunction("""COMPUTED_VALUE"""),10488)</f>
        <v>10488</v>
      </c>
      <c r="V350" s="70" t="n">
        <f aca="false">IFERROR(__xludf.dummyfunction("""COMPUTED_VALUE"""),46261)</f>
        <v>46261</v>
      </c>
      <c r="W350" s="39"/>
      <c r="X350" s="41" t="str">
        <f aca="false">IFERROR(__xludf.dummyfunction("""COMPUTED_VALUE"""),"Huebt")</f>
        <v>Huebt</v>
      </c>
      <c r="Y350" s="44"/>
      <c r="Z350" s="57" t="str">
        <f aca="false">IFERROR(__xludf.dummyfunction("""COMPUTED_VALUE"""),"#N/A")</f>
        <v>#N/A</v>
      </c>
      <c r="AA350" s="57"/>
      <c r="AB350" s="41" t="n">
        <f aca="false">IFERROR(__xludf.dummyfunction("""COMPUTED_VALUE"""),8)</f>
        <v>8</v>
      </c>
      <c r="AC350" s="57" t="str">
        <f aca="false">IFERROR(__xludf.dummyfunction("""COMPUTED_VALUE"""),"gv.longch@hocmai.edu.vn")</f>
        <v>gv.longch@hocmai.edu.vn</v>
      </c>
      <c r="AD350" s="46" t="str">
        <f aca="false">IFERROR(__xludf.dummyfunction("""COMPUTED_VALUE"""),"giangvh@ctv.hocmai.vn")</f>
        <v>giangvh@ctv.hocmai.vn</v>
      </c>
      <c r="AE350" s="46"/>
      <c r="AF350" s="74" t="b">
        <f aca="false">IFERROR(__xludf.dummyfunction("""COMPUTED_VALUE"""),FALSE())</f>
        <v>0</v>
      </c>
      <c r="AG350" s="46" t="str">
        <f aca="false">IFERROR(__xludf.dummyfunction("""COMPUTED_VALUE"""),"")</f>
        <v/>
      </c>
      <c r="AH350" s="35"/>
      <c r="AI350" s="35"/>
      <c r="AJ350" s="53" t="b">
        <f aca="false">IFERROR(__xludf.dummyfunction("""COMPUTED_VALUE"""),TRUE())</f>
        <v>1</v>
      </c>
      <c r="AK350" s="53" t="b">
        <f aca="false">IFERROR(__xludf.dummyfunction("""COMPUTED_VALUE"""),TRUE())</f>
        <v>1</v>
      </c>
      <c r="AL350" s="53" t="b">
        <f aca="false">IFERROR(__xludf.dummyfunction("""COMPUTED_VALUE"""),TRUE())</f>
        <v>1</v>
      </c>
      <c r="AM350" s="35"/>
      <c r="AN350" s="35"/>
      <c r="AO350" s="46"/>
    </row>
    <row r="351" customFormat="false" ht="15.75" hidden="false" customHeight="true" outlineLevel="0" collapsed="false">
      <c r="A351" s="37" t="str">
        <f aca="false">IFERROR(__xludf.dummyfunction("""COMPUTED_VALUE"""),"Thực chiến Toán")</f>
        <v>Thực chiến Toán</v>
      </c>
      <c r="B351" s="37" t="str">
        <f aca="false">IFERROR(__xludf.dummyfunction("""COMPUTED_VALUE"""),"TC_TSA_T_21")</f>
        <v>TC_TSA_T_21</v>
      </c>
      <c r="C351" s="59" t="str">
        <f aca="false">IFERROR(__xludf.dummyfunction("""COMPUTED_VALUE"""),"[Bổ trợ]_Chữa bài tập TSA_Tư duy Toán học số 21")</f>
        <v>[Bổ trợ]_Chữa bài tập TSA_Tư duy Toán học số 21</v>
      </c>
      <c r="D351" s="39" t="str">
        <f aca="false">IFERROR(__xludf.dummyfunction("""COMPUTED_VALUE"""),"Phạm Huy Hoàng")</f>
        <v>Phạm Huy Hoàng</v>
      </c>
      <c r="E351" s="40" t="n">
        <f aca="false">IFERROR(__xludf.dummyfunction("""COMPUTED_VALUE"""),46258)</f>
        <v>46258</v>
      </c>
      <c r="F351" s="41" t="n">
        <f aca="false">IFERROR(__xludf.dummyfunction("""COMPUTED_VALUE"""),2)</f>
        <v>2</v>
      </c>
      <c r="G351" s="37" t="str">
        <f aca="false">IFERROR(__xludf.dummyfunction("""COMPUTED_VALUE"""),"19:00-20:00")</f>
        <v>19:00-20:00</v>
      </c>
      <c r="H351" s="37"/>
      <c r="I351" s="37"/>
      <c r="J351" s="37"/>
      <c r="K351" s="68" t="str">
        <f aca="false">IFERROR(__xludf.dummyfunction("""COMPUTED_VALUE"""),"Locdd")</f>
        <v>Locdd</v>
      </c>
      <c r="L351" s="68" t="str">
        <f aca="false">IFERROR(__xludf.dummyfunction("""COMPUTED_VALUE"""),"HOCMAI")</f>
        <v>HOCMAI</v>
      </c>
      <c r="M351" s="71"/>
      <c r="N351" s="77" t="str">
        <f aca="false">IFERROR(__xludf.dummyfunction("""COMPUTED_VALUE"""),"3108")</f>
        <v>3108</v>
      </c>
      <c r="O351" s="63" t="n">
        <f aca="false">IFERROR(__xludf.dummyfunction("""COMPUTED_VALUE"""),176053)</f>
        <v>176053</v>
      </c>
      <c r="P351" s="60" t="str">
        <f aca="false">IFERROR(__xludf.dummyfunction("""COMPUTED_VALUE"""),"https://hocmai.vn/bai-giang-truc-tuyen/176053/.html")</f>
        <v>https://hocmai.vn/bai-giang-truc-tuyen/176053/.html</v>
      </c>
      <c r="Q351" s="63"/>
      <c r="R351" s="41"/>
      <c r="S351" s="41"/>
      <c r="T351" s="63"/>
      <c r="U351" s="63"/>
      <c r="V351" s="70" t="n">
        <f aca="false">IFERROR(__xludf.dummyfunction("""COMPUTED_VALUE"""),46261)</f>
        <v>46261</v>
      </c>
      <c r="W351" s="39"/>
      <c r="X351" s="41" t="str">
        <f aca="false">IFERROR(__xludf.dummyfunction("""COMPUTED_VALUE"""),"Vuta")</f>
        <v>Vuta</v>
      </c>
      <c r="Y351" s="44"/>
      <c r="Z351" s="57"/>
      <c r="AA351" s="57"/>
      <c r="AB351" s="41" t="n">
        <f aca="false">IFERROR(__xludf.dummyfunction("""COMPUTED_VALUE"""),8)</f>
        <v>8</v>
      </c>
      <c r="AC351" s="57" t="str">
        <f aca="false">IFERROR(__xludf.dummyfunction("""COMPUTED_VALUE"""),"0376611308")</f>
        <v>0376611308</v>
      </c>
      <c r="AD351" s="46"/>
      <c r="AE351" s="46"/>
      <c r="AF351" s="47"/>
      <c r="AG351" s="46"/>
      <c r="AH351" s="53" t="b">
        <f aca="false">IFERROR(__xludf.dummyfunction("""COMPUTED_VALUE"""),FALSE())</f>
        <v>0</v>
      </c>
      <c r="AI351" s="53" t="b">
        <f aca="false">IFERROR(__xludf.dummyfunction("""COMPUTED_VALUE"""),TRUE())</f>
        <v>1</v>
      </c>
      <c r="AJ351" s="53" t="b">
        <f aca="false">IFERROR(__xludf.dummyfunction("""COMPUTED_VALUE"""),FALSE())</f>
        <v>0</v>
      </c>
      <c r="AK351" s="53" t="b">
        <f aca="false">IFERROR(__xludf.dummyfunction("""COMPUTED_VALUE"""),FALSE())</f>
        <v>0</v>
      </c>
      <c r="AL351" s="53" t="b">
        <f aca="false">IFERROR(__xludf.dummyfunction("""COMPUTED_VALUE"""),FALSE())</f>
        <v>0</v>
      </c>
      <c r="AM351" s="53" t="b">
        <f aca="false">IFERROR(__xludf.dummyfunction("""COMPUTED_VALUE"""),FALSE())</f>
        <v>0</v>
      </c>
      <c r="AN351" s="53" t="b">
        <f aca="false">IFERROR(__xludf.dummyfunction("""COMPUTED_VALUE"""),FALSE())</f>
        <v>0</v>
      </c>
      <c r="AO351" s="46"/>
    </row>
    <row r="352" customFormat="false" ht="15.75" hidden="false" customHeight="true" outlineLevel="0" collapsed="false">
      <c r="A352" s="37" t="str">
        <f aca="false">IFERROR(__xludf.dummyfunction("""COMPUTED_VALUE"""),"Thực chiến Tiếng Anh")</f>
        <v>Thực chiến Tiếng Anh</v>
      </c>
      <c r="B352" s="37" t="str">
        <f aca="false">IFERROR(__xludf.dummyfunction("""COMPUTED_VALUE"""),"TC_HSA_TA_07")</f>
        <v>TC_HSA_TA_07</v>
      </c>
      <c r="C352" s="59" t="str">
        <f aca="false">IFERROR(__xludf.dummyfunction("""COMPUTED_VALUE"""),"[Bổ trợ]_Chữa bài tập _Tiếng Anh số 07")</f>
        <v>[Bổ trợ]_Chữa bài tập _Tiếng Anh số 07</v>
      </c>
      <c r="D352" s="39" t="str">
        <f aca="false">IFERROR(__xludf.dummyfunction("""COMPUTED_VALUE"""),"Trần Đức Lương")</f>
        <v>Trần Đức Lương</v>
      </c>
      <c r="E352" s="40" t="n">
        <f aca="false">IFERROR(__xludf.dummyfunction("""COMPUTED_VALUE"""),46258)</f>
        <v>46258</v>
      </c>
      <c r="F352" s="41" t="n">
        <f aca="false">IFERROR(__xludf.dummyfunction("""COMPUTED_VALUE"""),2)</f>
        <v>2</v>
      </c>
      <c r="G352" s="37" t="str">
        <f aca="false">IFERROR(__xludf.dummyfunction("""COMPUTED_VALUE"""),"18:00-19:00")</f>
        <v>18:00-19:00</v>
      </c>
      <c r="H352" s="37"/>
      <c r="I352" s="37"/>
      <c r="J352" s="37"/>
      <c r="K352" s="68" t="str">
        <f aca="false">IFERROR(__xludf.dummyfunction("""COMPUTED_VALUE"""),"Huyenn2")</f>
        <v>Huyenn2</v>
      </c>
      <c r="L352" s="68" t="str">
        <f aca="false">IFERROR(__xludf.dummyfunction("""COMPUTED_VALUE"""),"HOCMAI")</f>
        <v>HOCMAI</v>
      </c>
      <c r="M352" s="71"/>
      <c r="N352" s="77" t="str">
        <f aca="false">IFERROR(__xludf.dummyfunction("""COMPUTED_VALUE"""),"3140")</f>
        <v>3140</v>
      </c>
      <c r="O352" s="63" t="n">
        <f aca="false">IFERROR(__xludf.dummyfunction("""COMPUTED_VALUE"""),176145)</f>
        <v>176145</v>
      </c>
      <c r="P352" s="60" t="str">
        <f aca="false">IFERROR(__xludf.dummyfunction("""COMPUTED_VALUE"""),"https://hocmai.vn/bai-giang-truc-tuyen/176145/.html")</f>
        <v>https://hocmai.vn/bai-giang-truc-tuyen/176145/.html</v>
      </c>
      <c r="Q352" s="63"/>
      <c r="R352" s="41"/>
      <c r="S352" s="41"/>
      <c r="T352" s="63"/>
      <c r="U352" s="63"/>
      <c r="V352" s="70" t="n">
        <f aca="false">IFERROR(__xludf.dummyfunction("""COMPUTED_VALUE"""),46261)</f>
        <v>46261</v>
      </c>
      <c r="W352" s="39"/>
      <c r="X352" s="41" t="str">
        <f aca="false">IFERROR(__xludf.dummyfunction("""COMPUTED_VALUE"""),"Vuta")</f>
        <v>Vuta</v>
      </c>
      <c r="Y352" s="44"/>
      <c r="Z352" s="57"/>
      <c r="AA352" s="57"/>
      <c r="AB352" s="41" t="n">
        <f aca="false">IFERROR(__xludf.dummyfunction("""COMPUTED_VALUE"""),8)</f>
        <v>8</v>
      </c>
      <c r="AC352" s="57" t="str">
        <f aca="false">IFERROR(__xludf.dummyfunction("""COMPUTED_VALUE"""),"ss.hsa01@ctv.hocmai.vn")</f>
        <v>ss.hsa01@ctv.hocmai.vn</v>
      </c>
      <c r="AD352" s="46"/>
      <c r="AE352" s="46"/>
      <c r="AF352" s="47"/>
      <c r="AG352" s="46"/>
      <c r="AH352" s="53" t="b">
        <f aca="false">IFERROR(__xludf.dummyfunction("""COMPUTED_VALUE"""),FALSE())</f>
        <v>0</v>
      </c>
      <c r="AI352" s="53" t="b">
        <f aca="false">IFERROR(__xludf.dummyfunction("""COMPUTED_VALUE"""),FALSE())</f>
        <v>0</v>
      </c>
      <c r="AJ352" s="53" t="b">
        <f aca="false">IFERROR(__xludf.dummyfunction("""COMPUTED_VALUE"""),TRUE())</f>
        <v>1</v>
      </c>
      <c r="AK352" s="53" t="b">
        <f aca="false">IFERROR(__xludf.dummyfunction("""COMPUTED_VALUE"""),TRUE())</f>
        <v>1</v>
      </c>
      <c r="AL352" s="53" t="b">
        <f aca="false">IFERROR(__xludf.dummyfunction("""COMPUTED_VALUE"""),FALSE())</f>
        <v>0</v>
      </c>
      <c r="AM352" s="53" t="b">
        <f aca="false">IFERROR(__xludf.dummyfunction("""COMPUTED_VALUE"""),FALSE())</f>
        <v>0</v>
      </c>
      <c r="AN352" s="53" t="b">
        <f aca="false">IFERROR(__xludf.dummyfunction("""COMPUTED_VALUE"""),FALSE())</f>
        <v>0</v>
      </c>
      <c r="AO352" s="46"/>
    </row>
    <row r="353" customFormat="false" ht="15.75" hidden="false" customHeight="true" outlineLevel="0" collapsed="false">
      <c r="A353" s="37" t="str">
        <f aca="false">IFERROR(__xludf.dummyfunction("""COMPUTED_VALUE"""),"Thực chiến Vật lí")</f>
        <v>Thực chiến Vật lí</v>
      </c>
      <c r="B353" s="37" t="str">
        <f aca="false">IFERROR(__xludf.dummyfunction("""COMPUTED_VALUE"""),"TC_HSA_KH_07")</f>
        <v>TC_HSA_KH_07</v>
      </c>
      <c r="C353" s="59" t="str">
        <f aca="false">IFERROR(__xludf.dummyfunction("""COMPUTED_VALUE"""),"[Bổ trợ]_Chữa bài tập _Vật lí số 07")</f>
        <v>[Bổ trợ]_Chữa bài tập _Vật lí số 07</v>
      </c>
      <c r="D353" s="39" t="str">
        <f aca="false">IFERROR(__xludf.dummyfunction("""COMPUTED_VALUE"""),"Phạm Nguyễn Thủy Hoa")</f>
        <v>Phạm Nguyễn Thủy Hoa</v>
      </c>
      <c r="E353" s="40" t="n">
        <f aca="false">IFERROR(__xludf.dummyfunction("""COMPUTED_VALUE"""),46258)</f>
        <v>46258</v>
      </c>
      <c r="F353" s="41" t="n">
        <f aca="false">IFERROR(__xludf.dummyfunction("""COMPUTED_VALUE"""),2)</f>
        <v>2</v>
      </c>
      <c r="G353" s="37" t="str">
        <f aca="false">IFERROR(__xludf.dummyfunction("""COMPUTED_VALUE"""),"22:00-23:00")</f>
        <v>22:00-23:00</v>
      </c>
      <c r="H353" s="37"/>
      <c r="I353" s="37"/>
      <c r="J353" s="42" t="str">
        <f aca="false">IFERROR(__xludf.dummyfunction("""COMPUTED_VALUE"""),"https://drive.google.com/drive/folders/1zNoSe8XYgQIWtSCMkpULYF60CjY2mlXN")</f>
        <v>https://drive.google.com/drive/folders/1zNoSe8XYgQIWtSCMkpULYF60CjY2mlXN</v>
      </c>
      <c r="K353" s="68" t="str">
        <f aca="false">IFERROR(__xludf.dummyfunction("""COMPUTED_VALUE"""),"Trangnth2")</f>
        <v>Trangnth2</v>
      </c>
      <c r="L353" s="68" t="str">
        <f aca="false">IFERROR(__xludf.dummyfunction("""COMPUTED_VALUE"""),"HOCMAI")</f>
        <v>HOCMAI</v>
      </c>
      <c r="M353" s="71"/>
      <c r="N353" s="77" t="str">
        <f aca="false">IFERROR(__xludf.dummyfunction("""COMPUTED_VALUE"""),"3119")</f>
        <v>3119</v>
      </c>
      <c r="O353" s="63" t="n">
        <f aca="false">IFERROR(__xludf.dummyfunction("""COMPUTED_VALUE"""),176150)</f>
        <v>176150</v>
      </c>
      <c r="P353" s="60" t="str">
        <f aca="false">IFERROR(__xludf.dummyfunction("""COMPUTED_VALUE"""),"https://hocmai.vn/bai-giang-truc-tuyen/176150/.html")</f>
        <v>https://hocmai.vn/bai-giang-truc-tuyen/176150/.html</v>
      </c>
      <c r="Q353" s="63"/>
      <c r="R353" s="41"/>
      <c r="S353" s="41"/>
      <c r="T353" s="63"/>
      <c r="U353" s="63"/>
      <c r="V353" s="70" t="n">
        <f aca="false">IFERROR(__xludf.dummyfunction("""COMPUTED_VALUE"""),46261)</f>
        <v>46261</v>
      </c>
      <c r="W353" s="39" t="str">
        <f aca="false">IFERROR(__xludf.dummyfunction("""COMPUTED_VALUE"""),"Hoàn thành TL live")</f>
        <v>Hoàn thành TL live</v>
      </c>
      <c r="X353" s="41" t="str">
        <f aca="false">IFERROR(__xludf.dummyfunction("""COMPUTED_VALUE"""),"Vuta")</f>
        <v>Vuta</v>
      </c>
      <c r="Y353" s="44"/>
      <c r="Z353" s="57"/>
      <c r="AA353" s="57"/>
      <c r="AB353" s="41" t="n">
        <f aca="false">IFERROR(__xludf.dummyfunction("""COMPUTED_VALUE"""),8)</f>
        <v>8</v>
      </c>
      <c r="AC353" s="57" t="str">
        <f aca="false">IFERROR(__xludf.dummyfunction("""COMPUTED_VALUE"""),"phamthuyhoa2008@gmail.com")</f>
        <v>phamthuyhoa2008@gmail.com</v>
      </c>
      <c r="AD353" s="46"/>
      <c r="AE353" s="46"/>
      <c r="AF353" s="47"/>
      <c r="AG353" s="46"/>
      <c r="AH353" s="53" t="b">
        <f aca="false">IFERROR(__xludf.dummyfunction("""COMPUTED_VALUE"""),FALSE())</f>
        <v>0</v>
      </c>
      <c r="AI353" s="53" t="b">
        <f aca="false">IFERROR(__xludf.dummyfunction("""COMPUTED_VALUE"""),FALSE())</f>
        <v>0</v>
      </c>
      <c r="AJ353" s="53" t="b">
        <f aca="false">IFERROR(__xludf.dummyfunction("""COMPUTED_VALUE"""),TRUE())</f>
        <v>1</v>
      </c>
      <c r="AK353" s="53" t="b">
        <f aca="false">IFERROR(__xludf.dummyfunction("""COMPUTED_VALUE"""),TRUE())</f>
        <v>1</v>
      </c>
      <c r="AL353" s="53" t="b">
        <f aca="false">IFERROR(__xludf.dummyfunction("""COMPUTED_VALUE"""),FALSE())</f>
        <v>0</v>
      </c>
      <c r="AM353" s="53" t="b">
        <f aca="false">IFERROR(__xludf.dummyfunction("""COMPUTED_VALUE"""),FALSE())</f>
        <v>0</v>
      </c>
      <c r="AN353" s="53" t="b">
        <f aca="false">IFERROR(__xludf.dummyfunction("""COMPUTED_VALUE"""),FALSE())</f>
        <v>0</v>
      </c>
      <c r="AO353" s="46"/>
    </row>
    <row r="354" customFormat="false" ht="15.75" hidden="false" customHeight="true" outlineLevel="0" collapsed="false">
      <c r="A354" s="37" t="str">
        <f aca="false">IFERROR(__xludf.dummyfunction("""COMPUTED_VALUE"""),"Thực chiến Toán")</f>
        <v>Thực chiến Toán</v>
      </c>
      <c r="B354" s="37" t="str">
        <f aca="false">IFERROR(__xludf.dummyfunction("""COMPUTED_VALUE"""),"TC_V-ACT_T_18")</f>
        <v>TC_V-ACT_T_18</v>
      </c>
      <c r="C354" s="59" t="str">
        <f aca="false">IFERROR(__xludf.dummyfunction("""COMPUTED_VALUE"""),"[Bổ trợ]_Chữa bài tập_V-ACT_Toán số 18")</f>
        <v>[Bổ trợ]_Chữa bài tập_V-ACT_Toán số 18</v>
      </c>
      <c r="D354" s="39" t="str">
        <f aca="false">IFERROR(__xludf.dummyfunction("""COMPUTED_VALUE"""),"Lê Thế Anh")</f>
        <v>Lê Thế Anh</v>
      </c>
      <c r="E354" s="40" t="n">
        <f aca="false">IFERROR(__xludf.dummyfunction("""COMPUTED_VALUE"""),46258)</f>
        <v>46258</v>
      </c>
      <c r="F354" s="41" t="n">
        <f aca="false">IFERROR(__xludf.dummyfunction("""COMPUTED_VALUE"""),2)</f>
        <v>2</v>
      </c>
      <c r="G354" s="37" t="str">
        <f aca="false">IFERROR(__xludf.dummyfunction("""COMPUTED_VALUE"""),"18:45-19:45")</f>
        <v>18:45-19:45</v>
      </c>
      <c r="H354" s="37"/>
      <c r="I354" s="37"/>
      <c r="J354" s="37"/>
      <c r="K354" s="68" t="str">
        <f aca="false">IFERROR(__xludf.dummyfunction("""COMPUTED_VALUE"""),"lent")</f>
        <v>lent</v>
      </c>
      <c r="L354" s="68" t="str">
        <f aca="false">IFERROR(__xludf.dummyfunction("""COMPUTED_VALUE"""),"HOCMAI")</f>
        <v>HOCMAI</v>
      </c>
      <c r="M354" s="71"/>
      <c r="N354" s="77" t="str">
        <f aca="false">IFERROR(__xludf.dummyfunction("""COMPUTED_VALUE"""),"3124")</f>
        <v>3124</v>
      </c>
      <c r="O354" s="63" t="n">
        <f aca="false">IFERROR(__xludf.dummyfunction("""COMPUTED_VALUE"""),176095)</f>
        <v>176095</v>
      </c>
      <c r="P354" s="60" t="str">
        <f aca="false">IFERROR(__xludf.dummyfunction("""COMPUTED_VALUE"""),"https://hocmai.vn/bai-giang-truc-tuyen/176095/.html")</f>
        <v>https://hocmai.vn/bai-giang-truc-tuyen/176095/.html</v>
      </c>
      <c r="Q354" s="63"/>
      <c r="R354" s="41"/>
      <c r="S354" s="41"/>
      <c r="T354" s="63"/>
      <c r="U354" s="63"/>
      <c r="V354" s="70" t="n">
        <f aca="false">IFERROR(__xludf.dummyfunction("""COMPUTED_VALUE"""),46261)</f>
        <v>46261</v>
      </c>
      <c r="W354" s="39"/>
      <c r="X354" s="41" t="str">
        <f aca="false">IFERROR(__xludf.dummyfunction("""COMPUTED_VALUE"""),"Vuta")</f>
        <v>Vuta</v>
      </c>
      <c r="Y354" s="44"/>
      <c r="Z354" s="57"/>
      <c r="AA354" s="57"/>
      <c r="AB354" s="41" t="n">
        <f aca="false">IFERROR(__xludf.dummyfunction("""COMPUTED_VALUE"""),8)</f>
        <v>8</v>
      </c>
      <c r="AC354" s="57" t="str">
        <f aca="false">IFERROR(__xludf.dummyfunction("""COMPUTED_VALUE"""),"ss.vact01@ctv.hocmai.vn")</f>
        <v>ss.vact01@ctv.hocmai.vn</v>
      </c>
      <c r="AD354" s="46"/>
      <c r="AE354" s="46"/>
      <c r="AF354" s="47"/>
      <c r="AG354" s="46"/>
      <c r="AH354" s="53" t="b">
        <f aca="false">IFERROR(__xludf.dummyfunction("""COMPUTED_VALUE"""),FALSE())</f>
        <v>0</v>
      </c>
      <c r="AI354" s="53" t="b">
        <f aca="false">IFERROR(__xludf.dummyfunction("""COMPUTED_VALUE"""),FALSE())</f>
        <v>0</v>
      </c>
      <c r="AJ354" s="53" t="b">
        <f aca="false">IFERROR(__xludf.dummyfunction("""COMPUTED_VALUE"""),FALSE())</f>
        <v>0</v>
      </c>
      <c r="AK354" s="53" t="b">
        <f aca="false">IFERROR(__xludf.dummyfunction("""COMPUTED_VALUE"""),FALSE())</f>
        <v>0</v>
      </c>
      <c r="AL354" s="53" t="b">
        <f aca="false">IFERROR(__xludf.dummyfunction("""COMPUTED_VALUE"""),FALSE())</f>
        <v>0</v>
      </c>
      <c r="AM354" s="53" t="b">
        <f aca="false">IFERROR(__xludf.dummyfunction("""COMPUTED_VALUE"""),TRUE())</f>
        <v>1</v>
      </c>
      <c r="AN354" s="53" t="b">
        <f aca="false">IFERROR(__xludf.dummyfunction("""COMPUTED_VALUE"""),TRUE())</f>
        <v>1</v>
      </c>
      <c r="AO354" s="46"/>
    </row>
    <row r="355" customFormat="false" ht="15.75" hidden="false" customHeight="true" outlineLevel="0" collapsed="false">
      <c r="A355" s="37" t="str">
        <f aca="false">IFERROR(__xludf.dummyfunction("""COMPUTED_VALUE"""),"Toán")</f>
        <v>Toán</v>
      </c>
      <c r="B355" s="37" t="str">
        <f aca="false">IFERROR(__xludf.dummyfunction("""COMPUTED_VALUE"""),"TOV_TC_T11")</f>
        <v>TOV_TC_T11</v>
      </c>
      <c r="C355" s="59" t="str">
        <f aca="false">IFERROR(__xludf.dummyfunction("""COMPUTED_VALUE"""),"Các bài toán thực tế mũ - logarit")</f>
        <v>Các bài toán thực tế mũ - logarit</v>
      </c>
      <c r="D355" s="39" t="str">
        <f aca="false">IFERROR(__xludf.dummyfunction("""COMPUTED_VALUE"""),"Nguyễn Thanh Tùng")</f>
        <v>Nguyễn Thanh Tùng</v>
      </c>
      <c r="E355" s="40" t="n">
        <f aca="false">IFERROR(__xludf.dummyfunction("""COMPUTED_VALUE"""),46259)</f>
        <v>46259</v>
      </c>
      <c r="F355" s="41" t="n">
        <f aca="false">IFERROR(__xludf.dummyfunction("""COMPUTED_VALUE"""),3)</f>
        <v>3</v>
      </c>
      <c r="G355" s="37" t="str">
        <f aca="false">IFERROR(__xludf.dummyfunction("""COMPUTED_VALUE"""),"21:00-23:00")</f>
        <v>21:00-23:00</v>
      </c>
      <c r="H355" s="37"/>
      <c r="I355" s="37"/>
      <c r="J355" s="37"/>
      <c r="K355" s="68" t="str">
        <f aca="false">IFERROR(__xludf.dummyfunction("""COMPUTED_VALUE"""),"Lent")</f>
        <v>Lent</v>
      </c>
      <c r="L355" s="68" t="str">
        <f aca="false">IFERROR(__xludf.dummyfunction("""COMPUTED_VALUE"""),"Tưởng Thị Huyền Trang")</f>
        <v>Tưởng Thị Huyền Trang</v>
      </c>
      <c r="M355" s="71"/>
      <c r="N355" s="77" t="str">
        <f aca="false">IFERROR(__xludf.dummyfunction("""COMPUTED_VALUE"""),"3108,3117,3315,3127,3314")</f>
        <v>3108,3117,3315,3127,3314</v>
      </c>
      <c r="O355" s="63" t="str">
        <f aca="false">IFERROR(__xludf.dummyfunction("""COMPUTED_VALUE"""),"168375, 168590, 168331, 167469, 167069")</f>
        <v>168375, 168590, 168331, 167469, 167069</v>
      </c>
      <c r="P355" s="63" t="str">
        <f aca="false">IFERROR(__xludf.dummyfunction("""COMPUTED_VALUE"""),"9025,9028,9036,9104,9106,9017,9102")</f>
        <v>9025,9028,9036,9104,9106,9017,9102</v>
      </c>
      <c r="Q355" s="63" t="n">
        <f aca="false">IFERROR(__xludf.dummyfunction("""COMPUTED_VALUE"""),167069)</f>
        <v>167069</v>
      </c>
      <c r="R355" s="41"/>
      <c r="S355" s="41"/>
      <c r="T355" s="63"/>
      <c r="U355" s="63"/>
      <c r="V355" s="70" t="n">
        <f aca="false">IFERROR(__xludf.dummyfunction("""COMPUTED_VALUE"""),46262)</f>
        <v>46262</v>
      </c>
      <c r="W355" s="39"/>
      <c r="X355" s="41" t="str">
        <f aca="false">IFERROR(__xludf.dummyfunction("""COMPUTED_VALUE"""),"Lent")</f>
        <v>Lent</v>
      </c>
      <c r="Y355" s="44" t="str">
        <f aca="false">IFERROR(__xludf.dummyfunction("""COMPUTED_VALUE"""),"done")</f>
        <v>done</v>
      </c>
      <c r="Z355" s="57" t="str">
        <f aca="false">IFERROR(__xludf.dummyfunction("""COMPUTED_VALUE"""),"#N/A")</f>
        <v>#N/A</v>
      </c>
      <c r="AA355" s="57"/>
      <c r="AB355" s="41" t="n">
        <f aca="false">IFERROR(__xludf.dummyfunction("""COMPUTED_VALUE"""),8)</f>
        <v>8</v>
      </c>
      <c r="AC355" s="57" t="str">
        <f aca="false">IFERROR(__xludf.dummyfunction("""COMPUTED_VALUE"""),"gv.tungnt@hocmai.edu.vn ")</f>
        <v>gv.tungnt@hocmai.edu.vn </v>
      </c>
      <c r="AD355" s="46" t="str">
        <f aca="false">IFERROR(__xludf.dummyfunction("""COMPUTED_VALUE"""),"trangcrazy699@gmail.com")</f>
        <v>trangcrazy699@gmail.com</v>
      </c>
      <c r="AE355" s="46"/>
      <c r="AF355" s="47" t="str">
        <f aca="false">IFERROR(__xludf.dummyfunction("""COMPUTED_VALUE"""),"lophoctoan-946259")</f>
        <v>lophoctoan-946259</v>
      </c>
      <c r="AG355" s="46" t="str">
        <f aca="false">IFERROR(__xludf.dummyfunction("""COMPUTED_VALUE"""),"")</f>
        <v/>
      </c>
      <c r="AH355" s="35"/>
      <c r="AI355" s="53" t="b">
        <f aca="false">IFERROR(__xludf.dummyfunction("""COMPUTED_VALUE"""),TRUE())</f>
        <v>1</v>
      </c>
      <c r="AJ355" s="53" t="b">
        <f aca="false">IFERROR(__xludf.dummyfunction("""COMPUTED_VALUE"""),TRUE())</f>
        <v>1</v>
      </c>
      <c r="AK355" s="53" t="b">
        <f aca="false">IFERROR(__xludf.dummyfunction("""COMPUTED_VALUE"""),TRUE())</f>
        <v>1</v>
      </c>
      <c r="AL355" s="53" t="b">
        <f aca="false">IFERROR(__xludf.dummyfunction("""COMPUTED_VALUE"""),TRUE())</f>
        <v>1</v>
      </c>
      <c r="AM355" s="35"/>
      <c r="AN355" s="35"/>
      <c r="AO355" s="46"/>
    </row>
    <row r="356" customFormat="false" ht="15.75" hidden="false" customHeight="true" outlineLevel="0" collapsed="false">
      <c r="A356" s="37" t="str">
        <f aca="false">IFERROR(__xludf.dummyfunction("""COMPUTED_VALUE"""),"Tiếng Việt")</f>
        <v>Tiếng Việt</v>
      </c>
      <c r="B356" s="37" t="str">
        <f aca="false">IFERROR(__xludf.dummyfunction("""COMPUTED_VALUE"""),"TOV_V-ACT_TV09")</f>
        <v>TOV_V-ACT_TV09</v>
      </c>
      <c r="C356" s="59" t="str">
        <f aca="false">IFERROR(__xludf.dummyfunction("""COMPUTED_VALUE"""),"Truyện và chiến thuật đọc hiểu văn bản truyện")</f>
        <v>Truyện và chiến thuật đọc hiểu văn bản truyện</v>
      </c>
      <c r="D356" s="39" t="str">
        <f aca="false">IFERROR(__xludf.dummyfunction("""COMPUTED_VALUE"""),"Văn Trịnh Quỳnh An")</f>
        <v>Văn Trịnh Quỳnh An</v>
      </c>
      <c r="E356" s="40" t="n">
        <f aca="false">IFERROR(__xludf.dummyfunction("""COMPUTED_VALUE"""),46259)</f>
        <v>46259</v>
      </c>
      <c r="F356" s="41" t="n">
        <f aca="false">IFERROR(__xludf.dummyfunction("""COMPUTED_VALUE"""),3)</f>
        <v>3</v>
      </c>
      <c r="G356" s="37" t="str">
        <f aca="false">IFERROR(__xludf.dummyfunction("""COMPUTED_VALUE"""),"20:00-21:30")</f>
        <v>20:00-21:30</v>
      </c>
      <c r="H356" s="37"/>
      <c r="I356" s="37"/>
      <c r="J356" s="37"/>
      <c r="K356" s="68" t="str">
        <f aca="false">IFERROR(__xludf.dummyfunction("""COMPUTED_VALUE"""),"Hangvt3")</f>
        <v>Hangvt3</v>
      </c>
      <c r="L356" s="68" t="str">
        <f aca="false">IFERROR(__xludf.dummyfunction("""COMPUTED_VALUE"""),"Bùi Vĩnh Thọ")</f>
        <v>Bùi Vĩnh Thọ</v>
      </c>
      <c r="M356" s="71"/>
      <c r="N356" s="77" t="str">
        <f aca="false">IFERROR(__xludf.dummyfunction("""COMPUTED_VALUE"""),"3125,3338")</f>
        <v>3125,3338</v>
      </c>
      <c r="O356" s="73" t="n">
        <f aca="false">IFERROR(__xludf.dummyfunction("""COMPUTED_VALUE"""),167361.174776)</f>
        <v>167361.174776</v>
      </c>
      <c r="P356" s="63" t="n">
        <f aca="false">IFERROR(__xludf.dummyfunction("""COMPUTED_VALUE"""),174776)</f>
        <v>174776</v>
      </c>
      <c r="Q356" s="63"/>
      <c r="R356" s="41"/>
      <c r="S356" s="41"/>
      <c r="T356" s="63"/>
      <c r="U356" s="63"/>
      <c r="V356" s="70" t="n">
        <f aca="false">IFERROR(__xludf.dummyfunction("""COMPUTED_VALUE"""),46262)</f>
        <v>46262</v>
      </c>
      <c r="W356" s="39"/>
      <c r="X356" s="41" t="str">
        <f aca="false">IFERROR(__xludf.dummyfunction("""COMPUTED_VALUE"""),"Phuongdt")</f>
        <v>Phuongdt</v>
      </c>
      <c r="Y356" s="44" t="str">
        <f aca="false">IFERROR(__xludf.dummyfunction("""COMPUTED_VALUE"""),"done")</f>
        <v>done</v>
      </c>
      <c r="Z356" s="57" t="str">
        <f aca="false">IFERROR(__xludf.dummyfunction("""COMPUTED_VALUE"""),"#N/A")</f>
        <v>#N/A</v>
      </c>
      <c r="AA356" s="57"/>
      <c r="AB356" s="41" t="n">
        <f aca="false">IFERROR(__xludf.dummyfunction("""COMPUTED_VALUE"""),8)</f>
        <v>8</v>
      </c>
      <c r="AC356" s="57" t="str">
        <f aca="false">IFERROR(__xludf.dummyfunction("""COMPUTED_VALUE"""),"gv.anvtq@hocmai.edu.vn ")</f>
        <v>gv.anvtq@hocmai.edu.vn </v>
      </c>
      <c r="AD356" s="46" t="str">
        <f aca="false">IFERROR(__xludf.dummyfunction("""COMPUTED_VALUE"""),"vinhtho0704@gmail.com")</f>
        <v>vinhtho0704@gmail.com</v>
      </c>
      <c r="AE356" s="46"/>
      <c r="AF356" s="74" t="b">
        <f aca="false">IFERROR(__xludf.dummyfunction("""COMPUTED_VALUE"""),FALSE())</f>
        <v>0</v>
      </c>
      <c r="AG356" s="46" t="str">
        <f aca="false">IFERROR(__xludf.dummyfunction("""COMPUTED_VALUE"""),"")</f>
        <v/>
      </c>
      <c r="AH356" s="35"/>
      <c r="AI356" s="35"/>
      <c r="AJ356" s="35"/>
      <c r="AK356" s="35"/>
      <c r="AL356" s="35"/>
      <c r="AM356" s="53" t="b">
        <f aca="false">IFERROR(__xludf.dummyfunction("""COMPUTED_VALUE"""),TRUE())</f>
        <v>1</v>
      </c>
      <c r="AN356" s="53" t="b">
        <f aca="false">IFERROR(__xludf.dummyfunction("""COMPUTED_VALUE"""),TRUE())</f>
        <v>1</v>
      </c>
      <c r="AO356" s="46"/>
    </row>
    <row r="357" customFormat="false" ht="15.75" hidden="false" customHeight="true" outlineLevel="0" collapsed="false">
      <c r="A357" s="37" t="str">
        <f aca="false">IFERROR(__xludf.dummyfunction("""COMPUTED_VALUE"""),"Địa lí")</f>
        <v>Địa lí</v>
      </c>
      <c r="B357" s="37" t="str">
        <f aca="false">IFERROR(__xludf.dummyfunction("""COMPUTED_VALUE"""),"TOV_HSA_ĐL08")</f>
        <v>TOV_HSA_ĐL08</v>
      </c>
      <c r="C357" s="59" t="str">
        <f aca="false">IFERROR(__xludf.dummyfunction("""COMPUTED_VALUE"""),"Địa lí một số quốc gia (phần 1)")</f>
        <v>Địa lí một số quốc gia (phần 1)</v>
      </c>
      <c r="D357" s="39" t="str">
        <f aca="false">IFERROR(__xludf.dummyfunction("""COMPUTED_VALUE"""),"Nguyễn Văn Vinh")</f>
        <v>Nguyễn Văn Vinh</v>
      </c>
      <c r="E357" s="40" t="n">
        <f aca="false">IFERROR(__xludf.dummyfunction("""COMPUTED_VALUE"""),46259)</f>
        <v>46259</v>
      </c>
      <c r="F357" s="41" t="n">
        <f aca="false">IFERROR(__xludf.dummyfunction("""COMPUTED_VALUE"""),3)</f>
        <v>3</v>
      </c>
      <c r="G357" s="37" t="str">
        <f aca="false">IFERROR(__xludf.dummyfunction("""COMPUTED_VALUE"""),"18:30-20:30")</f>
        <v>18:30-20:30</v>
      </c>
      <c r="H357" s="37"/>
      <c r="I357" s="37"/>
      <c r="J357" s="37"/>
      <c r="K357" s="68" t="str">
        <f aca="false">IFERROR(__xludf.dummyfunction("""COMPUTED_VALUE"""),"Trinhntt")</f>
        <v>Trinhntt</v>
      </c>
      <c r="L357" s="68" t="str">
        <f aca="false">IFERROR(__xludf.dummyfunction("""COMPUTED_VALUE"""),"Phan Đức Kiên")</f>
        <v>Phan Đức Kiên</v>
      </c>
      <c r="M357" s="71"/>
      <c r="N357" s="77" t="str">
        <f aca="false">IFERROR(__xludf.dummyfunction("""COMPUTED_VALUE"""),"3123")</f>
        <v>3123</v>
      </c>
      <c r="O357" s="63" t="n">
        <f aca="false">IFERROR(__xludf.dummyfunction("""COMPUTED_VALUE"""),174754)</f>
        <v>174754</v>
      </c>
      <c r="P357" s="63"/>
      <c r="Q357" s="63" t="n">
        <f aca="false">IFERROR(__xludf.dummyfunction("""COMPUTED_VALUE"""),174754)</f>
        <v>174754</v>
      </c>
      <c r="R357" s="41"/>
      <c r="S357" s="41"/>
      <c r="T357" s="63"/>
      <c r="U357" s="63"/>
      <c r="V357" s="70" t="n">
        <f aca="false">IFERROR(__xludf.dummyfunction("""COMPUTED_VALUE"""),46262)</f>
        <v>46262</v>
      </c>
      <c r="W357" s="39"/>
      <c r="X357" s="41" t="str">
        <f aca="false">IFERROR(__xludf.dummyfunction("""COMPUTED_VALUE"""),"Huent7")</f>
        <v>Huent7</v>
      </c>
      <c r="Y357" s="44"/>
      <c r="Z357" s="57" t="str">
        <f aca="false">IFERROR(__xludf.dummyfunction("""COMPUTED_VALUE"""),"#N/A")</f>
        <v>#N/A</v>
      </c>
      <c r="AA357" s="57"/>
      <c r="AB357" s="41"/>
      <c r="AC357" s="57" t="str">
        <f aca="false">IFERROR(__xludf.dummyfunction("""COMPUTED_VALUE"""),"gv.vinhnv@hocmai.edu.vn")</f>
        <v>gv.vinhnv@hocmai.edu.vn</v>
      </c>
      <c r="AD357" s="46" t="str">
        <f aca="false">IFERROR(__xludf.dummyfunction("""COMPUTED_VALUE"""),"duckien010607@gmail.com")</f>
        <v>duckien010607@gmail.com</v>
      </c>
      <c r="AE357" s="46"/>
      <c r="AF357" s="74" t="b">
        <f aca="false">IFERROR(__xludf.dummyfunction("""COMPUTED_VALUE"""),FALSE())</f>
        <v>0</v>
      </c>
      <c r="AG357" s="46" t="str">
        <f aca="false">IFERROR(__xludf.dummyfunction("""COMPUTED_VALUE"""),"")</f>
        <v/>
      </c>
      <c r="AH357" s="35"/>
      <c r="AI357" s="35"/>
      <c r="AJ357" s="53" t="b">
        <f aca="false">IFERROR(__xludf.dummyfunction("""COMPUTED_VALUE"""),TRUE())</f>
        <v>1</v>
      </c>
      <c r="AK357" s="53" t="b">
        <f aca="false">IFERROR(__xludf.dummyfunction("""COMPUTED_VALUE"""),TRUE())</f>
        <v>1</v>
      </c>
      <c r="AL357" s="35"/>
      <c r="AM357" s="35"/>
      <c r="AN357" s="35"/>
      <c r="AO357" s="46"/>
    </row>
    <row r="358" customFormat="false" ht="15.75" hidden="false" customHeight="true" outlineLevel="0" collapsed="false">
      <c r="A358" s="37" t="str">
        <f aca="false">IFERROR(__xludf.dummyfunction("""COMPUTED_VALUE"""),"Thực chiến Khoa học")</f>
        <v>Thực chiến Khoa học</v>
      </c>
      <c r="B358" s="37" t="str">
        <f aca="false">IFERROR(__xludf.dummyfunction("""COMPUTED_VALUE"""),"TC_TSA_KH_22")</f>
        <v>TC_TSA_KH_22</v>
      </c>
      <c r="C358" s="59" t="str">
        <f aca="false">IFERROR(__xludf.dummyfunction("""COMPUTED_VALUE"""),"[Bổ trợ]_Chữa bài tập TSA_Tư duy Khoa học số 22")</f>
        <v>[Bổ trợ]_Chữa bài tập TSA_Tư duy Khoa học số 22</v>
      </c>
      <c r="D358" s="39" t="str">
        <f aca="false">IFERROR(__xludf.dummyfunction("""COMPUTED_VALUE"""),"Nguyễn Trọng Trường Anh")</f>
        <v>Nguyễn Trọng Trường Anh</v>
      </c>
      <c r="E358" s="40" t="n">
        <f aca="false">IFERROR(__xludf.dummyfunction("""COMPUTED_VALUE"""),46259)</f>
        <v>46259</v>
      </c>
      <c r="F358" s="41" t="n">
        <f aca="false">IFERROR(__xludf.dummyfunction("""COMPUTED_VALUE"""),3)</f>
        <v>3</v>
      </c>
      <c r="G358" s="37" t="str">
        <f aca="false">IFERROR(__xludf.dummyfunction("""COMPUTED_VALUE"""),"19:00-20:00")</f>
        <v>19:00-20:00</v>
      </c>
      <c r="H358" s="37"/>
      <c r="I358" s="37"/>
      <c r="J358" s="37"/>
      <c r="K358" s="68" t="str">
        <f aca="false">IFERROR(__xludf.dummyfunction("""COMPUTED_VALUE"""),"Trangnth2")</f>
        <v>Trangnth2</v>
      </c>
      <c r="L358" s="68" t="str">
        <f aca="false">IFERROR(__xludf.dummyfunction("""COMPUTED_VALUE"""),"HOCMAI")</f>
        <v>HOCMAI</v>
      </c>
      <c r="M358" s="71"/>
      <c r="N358" s="77" t="str">
        <f aca="false">IFERROR(__xludf.dummyfunction("""COMPUTED_VALUE"""),"3110")</f>
        <v>3110</v>
      </c>
      <c r="O358" s="63" t="n">
        <f aca="false">IFERROR(__xludf.dummyfunction("""COMPUTED_VALUE"""),176075)</f>
        <v>176075</v>
      </c>
      <c r="P358" s="60" t="str">
        <f aca="false">IFERROR(__xludf.dummyfunction("""COMPUTED_VALUE"""),"https://hocmai.vn/bai-giang-truc-tuyen/176075/.html")</f>
        <v>https://hocmai.vn/bai-giang-truc-tuyen/176075/.html</v>
      </c>
      <c r="Q358" s="63"/>
      <c r="R358" s="41"/>
      <c r="S358" s="41"/>
      <c r="T358" s="63"/>
      <c r="U358" s="63"/>
      <c r="V358" s="70" t="n">
        <f aca="false">IFERROR(__xludf.dummyfunction("""COMPUTED_VALUE"""),46262)</f>
        <v>46262</v>
      </c>
      <c r="W358" s="39"/>
      <c r="X358" s="41" t="str">
        <f aca="false">IFERROR(__xludf.dummyfunction("""COMPUTED_VALUE"""),"Vuta")</f>
        <v>Vuta</v>
      </c>
      <c r="Y358" s="44"/>
      <c r="Z358" s="57"/>
      <c r="AA358" s="57"/>
      <c r="AB358" s="41" t="n">
        <f aca="false">IFERROR(__xludf.dummyfunction("""COMPUTED_VALUE"""),8)</f>
        <v>8</v>
      </c>
      <c r="AC358" s="57" t="str">
        <f aca="false">IFERROR(__xludf.dummyfunction("""COMPUTED_VALUE"""),"thochi1981@gmail.com")</f>
        <v>thochi1981@gmail.com</v>
      </c>
      <c r="AD358" s="46"/>
      <c r="AE358" s="46"/>
      <c r="AF358" s="47"/>
      <c r="AG358" s="46"/>
      <c r="AH358" s="53" t="b">
        <f aca="false">IFERROR(__xludf.dummyfunction("""COMPUTED_VALUE"""),FALSE())</f>
        <v>0</v>
      </c>
      <c r="AI358" s="53" t="b">
        <f aca="false">IFERROR(__xludf.dummyfunction("""COMPUTED_VALUE"""),TRUE())</f>
        <v>1</v>
      </c>
      <c r="AJ358" s="53" t="b">
        <f aca="false">IFERROR(__xludf.dummyfunction("""COMPUTED_VALUE"""),FALSE())</f>
        <v>0</v>
      </c>
      <c r="AK358" s="53" t="b">
        <f aca="false">IFERROR(__xludf.dummyfunction("""COMPUTED_VALUE"""),FALSE())</f>
        <v>0</v>
      </c>
      <c r="AL358" s="53" t="b">
        <f aca="false">IFERROR(__xludf.dummyfunction("""COMPUTED_VALUE"""),FALSE())</f>
        <v>0</v>
      </c>
      <c r="AM358" s="53" t="b">
        <f aca="false">IFERROR(__xludf.dummyfunction("""COMPUTED_VALUE"""),FALSE())</f>
        <v>0</v>
      </c>
      <c r="AN358" s="53" t="b">
        <f aca="false">IFERROR(__xludf.dummyfunction("""COMPUTED_VALUE"""),FALSE())</f>
        <v>0</v>
      </c>
      <c r="AO358" s="46"/>
    </row>
    <row r="359" customFormat="false" ht="15.75" hidden="false" customHeight="true" outlineLevel="0" collapsed="false">
      <c r="A359" s="37" t="str">
        <f aca="false">IFERROR(__xludf.dummyfunction("""COMPUTED_VALUE"""),"Thực chiến Tiếng Anh")</f>
        <v>Thực chiến Tiếng Anh</v>
      </c>
      <c r="B359" s="37" t="str">
        <f aca="false">IFERROR(__xludf.dummyfunction("""COMPUTED_VALUE"""),"TC_V-ACT_TA_14")</f>
        <v>TC_V-ACT_TA_14</v>
      </c>
      <c r="C359" s="59" t="str">
        <f aca="false">IFERROR(__xludf.dummyfunction("""COMPUTED_VALUE"""),"[Bổ trợ]_Chữa bài tập_V-ACT_Tiếng Anh số 14")</f>
        <v>[Bổ trợ]_Chữa bài tập_V-ACT_Tiếng Anh số 14</v>
      </c>
      <c r="D359" s="39" t="str">
        <f aca="false">IFERROR(__xludf.dummyfunction("""COMPUTED_VALUE"""),"Dung Thành Vinh")</f>
        <v>Dung Thành Vinh</v>
      </c>
      <c r="E359" s="40" t="n">
        <f aca="false">IFERROR(__xludf.dummyfunction("""COMPUTED_VALUE"""),46259)</f>
        <v>46259</v>
      </c>
      <c r="F359" s="41" t="n">
        <f aca="false">IFERROR(__xludf.dummyfunction("""COMPUTED_VALUE"""),3)</f>
        <v>3</v>
      </c>
      <c r="G359" s="37" t="str">
        <f aca="false">IFERROR(__xludf.dummyfunction("""COMPUTED_VALUE"""),"18:00-19:00")</f>
        <v>18:00-19:00</v>
      </c>
      <c r="H359" s="37"/>
      <c r="I359" s="37"/>
      <c r="J359" s="37"/>
      <c r="K359" s="68" t="str">
        <f aca="false">IFERROR(__xludf.dummyfunction("""COMPUTED_VALUE"""),"Huyenn2")</f>
        <v>Huyenn2</v>
      </c>
      <c r="L359" s="68" t="str">
        <f aca="false">IFERROR(__xludf.dummyfunction("""COMPUTED_VALUE"""),"HOCMAI")</f>
        <v>HOCMAI</v>
      </c>
      <c r="M359" s="71"/>
      <c r="N359" s="77" t="str">
        <f aca="false">IFERROR(__xludf.dummyfunction("""COMPUTED_VALUE"""),"3165")</f>
        <v>3165</v>
      </c>
      <c r="O359" s="63" t="n">
        <f aca="false">IFERROR(__xludf.dummyfunction("""COMPUTED_VALUE"""),176107)</f>
        <v>176107</v>
      </c>
      <c r="P359" s="60" t="str">
        <f aca="false">IFERROR(__xludf.dummyfunction("""COMPUTED_VALUE"""),"https://hocmai.vn/bai-giang-truc-tuyen/176107/.html")</f>
        <v>https://hocmai.vn/bai-giang-truc-tuyen/176107/.html</v>
      </c>
      <c r="Q359" s="63"/>
      <c r="R359" s="41"/>
      <c r="S359" s="41"/>
      <c r="T359" s="63"/>
      <c r="U359" s="63"/>
      <c r="V359" s="70" t="n">
        <f aca="false">IFERROR(__xludf.dummyfunction("""COMPUTED_VALUE"""),46262)</f>
        <v>46262</v>
      </c>
      <c r="W359" s="39"/>
      <c r="X359" s="41" t="str">
        <f aca="false">IFERROR(__xludf.dummyfunction("""COMPUTED_VALUE"""),"Vuta")</f>
        <v>Vuta</v>
      </c>
      <c r="Y359" s="44"/>
      <c r="Z359" s="57"/>
      <c r="AA359" s="57"/>
      <c r="AB359" s="41" t="n">
        <f aca="false">IFERROR(__xludf.dummyfunction("""COMPUTED_VALUE"""),8)</f>
        <v>8</v>
      </c>
      <c r="AC359" s="57" t="str">
        <f aca="false">IFERROR(__xludf.dummyfunction("""COMPUTED_VALUE"""),"shimlim04@gmail.com")</f>
        <v>shimlim04@gmail.com</v>
      </c>
      <c r="AD359" s="46"/>
      <c r="AE359" s="46"/>
      <c r="AF359" s="47"/>
      <c r="AG359" s="46"/>
      <c r="AH359" s="53" t="b">
        <f aca="false">IFERROR(__xludf.dummyfunction("""COMPUTED_VALUE"""),FALSE())</f>
        <v>0</v>
      </c>
      <c r="AI359" s="53" t="b">
        <f aca="false">IFERROR(__xludf.dummyfunction("""COMPUTED_VALUE"""),FALSE())</f>
        <v>0</v>
      </c>
      <c r="AJ359" s="53" t="b">
        <f aca="false">IFERROR(__xludf.dummyfunction("""COMPUTED_VALUE"""),FALSE())</f>
        <v>0</v>
      </c>
      <c r="AK359" s="53" t="b">
        <f aca="false">IFERROR(__xludf.dummyfunction("""COMPUTED_VALUE"""),FALSE())</f>
        <v>0</v>
      </c>
      <c r="AL359" s="53" t="b">
        <f aca="false">IFERROR(__xludf.dummyfunction("""COMPUTED_VALUE"""),FALSE())</f>
        <v>0</v>
      </c>
      <c r="AM359" s="53" t="b">
        <f aca="false">IFERROR(__xludf.dummyfunction("""COMPUTED_VALUE"""),TRUE())</f>
        <v>1</v>
      </c>
      <c r="AN359" s="53" t="b">
        <f aca="false">IFERROR(__xludf.dummyfunction("""COMPUTED_VALUE"""),TRUE())</f>
        <v>1</v>
      </c>
      <c r="AO359" s="46"/>
    </row>
    <row r="360" customFormat="false" ht="15.75" hidden="false" customHeight="true" outlineLevel="0" collapsed="false">
      <c r="A360" s="37" t="str">
        <f aca="false">IFERROR(__xludf.dummyfunction("""COMPUTED_VALUE"""),"Định tính")</f>
        <v>Định tính</v>
      </c>
      <c r="B360" s="37" t="str">
        <f aca="false">IFERROR(__xludf.dummyfunction("""COMPUTED_VALUE"""),"TOV_HSA_DT10")</f>
        <v>TOV_HSA_DT10</v>
      </c>
      <c r="C360" s="59" t="str">
        <f aca="false">IFERROR(__xludf.dummyfunction("""COMPUTED_VALUE"""),"Truyện ngắn: Tình huống, nhân vật và điểm nhìn")</f>
        <v>Truyện ngắn: Tình huống, nhân vật và điểm nhìn</v>
      </c>
      <c r="D360" s="39" t="str">
        <f aca="false">IFERROR(__xludf.dummyfunction("""COMPUTED_VALUE"""),"Vương Thúy Hằng")</f>
        <v>Vương Thúy Hằng</v>
      </c>
      <c r="E360" s="40" t="n">
        <f aca="false">IFERROR(__xludf.dummyfunction("""COMPUTED_VALUE"""),46260)</f>
        <v>46260</v>
      </c>
      <c r="F360" s="41" t="n">
        <f aca="false">IFERROR(__xludf.dummyfunction("""COMPUTED_VALUE"""),4)</f>
        <v>4</v>
      </c>
      <c r="G360" s="37" t="str">
        <f aca="false">IFERROR(__xludf.dummyfunction("""COMPUTED_VALUE"""),"21:00-23:00")</f>
        <v>21:00-23:00</v>
      </c>
      <c r="H360" s="37"/>
      <c r="I360" s="37"/>
      <c r="J360" s="37"/>
      <c r="K360" s="68" t="str">
        <f aca="false">IFERROR(__xludf.dummyfunction("""COMPUTED_VALUE"""),"Hangvt3")</f>
        <v>Hangvt3</v>
      </c>
      <c r="L360" s="68" t="str">
        <f aca="false">IFERROR(__xludf.dummyfunction("""COMPUTED_VALUE"""),"Kiều Bảo Minh")</f>
        <v>Kiều Bảo Minh</v>
      </c>
      <c r="M360" s="71"/>
      <c r="N360" s="77" t="str">
        <f aca="false">IFERROR(__xludf.dummyfunction("""COMPUTED_VALUE"""),"3118")</f>
        <v>3118</v>
      </c>
      <c r="O360" s="63" t="n">
        <f aca="false">IFERROR(__xludf.dummyfunction("""COMPUTED_VALUE"""),167299)</f>
        <v>167299</v>
      </c>
      <c r="P360" s="63"/>
      <c r="Q360" s="63"/>
      <c r="R360" s="41"/>
      <c r="S360" s="41"/>
      <c r="T360" s="63"/>
      <c r="U360" s="63"/>
      <c r="V360" s="70" t="n">
        <f aca="false">IFERROR(__xludf.dummyfunction("""COMPUTED_VALUE"""),46263)</f>
        <v>46263</v>
      </c>
      <c r="W360" s="39"/>
      <c r="X360" s="41" t="str">
        <f aca="false">IFERROR(__xludf.dummyfunction("""COMPUTED_VALUE"""),"Phuongdt")</f>
        <v>Phuongdt</v>
      </c>
      <c r="Y360" s="44" t="str">
        <f aca="false">IFERROR(__xludf.dummyfunction("""COMPUTED_VALUE"""),"done")</f>
        <v>done</v>
      </c>
      <c r="Z360" s="57" t="str">
        <f aca="false">IFERROR(__xludf.dummyfunction("""COMPUTED_VALUE"""),"#N/A")</f>
        <v>#N/A</v>
      </c>
      <c r="AA360" s="57"/>
      <c r="AB360" s="41" t="n">
        <f aca="false">IFERROR(__xludf.dummyfunction("""COMPUTED_VALUE"""),8)</f>
        <v>8</v>
      </c>
      <c r="AC360" s="57" t="str">
        <f aca="false">IFERROR(__xludf.dummyfunction("""COMPUTED_VALUE"""),"gv.hangvt@hocmai.edu.vn ")</f>
        <v>gv.hangvt@hocmai.edu.vn </v>
      </c>
      <c r="AD360" s="46" t="str">
        <f aca="false">IFERROR(__xludf.dummyfunction("""COMPUTED_VALUE"""),"mkieu2662@gmail.com")</f>
        <v>mkieu2662@gmail.com</v>
      </c>
      <c r="AE360" s="46"/>
      <c r="AF360" s="74" t="b">
        <f aca="false">IFERROR(__xludf.dummyfunction("""COMPUTED_VALUE"""),FALSE())</f>
        <v>0</v>
      </c>
      <c r="AG360" s="46" t="str">
        <f aca="false">IFERROR(__xludf.dummyfunction("""COMPUTED_VALUE"""),"")</f>
        <v/>
      </c>
      <c r="AH360" s="35"/>
      <c r="AI360" s="35"/>
      <c r="AJ360" s="53" t="b">
        <f aca="false">IFERROR(__xludf.dummyfunction("""COMPUTED_VALUE"""),TRUE())</f>
        <v>1</v>
      </c>
      <c r="AK360" s="53" t="b">
        <f aca="false">IFERROR(__xludf.dummyfunction("""COMPUTED_VALUE"""),TRUE())</f>
        <v>1</v>
      </c>
      <c r="AL360" s="35"/>
      <c r="AM360" s="35"/>
      <c r="AN360" s="35"/>
      <c r="AO360" s="46"/>
    </row>
    <row r="361" customFormat="false" ht="15.75" hidden="false" customHeight="true" outlineLevel="0" collapsed="false">
      <c r="A361" s="37" t="str">
        <f aca="false">IFERROR(__xludf.dummyfunction("""COMPUTED_VALUE"""),"Ngữ văn")</f>
        <v>Ngữ văn</v>
      </c>
      <c r="B361" s="37" t="str">
        <f aca="false">IFERROR(__xludf.dummyfunction("""COMPUTED_VALUE"""),"TOV_TNTHPT_NV02")</f>
        <v>TOV_TNTHPT_NV02</v>
      </c>
      <c r="C361" s="59" t="str">
        <f aca="false">IFERROR(__xludf.dummyfunction("""COMPUTED_VALUE"""),"Phương pháp xử lí nhóm câu hỏi về truyện hiện đại")</f>
        <v>Phương pháp xử lí nhóm câu hỏi về truyện hiện đại</v>
      </c>
      <c r="D361" s="39" t="str">
        <f aca="false">IFERROR(__xludf.dummyfunction("""COMPUTED_VALUE"""),"Phạm Hữu Cường")</f>
        <v>Phạm Hữu Cường</v>
      </c>
      <c r="E361" s="40" t="n">
        <f aca="false">IFERROR(__xludf.dummyfunction("""COMPUTED_VALUE"""),46260)</f>
        <v>46260</v>
      </c>
      <c r="F361" s="41" t="n">
        <f aca="false">IFERROR(__xludf.dummyfunction("""COMPUTED_VALUE"""),4)</f>
        <v>4</v>
      </c>
      <c r="G361" s="37" t="str">
        <f aca="false">IFERROR(__xludf.dummyfunction("""COMPUTED_VALUE"""),"21:00-23:00")</f>
        <v>21:00-23:00</v>
      </c>
      <c r="H361" s="37"/>
      <c r="I361" s="37"/>
      <c r="J361" s="37"/>
      <c r="K361" s="68" t="str">
        <f aca="false">IFERROR(__xludf.dummyfunction("""COMPUTED_VALUE"""),"Hangvt3")</f>
        <v>Hangvt3</v>
      </c>
      <c r="L361" s="68" t="str">
        <f aca="false">IFERROR(__xludf.dummyfunction("""COMPUTED_VALUE"""),"Trần Đức Lương")</f>
        <v>Trần Đức Lương</v>
      </c>
      <c r="M361" s="71"/>
      <c r="N361" s="77" t="str">
        <f aca="false">IFERROR(__xludf.dummyfunction("""COMPUTED_VALUE"""),"3128")</f>
        <v>3128</v>
      </c>
      <c r="O361" s="63" t="n">
        <f aca="false">IFERROR(__xludf.dummyfunction("""COMPUTED_VALUE"""),167559)</f>
        <v>167559</v>
      </c>
      <c r="P361" s="63"/>
      <c r="Q361" s="63"/>
      <c r="R361" s="41"/>
      <c r="S361" s="41"/>
      <c r="T361" s="63"/>
      <c r="U361" s="63"/>
      <c r="V361" s="70" t="n">
        <f aca="false">IFERROR(__xludf.dummyfunction("""COMPUTED_VALUE"""),46263)</f>
        <v>46263</v>
      </c>
      <c r="W361" s="39"/>
      <c r="X361" s="41" t="str">
        <f aca="false">IFERROR(__xludf.dummyfunction("""COMPUTED_VALUE"""),"Hoantt")</f>
        <v>Hoantt</v>
      </c>
      <c r="Y361" s="44"/>
      <c r="Z361" s="57" t="str">
        <f aca="false">IFERROR(__xludf.dummyfunction("""COMPUTED_VALUE"""),"#N/A")</f>
        <v>#N/A</v>
      </c>
      <c r="AA361" s="57"/>
      <c r="AB361" s="41" t="n">
        <f aca="false">IFERROR(__xludf.dummyfunction("""COMPUTED_VALUE"""),8)</f>
        <v>8</v>
      </c>
      <c r="AC361" s="57" t="str">
        <f aca="false">IFERROR(__xludf.dummyfunction("""COMPUTED_VALUE"""),"gv.cuongph@hocmai.edu.vn ")</f>
        <v>gv.cuongph@hocmai.edu.vn </v>
      </c>
      <c r="AD361" s="46" t="str">
        <f aca="false">IFERROR(__xludf.dummyfunction("""COMPUTED_VALUE"""),"ss.hsa01@ctv.hocmai.vn")</f>
        <v>ss.hsa01@ctv.hocmai.vn</v>
      </c>
      <c r="AE361" s="46"/>
      <c r="AF361" s="74" t="b">
        <f aca="false">IFERROR(__xludf.dummyfunction("""COMPUTED_VALUE"""),FALSE())</f>
        <v>0</v>
      </c>
      <c r="AG361" s="46" t="str">
        <f aca="false">IFERROR(__xludf.dummyfunction("""COMPUTED_VALUE"""),"")</f>
        <v/>
      </c>
      <c r="AH361" s="35"/>
      <c r="AI361" s="35"/>
      <c r="AJ361" s="35"/>
      <c r="AK361" s="35"/>
      <c r="AL361" s="53" t="b">
        <f aca="false">IFERROR(__xludf.dummyfunction("""COMPUTED_VALUE"""),TRUE())</f>
        <v>1</v>
      </c>
      <c r="AM361" s="35"/>
      <c r="AN361" s="35"/>
      <c r="AO361" s="46"/>
    </row>
    <row r="362" customFormat="false" ht="15.75" hidden="false" customHeight="true" outlineLevel="0" collapsed="false">
      <c r="A362" s="37" t="str">
        <f aca="false">IFERROR(__xludf.dummyfunction("""COMPUTED_VALUE"""),"Thực chiến Toán")</f>
        <v>Thực chiến Toán</v>
      </c>
      <c r="B362" s="37" t="str">
        <f aca="false">IFERROR(__xludf.dummyfunction("""COMPUTED_VALUE"""),"TC_TSA_T_22")</f>
        <v>TC_TSA_T_22</v>
      </c>
      <c r="C362" s="59" t="str">
        <f aca="false">IFERROR(__xludf.dummyfunction("""COMPUTED_VALUE"""),"[Bổ trợ]_Chữa bài tập TSA_Tư duy Toán học số 22")</f>
        <v>[Bổ trợ]_Chữa bài tập TSA_Tư duy Toán học số 22</v>
      </c>
      <c r="D362" s="39" t="str">
        <f aca="false">IFERROR(__xludf.dummyfunction("""COMPUTED_VALUE"""),"Phạm Huy Hoàng")</f>
        <v>Phạm Huy Hoàng</v>
      </c>
      <c r="E362" s="40" t="n">
        <f aca="false">IFERROR(__xludf.dummyfunction("""COMPUTED_VALUE"""),46260)</f>
        <v>46260</v>
      </c>
      <c r="F362" s="41" t="n">
        <f aca="false">IFERROR(__xludf.dummyfunction("""COMPUTED_VALUE"""),4)</f>
        <v>4</v>
      </c>
      <c r="G362" s="37" t="str">
        <f aca="false">IFERROR(__xludf.dummyfunction("""COMPUTED_VALUE"""),"19:00-20:00")</f>
        <v>19:00-20:00</v>
      </c>
      <c r="H362" s="37"/>
      <c r="I362" s="37"/>
      <c r="J362" s="37"/>
      <c r="K362" s="68" t="str">
        <f aca="false">IFERROR(__xludf.dummyfunction("""COMPUTED_VALUE"""),"Locdd")</f>
        <v>Locdd</v>
      </c>
      <c r="L362" s="68" t="str">
        <f aca="false">IFERROR(__xludf.dummyfunction("""COMPUTED_VALUE"""),"HOCMAI")</f>
        <v>HOCMAI</v>
      </c>
      <c r="M362" s="71"/>
      <c r="N362" s="77" t="str">
        <f aca="false">IFERROR(__xludf.dummyfunction("""COMPUTED_VALUE"""),"3108")</f>
        <v>3108</v>
      </c>
      <c r="O362" s="63" t="n">
        <f aca="false">IFERROR(__xludf.dummyfunction("""COMPUTED_VALUE"""),176054)</f>
        <v>176054</v>
      </c>
      <c r="P362" s="60" t="str">
        <f aca="false">IFERROR(__xludf.dummyfunction("""COMPUTED_VALUE"""),"https://hocmai.vn/bai-giang-truc-tuyen/176054/.html")</f>
        <v>https://hocmai.vn/bai-giang-truc-tuyen/176054/.html</v>
      </c>
      <c r="Q362" s="63"/>
      <c r="R362" s="41"/>
      <c r="S362" s="41"/>
      <c r="T362" s="63"/>
      <c r="U362" s="63"/>
      <c r="V362" s="70" t="n">
        <f aca="false">IFERROR(__xludf.dummyfunction("""COMPUTED_VALUE"""),46263)</f>
        <v>46263</v>
      </c>
      <c r="W362" s="39"/>
      <c r="X362" s="41" t="str">
        <f aca="false">IFERROR(__xludf.dummyfunction("""COMPUTED_VALUE"""),"Vuta")</f>
        <v>Vuta</v>
      </c>
      <c r="Y362" s="44"/>
      <c r="Z362" s="57"/>
      <c r="AA362" s="57"/>
      <c r="AB362" s="41" t="n">
        <f aca="false">IFERROR(__xludf.dummyfunction("""COMPUTED_VALUE"""),8)</f>
        <v>8</v>
      </c>
      <c r="AC362" s="57" t="str">
        <f aca="false">IFERROR(__xludf.dummyfunction("""COMPUTED_VALUE"""),"0376611308")</f>
        <v>0376611308</v>
      </c>
      <c r="AD362" s="46"/>
      <c r="AE362" s="46"/>
      <c r="AF362" s="47"/>
      <c r="AG362" s="46"/>
      <c r="AH362" s="53" t="b">
        <f aca="false">IFERROR(__xludf.dummyfunction("""COMPUTED_VALUE"""),FALSE())</f>
        <v>0</v>
      </c>
      <c r="AI362" s="53" t="b">
        <f aca="false">IFERROR(__xludf.dummyfunction("""COMPUTED_VALUE"""),TRUE())</f>
        <v>1</v>
      </c>
      <c r="AJ362" s="53" t="b">
        <f aca="false">IFERROR(__xludf.dummyfunction("""COMPUTED_VALUE"""),FALSE())</f>
        <v>0</v>
      </c>
      <c r="AK362" s="53" t="b">
        <f aca="false">IFERROR(__xludf.dummyfunction("""COMPUTED_VALUE"""),FALSE())</f>
        <v>0</v>
      </c>
      <c r="AL362" s="53" t="b">
        <f aca="false">IFERROR(__xludf.dummyfunction("""COMPUTED_VALUE"""),FALSE())</f>
        <v>0</v>
      </c>
      <c r="AM362" s="53" t="b">
        <f aca="false">IFERROR(__xludf.dummyfunction("""COMPUTED_VALUE"""),FALSE())</f>
        <v>0</v>
      </c>
      <c r="AN362" s="53" t="b">
        <f aca="false">IFERROR(__xludf.dummyfunction("""COMPUTED_VALUE"""),FALSE())</f>
        <v>0</v>
      </c>
      <c r="AO362" s="46"/>
    </row>
    <row r="363" customFormat="false" ht="15.75" hidden="false" customHeight="true" outlineLevel="0" collapsed="false">
      <c r="A363" s="37" t="str">
        <f aca="false">IFERROR(__xludf.dummyfunction("""COMPUTED_VALUE"""),"Thực chiến Định lượng")</f>
        <v>Thực chiến Định lượng</v>
      </c>
      <c r="B363" s="37" t="str">
        <f aca="false">IFERROR(__xludf.dummyfunction("""COMPUTED_VALUE"""),"TC_HSA_ĐL_18")</f>
        <v>TC_HSA_ĐL_18</v>
      </c>
      <c r="C363" s="59" t="str">
        <f aca="false">IFERROR(__xludf.dummyfunction("""COMPUTED_VALUE"""),"[Bổ trợ]_Chữa bài tập _Tư duy Định lượng số 18")</f>
        <v>[Bổ trợ]_Chữa bài tập _Tư duy Định lượng số 18</v>
      </c>
      <c r="D363" s="39" t="str">
        <f aca="false">IFERROR(__xludf.dummyfunction("""COMPUTED_VALUE"""),"Vi Vũ Trí Đức")</f>
        <v>Vi Vũ Trí Đức</v>
      </c>
      <c r="E363" s="40" t="n">
        <f aca="false">IFERROR(__xludf.dummyfunction("""COMPUTED_VALUE"""),46260)</f>
        <v>46260</v>
      </c>
      <c r="F363" s="41" t="n">
        <f aca="false">IFERROR(__xludf.dummyfunction("""COMPUTED_VALUE"""),4)</f>
        <v>4</v>
      </c>
      <c r="G363" s="37" t="str">
        <f aca="false">IFERROR(__xludf.dummyfunction("""COMPUTED_VALUE"""),"19:00-20:00")</f>
        <v>19:00-20:00</v>
      </c>
      <c r="H363" s="37"/>
      <c r="I363" s="37"/>
      <c r="J363" s="37"/>
      <c r="K363" s="68" t="str">
        <f aca="false">IFERROR(__xludf.dummyfunction("""COMPUTED_VALUE"""),"Locdd")</f>
        <v>Locdd</v>
      </c>
      <c r="L363" s="68" t="str">
        <f aca="false">IFERROR(__xludf.dummyfunction("""COMPUTED_VALUE"""),"HOCMAI")</f>
        <v>HOCMAI</v>
      </c>
      <c r="M363" s="71"/>
      <c r="N363" s="77" t="str">
        <f aca="false">IFERROR(__xludf.dummyfunction("""COMPUTED_VALUE"""),"3117")</f>
        <v>3117</v>
      </c>
      <c r="O363" s="63" t="n">
        <f aca="false">IFERROR(__xludf.dummyfunction("""COMPUTED_VALUE"""),176131)</f>
        <v>176131</v>
      </c>
      <c r="P363" s="60" t="str">
        <f aca="false">IFERROR(__xludf.dummyfunction("""COMPUTED_VALUE"""),"https://hocmai.vn/bai-giang-truc-tuyen/176131/.html")</f>
        <v>https://hocmai.vn/bai-giang-truc-tuyen/176131/.html</v>
      </c>
      <c r="Q363" s="63"/>
      <c r="R363" s="41"/>
      <c r="S363" s="41"/>
      <c r="T363" s="63"/>
      <c r="U363" s="63"/>
      <c r="V363" s="70" t="n">
        <f aca="false">IFERROR(__xludf.dummyfunction("""COMPUTED_VALUE"""),46263)</f>
        <v>46263</v>
      </c>
      <c r="W363" s="39"/>
      <c r="X363" s="41" t="str">
        <f aca="false">IFERROR(__xludf.dummyfunction("""COMPUTED_VALUE"""),"Vuta")</f>
        <v>Vuta</v>
      </c>
      <c r="Y363" s="44"/>
      <c r="Z363" s="57"/>
      <c r="AA363" s="57"/>
      <c r="AB363" s="41" t="n">
        <f aca="false">IFERROR(__xludf.dummyfunction("""COMPUTED_VALUE"""),8)</f>
        <v>8</v>
      </c>
      <c r="AC363" s="57" t="str">
        <f aca="false">IFERROR(__xludf.dummyfunction("""COMPUTED_VALUE"""),"tdstawesome@gmail.com")</f>
        <v>tdstawesome@gmail.com</v>
      </c>
      <c r="AD363" s="46"/>
      <c r="AE363" s="46"/>
      <c r="AF363" s="47"/>
      <c r="AG363" s="46"/>
      <c r="AH363" s="53" t="b">
        <f aca="false">IFERROR(__xludf.dummyfunction("""COMPUTED_VALUE"""),FALSE())</f>
        <v>0</v>
      </c>
      <c r="AI363" s="53" t="b">
        <f aca="false">IFERROR(__xludf.dummyfunction("""COMPUTED_VALUE"""),FALSE())</f>
        <v>0</v>
      </c>
      <c r="AJ363" s="53" t="b">
        <f aca="false">IFERROR(__xludf.dummyfunction("""COMPUTED_VALUE"""),TRUE())</f>
        <v>1</v>
      </c>
      <c r="AK363" s="53" t="b">
        <f aca="false">IFERROR(__xludf.dummyfunction("""COMPUTED_VALUE"""),TRUE())</f>
        <v>1</v>
      </c>
      <c r="AL363" s="53" t="b">
        <f aca="false">IFERROR(__xludf.dummyfunction("""COMPUTED_VALUE"""),FALSE())</f>
        <v>0</v>
      </c>
      <c r="AM363" s="53" t="b">
        <f aca="false">IFERROR(__xludf.dummyfunction("""COMPUTED_VALUE"""),FALSE())</f>
        <v>0</v>
      </c>
      <c r="AN363" s="53" t="b">
        <f aca="false">IFERROR(__xludf.dummyfunction("""COMPUTED_VALUE"""),FALSE())</f>
        <v>0</v>
      </c>
      <c r="AO363" s="46"/>
    </row>
    <row r="364" customFormat="false" ht="15.75" hidden="false" customHeight="true" outlineLevel="0" collapsed="false">
      <c r="A364" s="37" t="str">
        <f aca="false">IFERROR(__xludf.dummyfunction("""COMPUTED_VALUE"""),"Thực chiến Tiếng Việt")</f>
        <v>Thực chiến Tiếng Việt</v>
      </c>
      <c r="B364" s="37" t="str">
        <f aca="false">IFERROR(__xludf.dummyfunction("""COMPUTED_VALUE"""),"TC_V-ACT_TV_13")</f>
        <v>TC_V-ACT_TV_13</v>
      </c>
      <c r="C364" s="59" t="str">
        <f aca="false">IFERROR(__xludf.dummyfunction("""COMPUTED_VALUE"""),"[Bổ trợ]_Chữa bài tập_V-ACT_Tiếng Việt số 13")</f>
        <v>[Bổ trợ]_Chữa bài tập_V-ACT_Tiếng Việt số 13</v>
      </c>
      <c r="D364" s="39" t="str">
        <f aca="false">IFERROR(__xludf.dummyfunction("""COMPUTED_VALUE"""),"Nguyễn Thị Khánh Ly")</f>
        <v>Nguyễn Thị Khánh Ly</v>
      </c>
      <c r="E364" s="40" t="n">
        <f aca="false">IFERROR(__xludf.dummyfunction("""COMPUTED_VALUE"""),46260)</f>
        <v>46260</v>
      </c>
      <c r="F364" s="41" t="n">
        <f aca="false">IFERROR(__xludf.dummyfunction("""COMPUTED_VALUE"""),4)</f>
        <v>4</v>
      </c>
      <c r="G364" s="37" t="str">
        <f aca="false">IFERROR(__xludf.dummyfunction("""COMPUTED_VALUE"""),"21:15-22:15")</f>
        <v>21:15-22:15</v>
      </c>
      <c r="H364" s="37"/>
      <c r="I364" s="37"/>
      <c r="J364" s="37"/>
      <c r="K364" s="68" t="str">
        <f aca="false">IFERROR(__xludf.dummyfunction("""COMPUTED_VALUE"""),"Hoantt")</f>
        <v>Hoantt</v>
      </c>
      <c r="L364" s="68" t="str">
        <f aca="false">IFERROR(__xludf.dummyfunction("""COMPUTED_VALUE"""),"HOCMAI")</f>
        <v>HOCMAI</v>
      </c>
      <c r="M364" s="71"/>
      <c r="N364" s="77" t="str">
        <f aca="false">IFERROR(__xludf.dummyfunction("""COMPUTED_VALUE"""),"3125")</f>
        <v>3125</v>
      </c>
      <c r="O364" s="63" t="n">
        <f aca="false">IFERROR(__xludf.dummyfunction("""COMPUTED_VALUE"""),176118)</f>
        <v>176118</v>
      </c>
      <c r="P364" s="60" t="str">
        <f aca="false">IFERROR(__xludf.dummyfunction("""COMPUTED_VALUE"""),"https://hocmai.vn/bai-giang-truc-tuyen/176118/.html")</f>
        <v>https://hocmai.vn/bai-giang-truc-tuyen/176118/.html</v>
      </c>
      <c r="Q364" s="63"/>
      <c r="R364" s="41"/>
      <c r="S364" s="41"/>
      <c r="T364" s="63"/>
      <c r="U364" s="63"/>
      <c r="V364" s="70" t="n">
        <f aca="false">IFERROR(__xludf.dummyfunction("""COMPUTED_VALUE"""),46263)</f>
        <v>46263</v>
      </c>
      <c r="W364" s="39"/>
      <c r="X364" s="41" t="str">
        <f aca="false">IFERROR(__xludf.dummyfunction("""COMPUTED_VALUE"""),"Vuta")</f>
        <v>Vuta</v>
      </c>
      <c r="Y364" s="44"/>
      <c r="Z364" s="57"/>
      <c r="AA364" s="57"/>
      <c r="AB364" s="41" t="n">
        <f aca="false">IFERROR(__xludf.dummyfunction("""COMPUTED_VALUE"""),8)</f>
        <v>8</v>
      </c>
      <c r="AC364" s="57" t="str">
        <f aca="false">IFERROR(__xludf.dummyfunction("""COMPUTED_VALUE"""),"khanhly16092003@gmail.com")</f>
        <v>khanhly16092003@gmail.com</v>
      </c>
      <c r="AD364" s="46"/>
      <c r="AE364" s="46"/>
      <c r="AF364" s="47"/>
      <c r="AG364" s="46"/>
      <c r="AH364" s="53" t="b">
        <f aca="false">IFERROR(__xludf.dummyfunction("""COMPUTED_VALUE"""),FALSE())</f>
        <v>0</v>
      </c>
      <c r="AI364" s="53" t="b">
        <f aca="false">IFERROR(__xludf.dummyfunction("""COMPUTED_VALUE"""),FALSE())</f>
        <v>0</v>
      </c>
      <c r="AJ364" s="53" t="b">
        <f aca="false">IFERROR(__xludf.dummyfunction("""COMPUTED_VALUE"""),FALSE())</f>
        <v>0</v>
      </c>
      <c r="AK364" s="53" t="b">
        <f aca="false">IFERROR(__xludf.dummyfunction("""COMPUTED_VALUE"""),FALSE())</f>
        <v>0</v>
      </c>
      <c r="AL364" s="53" t="b">
        <f aca="false">IFERROR(__xludf.dummyfunction("""COMPUTED_VALUE"""),FALSE())</f>
        <v>0</v>
      </c>
      <c r="AM364" s="53" t="b">
        <f aca="false">IFERROR(__xludf.dummyfunction("""COMPUTED_VALUE"""),TRUE())</f>
        <v>1</v>
      </c>
      <c r="AN364" s="53" t="b">
        <f aca="false">IFERROR(__xludf.dummyfunction("""COMPUTED_VALUE"""),TRUE())</f>
        <v>1</v>
      </c>
      <c r="AO364" s="46"/>
    </row>
    <row r="365" customFormat="false" ht="15.75" hidden="false" customHeight="true" outlineLevel="0" collapsed="false">
      <c r="A365" s="37" t="str">
        <f aca="false">IFERROR(__xludf.dummyfunction("""COMPUTED_VALUE"""),"Thực chiến Khoa học")</f>
        <v>Thực chiến Khoa học</v>
      </c>
      <c r="B365" s="37" t="str">
        <f aca="false">IFERROR(__xludf.dummyfunction("""COMPUTED_VALUE"""),"TC_V-ACT_KH_07")</f>
        <v>TC_V-ACT_KH_07</v>
      </c>
      <c r="C365" s="59" t="str">
        <f aca="false">IFERROR(__xludf.dummyfunction("""COMPUTED_VALUE"""),"[Bổ trợ]_Chữa bài tập_V-ACT_Tư duy khoa học số 07")</f>
        <v>[Bổ trợ]_Chữa bài tập_V-ACT_Tư duy khoa học số 07</v>
      </c>
      <c r="D365" s="39" t="str">
        <f aca="false">IFERROR(__xludf.dummyfunction("""COMPUTED_VALUE"""),"Lê Thế Anh")</f>
        <v>Lê Thế Anh</v>
      </c>
      <c r="E365" s="40" t="n">
        <f aca="false">IFERROR(__xludf.dummyfunction("""COMPUTED_VALUE"""),46260)</f>
        <v>46260</v>
      </c>
      <c r="F365" s="41" t="n">
        <f aca="false">IFERROR(__xludf.dummyfunction("""COMPUTED_VALUE"""),4)</f>
        <v>4</v>
      </c>
      <c r="G365" s="37" t="str">
        <f aca="false">IFERROR(__xludf.dummyfunction("""COMPUTED_VALUE"""),"19:00-20:00")</f>
        <v>19:00-20:00</v>
      </c>
      <c r="H365" s="37"/>
      <c r="I365" s="37"/>
      <c r="J365" s="42" t="str">
        <f aca="false">IFERROR(__xludf.dummyfunction("""COMPUTED_VALUE"""),"https://drive.google.com/drive/folders/1lhd4HzYm4U0nOQKm3S3ZMOXeVxrC8lsf?usp=drive_link")</f>
        <v>https://drive.google.com/drive/folders/1lhd4HzYm4U0nOQKm3S3ZMOXeVxrC8lsf?usp=drive_link</v>
      </c>
      <c r="K365" s="68" t="str">
        <f aca="false">IFERROR(__xludf.dummyfunction("""COMPUTED_VALUE"""),"Trangnth2")</f>
        <v>Trangnth2</v>
      </c>
      <c r="L365" s="68" t="str">
        <f aca="false">IFERROR(__xludf.dummyfunction("""COMPUTED_VALUE"""),"HOCMAI")</f>
        <v>HOCMAI</v>
      </c>
      <c r="M365" s="71"/>
      <c r="N365" s="77" t="str">
        <f aca="false">IFERROR(__xludf.dummyfunction("""COMPUTED_VALUE"""),"3126")</f>
        <v>3126</v>
      </c>
      <c r="O365" s="63" t="n">
        <f aca="false">IFERROR(__xludf.dummyfunction("""COMPUTED_VALUE"""),176084)</f>
        <v>176084</v>
      </c>
      <c r="P365" s="60" t="str">
        <f aca="false">IFERROR(__xludf.dummyfunction("""COMPUTED_VALUE"""),"https://hocmai.vn/bai-giang-truc-tuyen/176084/.html")</f>
        <v>https://hocmai.vn/bai-giang-truc-tuyen/176084/.html</v>
      </c>
      <c r="Q365" s="63"/>
      <c r="R365" s="41"/>
      <c r="S365" s="41"/>
      <c r="T365" s="63"/>
      <c r="U365" s="63"/>
      <c r="V365" s="70" t="n">
        <f aca="false">IFERROR(__xludf.dummyfunction("""COMPUTED_VALUE"""),46263)</f>
        <v>46263</v>
      </c>
      <c r="W365" s="39" t="str">
        <f aca="false">IFERROR(__xludf.dummyfunction("""COMPUTED_VALUE"""),"Hoàn thành TL live")</f>
        <v>Hoàn thành TL live</v>
      </c>
      <c r="X365" s="41" t="str">
        <f aca="false">IFERROR(__xludf.dummyfunction("""COMPUTED_VALUE"""),"Vuta")</f>
        <v>Vuta</v>
      </c>
      <c r="Y365" s="44"/>
      <c r="Z365" s="57"/>
      <c r="AA365" s="57"/>
      <c r="AB365" s="41" t="n">
        <f aca="false">IFERROR(__xludf.dummyfunction("""COMPUTED_VALUE"""),8)</f>
        <v>8</v>
      </c>
      <c r="AC365" s="57" t="str">
        <f aca="false">IFERROR(__xludf.dummyfunction("""COMPUTED_VALUE"""),"ss.vact01@ctv.hocmai.vn")</f>
        <v>ss.vact01@ctv.hocmai.vn</v>
      </c>
      <c r="AD365" s="46"/>
      <c r="AE365" s="46"/>
      <c r="AF365" s="47"/>
      <c r="AG365" s="46"/>
      <c r="AH365" s="53" t="b">
        <f aca="false">IFERROR(__xludf.dummyfunction("""COMPUTED_VALUE"""),FALSE())</f>
        <v>0</v>
      </c>
      <c r="AI365" s="53" t="b">
        <f aca="false">IFERROR(__xludf.dummyfunction("""COMPUTED_VALUE"""),FALSE())</f>
        <v>0</v>
      </c>
      <c r="AJ365" s="53" t="b">
        <f aca="false">IFERROR(__xludf.dummyfunction("""COMPUTED_VALUE"""),FALSE())</f>
        <v>0</v>
      </c>
      <c r="AK365" s="53" t="b">
        <f aca="false">IFERROR(__xludf.dummyfunction("""COMPUTED_VALUE"""),FALSE())</f>
        <v>0</v>
      </c>
      <c r="AL365" s="53" t="b">
        <f aca="false">IFERROR(__xludf.dummyfunction("""COMPUTED_VALUE"""),FALSE())</f>
        <v>0</v>
      </c>
      <c r="AM365" s="53" t="b">
        <f aca="false">IFERROR(__xludf.dummyfunction("""COMPUTED_VALUE"""),TRUE())</f>
        <v>1</v>
      </c>
      <c r="AN365" s="53" t="b">
        <f aca="false">IFERROR(__xludf.dummyfunction("""COMPUTED_VALUE"""),TRUE())</f>
        <v>1</v>
      </c>
      <c r="AO365" s="46"/>
    </row>
    <row r="366" customFormat="false" ht="15.75" hidden="false" customHeight="true" outlineLevel="0" collapsed="false">
      <c r="A366" s="37" t="str">
        <f aca="false">IFERROR(__xludf.dummyfunction("""COMPUTED_VALUE"""),"Vật lí")</f>
        <v>Vật lí</v>
      </c>
      <c r="B366" s="37" t="str">
        <f aca="false">IFERROR(__xludf.dummyfunction("""COMPUTED_VALUE"""),"TOV_TSA_L11")</f>
        <v>TOV_TSA_L11</v>
      </c>
      <c r="C366" s="59" t="str">
        <f aca="false">IFERROR(__xludf.dummyfunction("""COMPUTED_VALUE"""),"Từ trường – Lực từ và ứng dụng")</f>
        <v>Từ trường – Lực từ và ứng dụng</v>
      </c>
      <c r="D366" s="39" t="str">
        <f aca="false">IFERROR(__xludf.dummyfunction("""COMPUTED_VALUE"""),"Thiều Thị Dung")</f>
        <v>Thiều Thị Dung</v>
      </c>
      <c r="E366" s="40" t="n">
        <f aca="false">IFERROR(__xludf.dummyfunction("""COMPUTED_VALUE"""),46261)</f>
        <v>46261</v>
      </c>
      <c r="F366" s="41" t="n">
        <f aca="false">IFERROR(__xludf.dummyfunction("""COMPUTED_VALUE"""),5)</f>
        <v>5</v>
      </c>
      <c r="G366" s="37" t="str">
        <f aca="false">IFERROR(__xludf.dummyfunction("""COMPUTED_VALUE"""),"21:00-23:00")</f>
        <v>21:00-23:00</v>
      </c>
      <c r="H366" s="37"/>
      <c r="I366" s="37"/>
      <c r="J366" s="37"/>
      <c r="K366" s="68" t="str">
        <f aca="false">IFERROR(__xludf.dummyfunction("""COMPUTED_VALUE"""),"Trangnth2")</f>
        <v>Trangnth2</v>
      </c>
      <c r="L366" s="68" t="str">
        <f aca="false">IFERROR(__xludf.dummyfunction("""COMPUTED_VALUE"""),"Trần Đức Lương")</f>
        <v>Trần Đức Lương</v>
      </c>
      <c r="M366" s="71"/>
      <c r="N366" s="77" t="str">
        <f aca="false">IFERROR(__xludf.dummyfunction("""COMPUTED_VALUE"""),"3110")</f>
        <v>3110</v>
      </c>
      <c r="O366" s="63" t="n">
        <f aca="false">IFERROR(__xludf.dummyfunction("""COMPUTED_VALUE"""),167266)</f>
        <v>167266</v>
      </c>
      <c r="P366" s="63"/>
      <c r="Q366" s="63"/>
      <c r="R366" s="41"/>
      <c r="S366" s="41"/>
      <c r="T366" s="63"/>
      <c r="U366" s="63"/>
      <c r="V366" s="70" t="n">
        <f aca="false">IFERROR(__xludf.dummyfunction("""COMPUTED_VALUE"""),46264)</f>
        <v>46264</v>
      </c>
      <c r="W366" s="39"/>
      <c r="X366" s="41" t="str">
        <f aca="false">IFERROR(__xludf.dummyfunction("""COMPUTED_VALUE"""),"Trangnth2")</f>
        <v>Trangnth2</v>
      </c>
      <c r="Y366" s="44" t="str">
        <f aca="false">IFERROR(__xludf.dummyfunction("""COMPUTED_VALUE"""),"done")</f>
        <v>done</v>
      </c>
      <c r="Z366" s="57" t="str">
        <f aca="false">IFERROR(__xludf.dummyfunction("""COMPUTED_VALUE"""),"#N/A")</f>
        <v>#N/A</v>
      </c>
      <c r="AA366" s="57"/>
      <c r="AB366" s="41" t="n">
        <f aca="false">IFERROR(__xludf.dummyfunction("""COMPUTED_VALUE"""),8)</f>
        <v>8</v>
      </c>
      <c r="AC366" s="57" t="str">
        <f aca="false">IFERROR(__xludf.dummyfunction("""COMPUTED_VALUE"""),"dungtt2@hocmai.vn                ")</f>
        <v>dungtt2@hocmai.vn                </v>
      </c>
      <c r="AD366" s="46" t="str">
        <f aca="false">IFERROR(__xludf.dummyfunction("""COMPUTED_VALUE"""),"ss.hsa01@ctv.hocmai.vn")</f>
        <v>ss.hsa01@ctv.hocmai.vn</v>
      </c>
      <c r="AE366" s="46"/>
      <c r="AF366" s="74" t="b">
        <f aca="false">IFERROR(__xludf.dummyfunction("""COMPUTED_VALUE"""),FALSE())</f>
        <v>0</v>
      </c>
      <c r="AG366" s="46" t="str">
        <f aca="false">IFERROR(__xludf.dummyfunction("""COMPUTED_VALUE"""),"")</f>
        <v/>
      </c>
      <c r="AH366" s="35"/>
      <c r="AI366" s="53" t="b">
        <f aca="false">IFERROR(__xludf.dummyfunction("""COMPUTED_VALUE"""),TRUE())</f>
        <v>1</v>
      </c>
      <c r="AJ366" s="35"/>
      <c r="AK366" s="35"/>
      <c r="AL366" s="35"/>
      <c r="AM366" s="35"/>
      <c r="AN366" s="35"/>
      <c r="AO366" s="46"/>
    </row>
    <row r="367" customFormat="false" ht="15.75" hidden="false" customHeight="true" outlineLevel="0" collapsed="false">
      <c r="A367" s="37" t="str">
        <f aca="false">IFERROR(__xludf.dummyfunction("""COMPUTED_VALUE"""),"Toán")</f>
        <v>Toán</v>
      </c>
      <c r="B367" s="37" t="str">
        <f aca="false">IFERROR(__xludf.dummyfunction("""COMPUTED_VALUE"""),"TOV_HSA_DL11")</f>
        <v>TOV_HSA_DL11</v>
      </c>
      <c r="C367" s="59" t="str">
        <f aca="false">IFERROR(__xludf.dummyfunction("""COMPUTED_VALUE"""),"Các dạng câu hỏi hay gặp trong hình học Oxy")</f>
        <v>Các dạng câu hỏi hay gặp trong hình học Oxy</v>
      </c>
      <c r="D367" s="39" t="str">
        <f aca="false">IFERROR(__xludf.dummyfunction("""COMPUTED_VALUE"""),"Nguyễn Thanh Tùng")</f>
        <v>Nguyễn Thanh Tùng</v>
      </c>
      <c r="E367" s="40" t="n">
        <f aca="false">IFERROR(__xludf.dummyfunction("""COMPUTED_VALUE"""),46261)</f>
        <v>46261</v>
      </c>
      <c r="F367" s="41" t="n">
        <f aca="false">IFERROR(__xludf.dummyfunction("""COMPUTED_VALUE"""),5)</f>
        <v>5</v>
      </c>
      <c r="G367" s="37" t="str">
        <f aca="false">IFERROR(__xludf.dummyfunction("""COMPUTED_VALUE"""),"18:00-20:00")</f>
        <v>18:00-20:00</v>
      </c>
      <c r="H367" s="37"/>
      <c r="I367" s="37"/>
      <c r="J367" s="37"/>
      <c r="K367" s="68" t="str">
        <f aca="false">IFERROR(__xludf.dummyfunction("""COMPUTED_VALUE"""),"Lent")</f>
        <v>Lent</v>
      </c>
      <c r="L367" s="68" t="str">
        <f aca="false">IFERROR(__xludf.dummyfunction("""COMPUTED_VALUE"""),"Tưởng Thị Huyền Trang")</f>
        <v>Tưởng Thị Huyền Trang</v>
      </c>
      <c r="M367" s="71"/>
      <c r="N367" s="77" t="str">
        <f aca="false">IFERROR(__xludf.dummyfunction("""COMPUTED_VALUE"""),"3117,3315")</f>
        <v>3117,3315</v>
      </c>
      <c r="O367" s="73" t="n">
        <f aca="false">IFERROR(__xludf.dummyfunction("""COMPUTED_VALUE"""),168591.168332)</f>
        <v>168591.168332</v>
      </c>
      <c r="P367" s="63" t="str">
        <f aca="false">IFERROR(__xludf.dummyfunction("""COMPUTED_VALUE"""),"9028,9036,9104,9106")</f>
        <v>9028,9036,9104,9106</v>
      </c>
      <c r="Q367" s="63" t="n">
        <f aca="false">IFERROR(__xludf.dummyfunction("""COMPUTED_VALUE"""),168332)</f>
        <v>168332</v>
      </c>
      <c r="R367" s="41"/>
      <c r="S367" s="41"/>
      <c r="T367" s="63"/>
      <c r="U367" s="63"/>
      <c r="V367" s="70" t="n">
        <f aca="false">IFERROR(__xludf.dummyfunction("""COMPUTED_VALUE"""),46264)</f>
        <v>46264</v>
      </c>
      <c r="W367" s="39"/>
      <c r="X367" s="41" t="str">
        <f aca="false">IFERROR(__xludf.dummyfunction("""COMPUTED_VALUE"""),"Lent")</f>
        <v>Lent</v>
      </c>
      <c r="Y367" s="44" t="str">
        <f aca="false">IFERROR(__xludf.dummyfunction("""COMPUTED_VALUE"""),"done")</f>
        <v>done</v>
      </c>
      <c r="Z367" s="57" t="str">
        <f aca="false">IFERROR(__xludf.dummyfunction("""COMPUTED_VALUE"""),"#N/A")</f>
        <v>#N/A</v>
      </c>
      <c r="AA367" s="57"/>
      <c r="AB367" s="41" t="n">
        <f aca="false">IFERROR(__xludf.dummyfunction("""COMPUTED_VALUE"""),8)</f>
        <v>8</v>
      </c>
      <c r="AC367" s="57" t="str">
        <f aca="false">IFERROR(__xludf.dummyfunction("""COMPUTED_VALUE"""),"gv.tungnt@hocmai.edu.vn ")</f>
        <v>gv.tungnt@hocmai.edu.vn </v>
      </c>
      <c r="AD367" s="46" t="str">
        <f aca="false">IFERROR(__xludf.dummyfunction("""COMPUTED_VALUE"""),"trangcrazy699@gmail.com")</f>
        <v>trangcrazy699@gmail.com</v>
      </c>
      <c r="AE367" s="46"/>
      <c r="AF367" s="47" t="str">
        <f aca="false">IFERROR(__xludf.dummyfunction("""COMPUTED_VALUE"""),"lophoctoan-946261")</f>
        <v>lophoctoan-946261</v>
      </c>
      <c r="AG367" s="46" t="str">
        <f aca="false">IFERROR(__xludf.dummyfunction("""COMPUTED_VALUE"""),"")</f>
        <v/>
      </c>
      <c r="AH367" s="35"/>
      <c r="AI367" s="35"/>
      <c r="AJ367" s="53" t="b">
        <f aca="false">IFERROR(__xludf.dummyfunction("""COMPUTED_VALUE"""),TRUE())</f>
        <v>1</v>
      </c>
      <c r="AK367" s="53" t="b">
        <f aca="false">IFERROR(__xludf.dummyfunction("""COMPUTED_VALUE"""),TRUE())</f>
        <v>1</v>
      </c>
      <c r="AL367" s="35"/>
      <c r="AM367" s="35"/>
      <c r="AN367" s="35"/>
      <c r="AO367" s="46"/>
    </row>
    <row r="368" customFormat="false" ht="15.75" hidden="false" customHeight="true" outlineLevel="0" collapsed="false">
      <c r="A368" s="37" t="str">
        <f aca="false">IFERROR(__xludf.dummyfunction("""COMPUTED_VALUE"""),"Vật lí")</f>
        <v>Vật lí</v>
      </c>
      <c r="B368" s="37" t="str">
        <f aca="false">IFERROR(__xludf.dummyfunction("""COMPUTED_VALUE"""),"TOV_HT_VL11")</f>
        <v>TOV_HT_VL11</v>
      </c>
      <c r="C368" s="59" t="str">
        <f aca="false">IFERROR(__xludf.dummyfunction("""COMPUTED_VALUE"""),"Tổng ôn lớp 11 “Dao động – Sóng – Điện”")</f>
        <v>Tổng ôn lớp 11 “Dao động – Sóng – Điện”</v>
      </c>
      <c r="D368" s="39" t="str">
        <f aca="false">IFERROR(__xludf.dummyfunction("""COMPUTED_VALUE"""),"Nguyễn Hữu Tình")</f>
        <v>Nguyễn Hữu Tình</v>
      </c>
      <c r="E368" s="40" t="n">
        <f aca="false">IFERROR(__xludf.dummyfunction("""COMPUTED_VALUE"""),46261)</f>
        <v>46261</v>
      </c>
      <c r="F368" s="41" t="n">
        <f aca="false">IFERROR(__xludf.dummyfunction("""COMPUTED_VALUE"""),5)</f>
        <v>5</v>
      </c>
      <c r="G368" s="37" t="str">
        <f aca="false">IFERROR(__xludf.dummyfunction("""COMPUTED_VALUE"""),"21:00-23:00")</f>
        <v>21:00-23:00</v>
      </c>
      <c r="H368" s="37"/>
      <c r="I368" s="37"/>
      <c r="J368" s="37"/>
      <c r="K368" s="68" t="str">
        <f aca="false">IFERROR(__xludf.dummyfunction("""COMPUTED_VALUE"""),"Trangnth2")</f>
        <v>Trangnth2</v>
      </c>
      <c r="L368" s="68" t="str">
        <f aca="false">IFERROR(__xludf.dummyfunction("""COMPUTED_VALUE"""),"Kiều Bảo Minh")</f>
        <v>Kiều Bảo Minh</v>
      </c>
      <c r="M368" s="71"/>
      <c r="N368" s="80" t="str">
        <f aca="false">IFERROR(__xludf.dummyfunction("""COMPUTED_VALUE"""),"3119,3130")</f>
        <v>3119,3130</v>
      </c>
      <c r="O368" s="73" t="n">
        <f aca="false">IFERROR(__xludf.dummyfunction("""COMPUTED_VALUE"""),167526.167573)</f>
        <v>167526.167573</v>
      </c>
      <c r="P368" s="63" t="str">
        <f aca="false">IFERROR(__xludf.dummyfunction("""COMPUTED_VALUE"""),"9031,9039,9020")</f>
        <v>9031,9039,9020</v>
      </c>
      <c r="Q368" s="63"/>
      <c r="R368" s="41"/>
      <c r="S368" s="41"/>
      <c r="T368" s="63"/>
      <c r="U368" s="63" t="n">
        <f aca="false">IFERROR(__xludf.dummyfunction("""COMPUTED_VALUE"""),10467)</f>
        <v>10467</v>
      </c>
      <c r="V368" s="70" t="n">
        <f aca="false">IFERROR(__xludf.dummyfunction("""COMPUTED_VALUE"""),46264)</f>
        <v>46264</v>
      </c>
      <c r="W368" s="39"/>
      <c r="X368" s="41" t="str">
        <f aca="false">IFERROR(__xludf.dummyfunction("""COMPUTED_VALUE"""),"Trangnth2")</f>
        <v>Trangnth2</v>
      </c>
      <c r="Y368" s="44"/>
      <c r="Z368" s="57" t="str">
        <f aca="false">IFERROR(__xludf.dummyfunction("""COMPUTED_VALUE"""),"#N/A")</f>
        <v>#N/A</v>
      </c>
      <c r="AA368" s="57"/>
      <c r="AB368" s="41" t="n">
        <f aca="false">IFERROR(__xludf.dummyfunction("""COMPUTED_VALUE"""),8)</f>
        <v>8</v>
      </c>
      <c r="AC368" s="57" t="str">
        <f aca="false">IFERROR(__xludf.dummyfunction("""COMPUTED_VALUE"""),"gv.tinhnh@hocmai.edu.vn ")</f>
        <v>gv.tinhnh@hocmai.edu.vn </v>
      </c>
      <c r="AD368" s="46" t="str">
        <f aca="false">IFERROR(__xludf.dummyfunction("""COMPUTED_VALUE"""),"mkieu2662@gmail.com")</f>
        <v>mkieu2662@gmail.com</v>
      </c>
      <c r="AE368" s="46"/>
      <c r="AF368" s="74" t="b">
        <f aca="false">IFERROR(__xludf.dummyfunction("""COMPUTED_VALUE"""),FALSE())</f>
        <v>0</v>
      </c>
      <c r="AG368" s="46" t="str">
        <f aca="false">IFERROR(__xludf.dummyfunction("""COMPUTED_VALUE"""),"")</f>
        <v/>
      </c>
      <c r="AH368" s="35"/>
      <c r="AI368" s="35"/>
      <c r="AJ368" s="53" t="b">
        <f aca="false">IFERROR(__xludf.dummyfunction("""COMPUTED_VALUE"""),TRUE())</f>
        <v>1</v>
      </c>
      <c r="AK368" s="53" t="b">
        <f aca="false">IFERROR(__xludf.dummyfunction("""COMPUTED_VALUE"""),TRUE())</f>
        <v>1</v>
      </c>
      <c r="AL368" s="53" t="b">
        <f aca="false">IFERROR(__xludf.dummyfunction("""COMPUTED_VALUE"""),TRUE())</f>
        <v>1</v>
      </c>
      <c r="AM368" s="35"/>
      <c r="AN368" s="35"/>
      <c r="AO368" s="46"/>
    </row>
    <row r="369" customFormat="false" ht="15.75" hidden="false" customHeight="true" outlineLevel="0" collapsed="false">
      <c r="A369" s="37" t="str">
        <f aca="false">IFERROR(__xludf.dummyfunction("""COMPUTED_VALUE"""),"Toán")</f>
        <v>Toán</v>
      </c>
      <c r="B369" s="37" t="str">
        <f aca="false">IFERROR(__xludf.dummyfunction("""COMPUTED_VALUE"""),"TOA_V-ACT_T11")</f>
        <v>TOA_V-ACT_T11</v>
      </c>
      <c r="C369" s="59" t="str">
        <f aca="false">IFERROR(__xludf.dummyfunction("""COMPUTED_VALUE"""),"Các bài toán trọng tâm về hàm số (P2)")</f>
        <v>Các bài toán trọng tâm về hàm số (P2)</v>
      </c>
      <c r="D369" s="39" t="str">
        <f aca="false">IFERROR(__xludf.dummyfunction("""COMPUTED_VALUE"""),"Nguyễn Hoài Nam")</f>
        <v>Nguyễn Hoài Nam</v>
      </c>
      <c r="E369" s="40" t="n">
        <f aca="false">IFERROR(__xludf.dummyfunction("""COMPUTED_VALUE"""),46261)</f>
        <v>46261</v>
      </c>
      <c r="F369" s="41" t="n">
        <f aca="false">IFERROR(__xludf.dummyfunction("""COMPUTED_VALUE"""),5)</f>
        <v>5</v>
      </c>
      <c r="G369" s="37" t="str">
        <f aca="false">IFERROR(__xludf.dummyfunction("""COMPUTED_VALUE"""),"21:00-22:30")</f>
        <v>21:00-22:30</v>
      </c>
      <c r="H369" s="37"/>
      <c r="I369" s="37"/>
      <c r="J369" s="37"/>
      <c r="K369" s="68" t="str">
        <f aca="false">IFERROR(__xludf.dummyfunction("""COMPUTED_VALUE"""),"Lent")</f>
        <v>Lent</v>
      </c>
      <c r="L369" s="68" t="str">
        <f aca="false">IFERROR(__xludf.dummyfunction("""COMPUTED_VALUE"""),"Lường Nhật Nam")</f>
        <v>Lường Nhật Nam</v>
      </c>
      <c r="M369" s="71"/>
      <c r="N369" s="77" t="str">
        <f aca="false">IFERROR(__xludf.dummyfunction("""COMPUTED_VALUE"""),"3124,3316")</f>
        <v>3124,3316</v>
      </c>
      <c r="O369" s="73" t="n">
        <f aca="false">IFERROR(__xludf.dummyfunction("""COMPUTED_VALUE"""),167198.166865)</f>
        <v>167198.166865</v>
      </c>
      <c r="P369" s="63" t="n">
        <f aca="false">IFERROR(__xludf.dummyfunction("""COMPUTED_VALUE"""),9044.9108)</f>
        <v>9044.9108</v>
      </c>
      <c r="Q369" s="63" t="n">
        <f aca="false">IFERROR(__xludf.dummyfunction("""COMPUTED_VALUE"""),167198)</f>
        <v>167198</v>
      </c>
      <c r="R369" s="41" t="n">
        <f aca="false">IFERROR(__xludf.dummyfunction("""COMPUTED_VALUE"""),166865)</f>
        <v>166865</v>
      </c>
      <c r="S369" s="41"/>
      <c r="T369" s="63"/>
      <c r="U369" s="63"/>
      <c r="V369" s="70" t="n">
        <f aca="false">IFERROR(__xludf.dummyfunction("""COMPUTED_VALUE"""),46264)</f>
        <v>46264</v>
      </c>
      <c r="W369" s="39"/>
      <c r="X369" s="41" t="str">
        <f aca="false">IFERROR(__xludf.dummyfunction("""COMPUTED_VALUE"""),"Lent")</f>
        <v>Lent</v>
      </c>
      <c r="Y369" s="44" t="str">
        <f aca="false">IFERROR(__xludf.dummyfunction("""COMPUTED_VALUE"""),"done")</f>
        <v>done</v>
      </c>
      <c r="Z369" s="57" t="str">
        <f aca="false">IFERROR(__xludf.dummyfunction("""COMPUTED_VALUE"""),"#N/A")</f>
        <v>#N/A</v>
      </c>
      <c r="AA369" s="57"/>
      <c r="AB369" s="41" t="n">
        <f aca="false">IFERROR(__xludf.dummyfunction("""COMPUTED_VALUE"""),8)</f>
        <v>8</v>
      </c>
      <c r="AC369" s="57" t="str">
        <f aca="false">IFERROR(__xludf.dummyfunction("""COMPUTED_VALUE"""),"gv.namnh@hocmai.edu.vn ")</f>
        <v>gv.namnh@hocmai.edu.vn </v>
      </c>
      <c r="AD369" s="46" t="str">
        <f aca="false">IFERROR(__xludf.dummyfunction("""COMPUTED_VALUE"""),"nhatnam1092@gmail.com")</f>
        <v>nhatnam1092@gmail.com</v>
      </c>
      <c r="AE369" s="46"/>
      <c r="AF369" s="47" t="str">
        <f aca="false">IFERROR(__xludf.dummyfunction("""COMPUTED_VALUE"""),"lophoctoan-946261")</f>
        <v>lophoctoan-946261</v>
      </c>
      <c r="AG369" s="46" t="str">
        <f aca="false">IFERROR(__xludf.dummyfunction("""COMPUTED_VALUE"""),"")</f>
        <v/>
      </c>
      <c r="AH369" s="35"/>
      <c r="AI369" s="35"/>
      <c r="AJ369" s="35"/>
      <c r="AK369" s="35"/>
      <c r="AL369" s="35"/>
      <c r="AM369" s="53" t="b">
        <f aca="false">IFERROR(__xludf.dummyfunction("""COMPUTED_VALUE"""),TRUE())</f>
        <v>1</v>
      </c>
      <c r="AN369" s="53" t="b">
        <f aca="false">IFERROR(__xludf.dummyfunction("""COMPUTED_VALUE"""),TRUE())</f>
        <v>1</v>
      </c>
      <c r="AO369" s="46"/>
    </row>
    <row r="370" customFormat="false" ht="15.75" hidden="false" customHeight="true" outlineLevel="0" collapsed="false">
      <c r="A370" s="37" t="str">
        <f aca="false">IFERROR(__xludf.dummyfunction("""COMPUTED_VALUE"""),"Tiếng Anh")</f>
        <v>Tiếng Anh</v>
      </c>
      <c r="B370" s="37" t="str">
        <f aca="false">IFERROR(__xludf.dummyfunction("""COMPUTED_VALUE"""),"TOV_TNTHPT_TA02")</f>
        <v>TOV_TNTHPT_TA02</v>
      </c>
      <c r="C370" s="59" t="str">
        <f aca="false">IFERROR(__xludf.dummyfunction("""COMPUTED_VALUE"""),"Tổng ôn ngữ pháp về thì động từ (dạng chủ động và bị động)")</f>
        <v>Tổng ôn ngữ pháp về thì động từ (dạng chủ động và bị động)</v>
      </c>
      <c r="D370" s="39" t="str">
        <f aca="false">IFERROR(__xludf.dummyfunction("""COMPUTED_VALUE"""),"Nguyễn Trung Nguyên")</f>
        <v>Nguyễn Trung Nguyên</v>
      </c>
      <c r="E370" s="40" t="n">
        <f aca="false">IFERROR(__xludf.dummyfunction("""COMPUTED_VALUE"""),46261)</f>
        <v>46261</v>
      </c>
      <c r="F370" s="41" t="n">
        <f aca="false">IFERROR(__xludf.dummyfunction("""COMPUTED_VALUE"""),5)</f>
        <v>5</v>
      </c>
      <c r="G370" s="37" t="str">
        <f aca="false">IFERROR(__xludf.dummyfunction("""COMPUTED_VALUE"""),"18:00-20:00")</f>
        <v>18:00-20:00</v>
      </c>
      <c r="H370" s="37"/>
      <c r="I370" s="37"/>
      <c r="J370" s="37"/>
      <c r="K370" s="68" t="str">
        <f aca="false">IFERROR(__xludf.dummyfunction("""COMPUTED_VALUE"""),"huyennn2")</f>
        <v>huyennn2</v>
      </c>
      <c r="L370" s="68" t="str">
        <f aca="false">IFERROR(__xludf.dummyfunction("""COMPUTED_VALUE"""),"Phan Đức Kiên")</f>
        <v>Phan Đức Kiên</v>
      </c>
      <c r="M370" s="71"/>
      <c r="N370" s="77" t="str">
        <f aca="false">IFERROR(__xludf.dummyfunction("""COMPUTED_VALUE"""),"3129")</f>
        <v>3129</v>
      </c>
      <c r="O370" s="63" t="n">
        <f aca="false">IFERROR(__xludf.dummyfunction("""COMPUTED_VALUE"""),167654)</f>
        <v>167654</v>
      </c>
      <c r="P370" s="63"/>
      <c r="Q370" s="63"/>
      <c r="R370" s="41"/>
      <c r="S370" s="41"/>
      <c r="T370" s="63"/>
      <c r="U370" s="63"/>
      <c r="V370" s="70" t="n">
        <f aca="false">IFERROR(__xludf.dummyfunction("""COMPUTED_VALUE"""),46264)</f>
        <v>46264</v>
      </c>
      <c r="W370" s="39"/>
      <c r="X370" s="41" t="str">
        <f aca="false">IFERROR(__xludf.dummyfunction("""COMPUTED_VALUE"""),"lytt")</f>
        <v>lytt</v>
      </c>
      <c r="Y370" s="44"/>
      <c r="Z370" s="57" t="str">
        <f aca="false">IFERROR(__xludf.dummyfunction("""COMPUTED_VALUE"""),"#N/A")</f>
        <v>#N/A</v>
      </c>
      <c r="AA370" s="57"/>
      <c r="AB370" s="41" t="n">
        <f aca="false">IFERROR(__xludf.dummyfunction("""COMPUTED_VALUE"""),8)</f>
        <v>8</v>
      </c>
      <c r="AC370" s="57" t="str">
        <f aca="false">IFERROR(__xludf.dummyfunction("""COMPUTED_VALUE"""),"gv.nguyennt@hocmai.edu.vn ")</f>
        <v>gv.nguyennt@hocmai.edu.vn </v>
      </c>
      <c r="AD370" s="46" t="str">
        <f aca="false">IFERROR(__xludf.dummyfunction("""COMPUTED_VALUE"""),"duckien010607@gmail.com")</f>
        <v>duckien010607@gmail.com</v>
      </c>
      <c r="AE370" s="46"/>
      <c r="AF370" s="47" t="str">
        <f aca="false">IFERROR(__xludf.dummyfunction("""COMPUTED_VALUE"""),"lophoctienganh46261")</f>
        <v>lophoctienganh46261</v>
      </c>
      <c r="AG370" s="46" t="str">
        <f aca="false">IFERROR(__xludf.dummyfunction("""COMPUTED_VALUE"""),"")</f>
        <v/>
      </c>
      <c r="AH370" s="35"/>
      <c r="AI370" s="35"/>
      <c r="AJ370" s="35"/>
      <c r="AK370" s="35"/>
      <c r="AL370" s="53" t="b">
        <f aca="false">IFERROR(__xludf.dummyfunction("""COMPUTED_VALUE"""),TRUE())</f>
        <v>1</v>
      </c>
      <c r="AM370" s="35"/>
      <c r="AN370" s="35"/>
      <c r="AO370" s="46"/>
    </row>
    <row r="371" customFormat="false" ht="15.75" hidden="false" customHeight="true" outlineLevel="0" collapsed="false">
      <c r="A371" s="37" t="str">
        <f aca="false">IFERROR(__xludf.dummyfunction("""COMPUTED_VALUE"""),"Thực chiến Khoa học")</f>
        <v>Thực chiến Khoa học</v>
      </c>
      <c r="B371" s="37" t="str">
        <f aca="false">IFERROR(__xludf.dummyfunction("""COMPUTED_VALUE"""),"TC_TSA_KH_23")</f>
        <v>TC_TSA_KH_23</v>
      </c>
      <c r="C371" s="59" t="str">
        <f aca="false">IFERROR(__xludf.dummyfunction("""COMPUTED_VALUE"""),"[Bổ trợ]_Chữa bài tập TSA_Tư duy Khoa học số 23")</f>
        <v>[Bổ trợ]_Chữa bài tập TSA_Tư duy Khoa học số 23</v>
      </c>
      <c r="D371" s="39" t="str">
        <f aca="false">IFERROR(__xludf.dummyfunction("""COMPUTED_VALUE"""),"Phạm Huy Hoàng")</f>
        <v>Phạm Huy Hoàng</v>
      </c>
      <c r="E371" s="40" t="n">
        <f aca="false">IFERROR(__xludf.dummyfunction("""COMPUTED_VALUE"""),46261)</f>
        <v>46261</v>
      </c>
      <c r="F371" s="41" t="n">
        <f aca="false">IFERROR(__xludf.dummyfunction("""COMPUTED_VALUE"""),5)</f>
        <v>5</v>
      </c>
      <c r="G371" s="37" t="str">
        <f aca="false">IFERROR(__xludf.dummyfunction("""COMPUTED_VALUE"""),"19:00-20:00")</f>
        <v>19:00-20:00</v>
      </c>
      <c r="H371" s="37"/>
      <c r="I371" s="37"/>
      <c r="J371" s="37"/>
      <c r="K371" s="68" t="str">
        <f aca="false">IFERROR(__xludf.dummyfunction("""COMPUTED_VALUE"""),"Trangnth2")</f>
        <v>Trangnth2</v>
      </c>
      <c r="L371" s="68" t="str">
        <f aca="false">IFERROR(__xludf.dummyfunction("""COMPUTED_VALUE"""),"HOCMAI")</f>
        <v>HOCMAI</v>
      </c>
      <c r="M371" s="71"/>
      <c r="N371" s="77" t="str">
        <f aca="false">IFERROR(__xludf.dummyfunction("""COMPUTED_VALUE"""),"3110")</f>
        <v>3110</v>
      </c>
      <c r="O371" s="63" t="n">
        <f aca="false">IFERROR(__xludf.dummyfunction("""COMPUTED_VALUE"""),176076)</f>
        <v>176076</v>
      </c>
      <c r="P371" s="60" t="str">
        <f aca="false">IFERROR(__xludf.dummyfunction("""COMPUTED_VALUE"""),"https://hocmai.vn/bai-giang-truc-tuyen/176076/.html")</f>
        <v>https://hocmai.vn/bai-giang-truc-tuyen/176076/.html</v>
      </c>
      <c r="Q371" s="63"/>
      <c r="R371" s="41"/>
      <c r="S371" s="41"/>
      <c r="T371" s="63"/>
      <c r="U371" s="63"/>
      <c r="V371" s="70" t="n">
        <f aca="false">IFERROR(__xludf.dummyfunction("""COMPUTED_VALUE"""),46264)</f>
        <v>46264</v>
      </c>
      <c r="W371" s="39"/>
      <c r="X371" s="41" t="str">
        <f aca="false">IFERROR(__xludf.dummyfunction("""COMPUTED_VALUE"""),"Vuta")</f>
        <v>Vuta</v>
      </c>
      <c r="Y371" s="44"/>
      <c r="Z371" s="57"/>
      <c r="AA371" s="57"/>
      <c r="AB371" s="41" t="n">
        <f aca="false">IFERROR(__xludf.dummyfunction("""COMPUTED_VALUE"""),8)</f>
        <v>8</v>
      </c>
      <c r="AC371" s="57" t="str">
        <f aca="false">IFERROR(__xludf.dummyfunction("""COMPUTED_VALUE"""),"0376611308")</f>
        <v>0376611308</v>
      </c>
      <c r="AD371" s="46"/>
      <c r="AE371" s="46"/>
      <c r="AF371" s="47"/>
      <c r="AG371" s="46"/>
      <c r="AH371" s="53" t="b">
        <f aca="false">IFERROR(__xludf.dummyfunction("""COMPUTED_VALUE"""),FALSE())</f>
        <v>0</v>
      </c>
      <c r="AI371" s="53" t="b">
        <f aca="false">IFERROR(__xludf.dummyfunction("""COMPUTED_VALUE"""),TRUE())</f>
        <v>1</v>
      </c>
      <c r="AJ371" s="53" t="b">
        <f aca="false">IFERROR(__xludf.dummyfunction("""COMPUTED_VALUE"""),FALSE())</f>
        <v>0</v>
      </c>
      <c r="AK371" s="53" t="b">
        <f aca="false">IFERROR(__xludf.dummyfunction("""COMPUTED_VALUE"""),FALSE())</f>
        <v>0</v>
      </c>
      <c r="AL371" s="53" t="b">
        <f aca="false">IFERROR(__xludf.dummyfunction("""COMPUTED_VALUE"""),FALSE())</f>
        <v>0</v>
      </c>
      <c r="AM371" s="53" t="b">
        <f aca="false">IFERROR(__xludf.dummyfunction("""COMPUTED_VALUE"""),FALSE())</f>
        <v>0</v>
      </c>
      <c r="AN371" s="53" t="b">
        <f aca="false">IFERROR(__xludf.dummyfunction("""COMPUTED_VALUE"""),FALSE())</f>
        <v>0</v>
      </c>
      <c r="AO371" s="46"/>
    </row>
    <row r="372" customFormat="false" ht="15.75" hidden="false" customHeight="true" outlineLevel="0" collapsed="false">
      <c r="A372" s="37" t="str">
        <f aca="false">IFERROR(__xludf.dummyfunction("""COMPUTED_VALUE"""),"Toán")</f>
        <v>Toán</v>
      </c>
      <c r="B372" s="37" t="str">
        <f aca="false">IFERROR(__xludf.dummyfunction("""COMPUTED_VALUE"""),"TOV_TSA_T11")</f>
        <v>TOV_TSA_T11</v>
      </c>
      <c r="C372" s="59" t="str">
        <f aca="false">IFERROR(__xludf.dummyfunction("""COMPUTED_VALUE"""),"Nhị thức Newton và các dạng toán liên quan")</f>
        <v>Nhị thức Newton và các dạng toán liên quan</v>
      </c>
      <c r="D372" s="39" t="str">
        <f aca="false">IFERROR(__xludf.dummyfunction("""COMPUTED_VALUE"""),"Nguyễn Thanh Tùng")</f>
        <v>Nguyễn Thanh Tùng</v>
      </c>
      <c r="E372" s="40" t="n">
        <f aca="false">IFERROR(__xludf.dummyfunction("""COMPUTED_VALUE"""),46262)</f>
        <v>46262</v>
      </c>
      <c r="F372" s="41" t="n">
        <f aca="false">IFERROR(__xludf.dummyfunction("""COMPUTED_VALUE"""),6)</f>
        <v>6</v>
      </c>
      <c r="G372" s="37" t="str">
        <f aca="false">IFERROR(__xludf.dummyfunction("""COMPUTED_VALUE"""),"18:00-20:00")</f>
        <v>18:00-20:00</v>
      </c>
      <c r="H372" s="37"/>
      <c r="I372" s="37"/>
      <c r="J372" s="62"/>
      <c r="K372" s="68" t="str">
        <f aca="false">IFERROR(__xludf.dummyfunction("""COMPUTED_VALUE"""),"Locdd")</f>
        <v>Locdd</v>
      </c>
      <c r="L372" s="68" t="str">
        <f aca="false">IFERROR(__xludf.dummyfunction("""COMPUTED_VALUE"""),"Tưởng Thị Huyền Trang")</f>
        <v>Tưởng Thị Huyền Trang</v>
      </c>
      <c r="M372" s="71"/>
      <c r="N372" s="77" t="str">
        <f aca="false">IFERROR(__xludf.dummyfunction("""COMPUTED_VALUE"""),"3108")</f>
        <v>3108</v>
      </c>
      <c r="O372" s="63" t="n">
        <f aca="false">IFERROR(__xludf.dummyfunction("""COMPUTED_VALUE"""),168376)</f>
        <v>168376</v>
      </c>
      <c r="P372" s="63"/>
      <c r="Q372" s="63"/>
      <c r="R372" s="41"/>
      <c r="S372" s="41"/>
      <c r="T372" s="63"/>
      <c r="U372" s="63"/>
      <c r="V372" s="70" t="n">
        <f aca="false">IFERROR(__xludf.dummyfunction("""COMPUTED_VALUE"""),46265)</f>
        <v>46265</v>
      </c>
      <c r="W372" s="39"/>
      <c r="X372" s="41" t="str">
        <f aca="false">IFERROR(__xludf.dummyfunction("""COMPUTED_VALUE"""),"Locdd")</f>
        <v>Locdd</v>
      </c>
      <c r="Y372" s="44" t="str">
        <f aca="false">IFERROR(__xludf.dummyfunction("""COMPUTED_VALUE"""),"done")</f>
        <v>done</v>
      </c>
      <c r="Z372" s="57" t="str">
        <f aca="false">IFERROR(__xludf.dummyfunction("""COMPUTED_VALUE"""),"#N/A")</f>
        <v>#N/A</v>
      </c>
      <c r="AA372" s="57"/>
      <c r="AB372" s="41" t="n">
        <f aca="false">IFERROR(__xludf.dummyfunction("""COMPUTED_VALUE"""),8)</f>
        <v>8</v>
      </c>
      <c r="AC372" s="57" t="str">
        <f aca="false">IFERROR(__xludf.dummyfunction("""COMPUTED_VALUE"""),"gv.tungnt@hocmai.edu.vn ")</f>
        <v>gv.tungnt@hocmai.edu.vn </v>
      </c>
      <c r="AD372" s="46" t="str">
        <f aca="false">IFERROR(__xludf.dummyfunction("""COMPUTED_VALUE"""),"trangcrazy699@gmail.com")</f>
        <v>trangcrazy699@gmail.com</v>
      </c>
      <c r="AE372" s="46"/>
      <c r="AF372" s="47" t="str">
        <f aca="false">IFERROR(__xludf.dummyfunction("""COMPUTED_VALUE"""),"lophoctoan-946262")</f>
        <v>lophoctoan-946262</v>
      </c>
      <c r="AG372" s="46" t="str">
        <f aca="false">IFERROR(__xludf.dummyfunction("""COMPUTED_VALUE"""),"")</f>
        <v/>
      </c>
      <c r="AH372" s="35"/>
      <c r="AI372" s="53" t="b">
        <f aca="false">IFERROR(__xludf.dummyfunction("""COMPUTED_VALUE"""),TRUE())</f>
        <v>1</v>
      </c>
      <c r="AJ372" s="35"/>
      <c r="AK372" s="35"/>
      <c r="AL372" s="35"/>
      <c r="AM372" s="35"/>
      <c r="AN372" s="35"/>
      <c r="AO372" s="46"/>
    </row>
    <row r="373" customFormat="false" ht="15.75" hidden="false" customHeight="true" outlineLevel="0" collapsed="false">
      <c r="A373" s="37" t="str">
        <f aca="false">IFERROR(__xludf.dummyfunction("""COMPUTED_VALUE"""),"Sinh học")</f>
        <v>Sinh học</v>
      </c>
      <c r="B373" s="37" t="str">
        <f aca="false">IFERROR(__xludf.dummyfunction("""COMPUTED_VALUE"""),"TOV_HT_SH11")</f>
        <v>TOV_HT_SH11</v>
      </c>
      <c r="C373" s="59" t="str">
        <f aca="false">IFERROR(__xludf.dummyfunction("""COMPUTED_VALUE"""),"Tổng ôn Lớp 11: Sinh lí thực vật &amp; động vật")</f>
        <v>Tổng ôn Lớp 11: Sinh lí thực vật &amp; động vật</v>
      </c>
      <c r="D373" s="39" t="str">
        <f aca="false">IFERROR(__xludf.dummyfunction("""COMPUTED_VALUE"""),"Nguyễn Dương Ánh Hồng")</f>
        <v>Nguyễn Dương Ánh Hồng</v>
      </c>
      <c r="E373" s="40" t="n">
        <f aca="false">IFERROR(__xludf.dummyfunction("""COMPUTED_VALUE"""),46262)</f>
        <v>46262</v>
      </c>
      <c r="F373" s="41" t="n">
        <f aca="false">IFERROR(__xludf.dummyfunction("""COMPUTED_VALUE"""),6)</f>
        <v>6</v>
      </c>
      <c r="G373" s="37" t="str">
        <f aca="false">IFERROR(__xludf.dummyfunction("""COMPUTED_VALUE"""),"19:30-21:30")</f>
        <v>19:30-21:30</v>
      </c>
      <c r="H373" s="37"/>
      <c r="I373" s="37"/>
      <c r="J373" s="37"/>
      <c r="K373" s="68" t="str">
        <f aca="false">IFERROR(__xludf.dummyfunction("""COMPUTED_VALUE"""),"Phuongdt")</f>
        <v>Phuongdt</v>
      </c>
      <c r="L373" s="68" t="str">
        <f aca="false">IFERROR(__xludf.dummyfunction("""COMPUTED_VALUE"""),"Phan Đức Kiên")</f>
        <v>Phan Đức Kiên</v>
      </c>
      <c r="M373" s="71"/>
      <c r="N373" s="77" t="str">
        <f aca="false">IFERROR(__xludf.dummyfunction("""COMPUTED_VALUE"""),"3121,3132")</f>
        <v>3121,3132</v>
      </c>
      <c r="O373" s="73" t="n">
        <f aca="false">IFERROR(__xludf.dummyfunction("""COMPUTED_VALUE"""),167328.167342)</f>
        <v>167328.167342</v>
      </c>
      <c r="P373" s="63" t="str">
        <f aca="false">IFERROR(__xludf.dummyfunction("""COMPUTED_VALUE"""),"9033,9041,9022")</f>
        <v>9033,9041,9022</v>
      </c>
      <c r="Q373" s="63"/>
      <c r="R373" s="41"/>
      <c r="S373" s="41"/>
      <c r="T373" s="63" t="n">
        <f aca="false">IFERROR(__xludf.dummyfunction("""COMPUTED_VALUE"""),23843)</f>
        <v>23843</v>
      </c>
      <c r="U373" s="63"/>
      <c r="V373" s="70" t="n">
        <f aca="false">IFERROR(__xludf.dummyfunction("""COMPUTED_VALUE"""),46265)</f>
        <v>46265</v>
      </c>
      <c r="W373" s="39"/>
      <c r="X373" s="41" t="str">
        <f aca="false">IFERROR(__xludf.dummyfunction("""COMPUTED_VALUE"""),"Phuongdt")</f>
        <v>Phuongdt</v>
      </c>
      <c r="Y373" s="44"/>
      <c r="Z373" s="57" t="str">
        <f aca="false">IFERROR(__xludf.dummyfunction("""COMPUTED_VALUE"""),"#N/A")</f>
        <v>#N/A</v>
      </c>
      <c r="AA373" s="57"/>
      <c r="AB373" s="41" t="n">
        <f aca="false">IFERROR(__xludf.dummyfunction("""COMPUTED_VALUE"""),8)</f>
        <v>8</v>
      </c>
      <c r="AC373" s="57" t="str">
        <f aca="false">IFERROR(__xludf.dummyfunction("""COMPUTED_VALUE"""),"gv.hongnda@hocmai.edu.vn ")</f>
        <v>gv.hongnda@hocmai.edu.vn </v>
      </c>
      <c r="AD373" s="46" t="str">
        <f aca="false">IFERROR(__xludf.dummyfunction("""COMPUTED_VALUE"""),"duckien010607@gmail.com")</f>
        <v>duckien010607@gmail.com</v>
      </c>
      <c r="AE373" s="46"/>
      <c r="AF373" s="74" t="b">
        <f aca="false">IFERROR(__xludf.dummyfunction("""COMPUTED_VALUE"""),FALSE())</f>
        <v>0</v>
      </c>
      <c r="AG373" s="46" t="str">
        <f aca="false">IFERROR(__xludf.dummyfunction("""COMPUTED_VALUE"""),"")</f>
        <v/>
      </c>
      <c r="AH373" s="35"/>
      <c r="AI373" s="35"/>
      <c r="AJ373" s="53" t="b">
        <f aca="false">IFERROR(__xludf.dummyfunction("""COMPUTED_VALUE"""),TRUE())</f>
        <v>1</v>
      </c>
      <c r="AK373" s="53" t="b">
        <f aca="false">IFERROR(__xludf.dummyfunction("""COMPUTED_VALUE"""),TRUE())</f>
        <v>1</v>
      </c>
      <c r="AL373" s="53" t="b">
        <f aca="false">IFERROR(__xludf.dummyfunction("""COMPUTED_VALUE"""),TRUE())</f>
        <v>1</v>
      </c>
      <c r="AM373" s="35"/>
      <c r="AN373" s="35"/>
      <c r="AO373" s="46"/>
    </row>
    <row r="374" customFormat="false" ht="15.75" hidden="false" customHeight="true" outlineLevel="0" collapsed="false">
      <c r="A374" s="37" t="str">
        <f aca="false">IFERROR(__xludf.dummyfunction("""COMPUTED_VALUE"""),"Lịch sử")</f>
        <v>Lịch sử</v>
      </c>
      <c r="B374" s="37" t="str">
        <f aca="false">IFERROR(__xludf.dummyfunction("""COMPUTED_VALUE"""),"TOV_HSA_LS09")</f>
        <v>TOV_HSA_LS09</v>
      </c>
      <c r="C374" s="59" t="str">
        <f aca="false">IFERROR(__xludf.dummyfunction("""COMPUTED_VALUE"""),"Một số cuộc cải cách lớn trong lịch sử Việt Nam (trước năm 1858)")</f>
        <v>Một số cuộc cải cách lớn trong lịch sử Việt Nam (trước năm 1858)</v>
      </c>
      <c r="D374" s="39" t="str">
        <f aca="false">IFERROR(__xludf.dummyfunction("""COMPUTED_VALUE"""),"Dương Thị Huyền")</f>
        <v>Dương Thị Huyền</v>
      </c>
      <c r="E374" s="40" t="n">
        <f aca="false">IFERROR(__xludf.dummyfunction("""COMPUTED_VALUE"""),46262)</f>
        <v>46262</v>
      </c>
      <c r="F374" s="41" t="n">
        <f aca="false">IFERROR(__xludf.dummyfunction("""COMPUTED_VALUE"""),6)</f>
        <v>6</v>
      </c>
      <c r="G374" s="37" t="str">
        <f aca="false">IFERROR(__xludf.dummyfunction("""COMPUTED_VALUE"""),"21:30-23:30")</f>
        <v>21:30-23:30</v>
      </c>
      <c r="H374" s="37"/>
      <c r="I374" s="37"/>
      <c r="J374" s="37"/>
      <c r="K374" s="68" t="str">
        <f aca="false">IFERROR(__xludf.dummyfunction("""COMPUTED_VALUE"""),"Trinhntt")</f>
        <v>Trinhntt</v>
      </c>
      <c r="L374" s="68" t="str">
        <f aca="false">IFERROR(__xludf.dummyfunction("""COMPUTED_VALUE"""),"Phan Đức Kiên")</f>
        <v>Phan Đức Kiên</v>
      </c>
      <c r="M374" s="71"/>
      <c r="N374" s="77" t="str">
        <f aca="false">IFERROR(__xludf.dummyfunction("""COMPUTED_VALUE"""),"3122")</f>
        <v>3122</v>
      </c>
      <c r="O374" s="63" t="n">
        <f aca="false">IFERROR(__xludf.dummyfunction("""COMPUTED_VALUE"""),174736)</f>
        <v>174736</v>
      </c>
      <c r="P374" s="63"/>
      <c r="Q374" s="63"/>
      <c r="R374" s="41"/>
      <c r="S374" s="41"/>
      <c r="T374" s="63"/>
      <c r="U374" s="63"/>
      <c r="V374" s="70" t="n">
        <f aca="false">IFERROR(__xludf.dummyfunction("""COMPUTED_VALUE"""),46265)</f>
        <v>46265</v>
      </c>
      <c r="W374" s="39"/>
      <c r="X374" s="41" t="str">
        <f aca="false">IFERROR(__xludf.dummyfunction("""COMPUTED_VALUE"""),"Huent7")</f>
        <v>Huent7</v>
      </c>
      <c r="Y374" s="44"/>
      <c r="Z374" s="57" t="str">
        <f aca="false">IFERROR(__xludf.dummyfunction("""COMPUTED_VALUE"""),"#N/A")</f>
        <v>#N/A</v>
      </c>
      <c r="AA374" s="57"/>
      <c r="AB374" s="41"/>
      <c r="AC374" s="57" t="str">
        <f aca="false">IFERROR(__xludf.dummyfunction("""COMPUTED_VALUE"""),"gv.huyendt2@hocmai.edu.vn")</f>
        <v>gv.huyendt2@hocmai.edu.vn</v>
      </c>
      <c r="AD374" s="46" t="str">
        <f aca="false">IFERROR(__xludf.dummyfunction("""COMPUTED_VALUE"""),"duckien010607@gmail.com")</f>
        <v>duckien010607@gmail.com</v>
      </c>
      <c r="AE374" s="46"/>
      <c r="AF374" s="74" t="b">
        <f aca="false">IFERROR(__xludf.dummyfunction("""COMPUTED_VALUE"""),FALSE())</f>
        <v>0</v>
      </c>
      <c r="AG374" s="46" t="str">
        <f aca="false">IFERROR(__xludf.dummyfunction("""COMPUTED_VALUE"""),"")</f>
        <v/>
      </c>
      <c r="AH374" s="35"/>
      <c r="AI374" s="35"/>
      <c r="AJ374" s="53" t="b">
        <f aca="false">IFERROR(__xludf.dummyfunction("""COMPUTED_VALUE"""),TRUE())</f>
        <v>1</v>
      </c>
      <c r="AK374" s="53" t="b">
        <f aca="false">IFERROR(__xludf.dummyfunction("""COMPUTED_VALUE"""),TRUE())</f>
        <v>1</v>
      </c>
      <c r="AL374" s="35"/>
      <c r="AM374" s="35"/>
      <c r="AN374" s="35"/>
      <c r="AO374" s="46"/>
    </row>
    <row r="375" customFormat="false" ht="15.75" hidden="false" customHeight="true" outlineLevel="0" collapsed="false">
      <c r="A375" s="37" t="str">
        <f aca="false">IFERROR(__xludf.dummyfunction("""COMPUTED_VALUE"""),"Thực chiến Toán")</f>
        <v>Thực chiến Toán</v>
      </c>
      <c r="B375" s="37" t="str">
        <f aca="false">IFERROR(__xludf.dummyfunction("""COMPUTED_VALUE"""),"TC_V-ACT_T_19")</f>
        <v>TC_V-ACT_T_19</v>
      </c>
      <c r="C375" s="59" t="str">
        <f aca="false">IFERROR(__xludf.dummyfunction("""COMPUTED_VALUE"""),"[Bổ trợ]_Chữa bài tập_V-ACT_Toán số 19")</f>
        <v>[Bổ trợ]_Chữa bài tập_V-ACT_Toán số 19</v>
      </c>
      <c r="D375" s="39" t="str">
        <f aca="false">IFERROR(__xludf.dummyfunction("""COMPUTED_VALUE"""),"Lê Thế Anh")</f>
        <v>Lê Thế Anh</v>
      </c>
      <c r="E375" s="40" t="n">
        <f aca="false">IFERROR(__xludf.dummyfunction("""COMPUTED_VALUE"""),46262)</f>
        <v>46262</v>
      </c>
      <c r="F375" s="41" t="n">
        <f aca="false">IFERROR(__xludf.dummyfunction("""COMPUTED_VALUE"""),6)</f>
        <v>6</v>
      </c>
      <c r="G375" s="37" t="str">
        <f aca="false">IFERROR(__xludf.dummyfunction("""COMPUTED_VALUE"""),"18:45-19:45")</f>
        <v>18:45-19:45</v>
      </c>
      <c r="H375" s="37"/>
      <c r="I375" s="37"/>
      <c r="J375" s="37"/>
      <c r="K375" s="68" t="str">
        <f aca="false">IFERROR(__xludf.dummyfunction("""COMPUTED_VALUE"""),"lent")</f>
        <v>lent</v>
      </c>
      <c r="L375" s="68" t="str">
        <f aca="false">IFERROR(__xludf.dummyfunction("""COMPUTED_VALUE"""),"HOCMAI")</f>
        <v>HOCMAI</v>
      </c>
      <c r="M375" s="71"/>
      <c r="N375" s="77" t="str">
        <f aca="false">IFERROR(__xludf.dummyfunction("""COMPUTED_VALUE"""),"3124")</f>
        <v>3124</v>
      </c>
      <c r="O375" s="63" t="n">
        <f aca="false">IFERROR(__xludf.dummyfunction("""COMPUTED_VALUE"""),176096)</f>
        <v>176096</v>
      </c>
      <c r="P375" s="60" t="str">
        <f aca="false">IFERROR(__xludf.dummyfunction("""COMPUTED_VALUE"""),"https://hocmai.vn/bai-giang-truc-tuyen/176096/.html")</f>
        <v>https://hocmai.vn/bai-giang-truc-tuyen/176096/.html</v>
      </c>
      <c r="Q375" s="63"/>
      <c r="R375" s="41"/>
      <c r="S375" s="41"/>
      <c r="T375" s="63"/>
      <c r="U375" s="63"/>
      <c r="V375" s="70" t="n">
        <f aca="false">IFERROR(__xludf.dummyfunction("""COMPUTED_VALUE"""),46265)</f>
        <v>46265</v>
      </c>
      <c r="W375" s="39"/>
      <c r="X375" s="41" t="str">
        <f aca="false">IFERROR(__xludf.dummyfunction("""COMPUTED_VALUE"""),"Vuta")</f>
        <v>Vuta</v>
      </c>
      <c r="Y375" s="44"/>
      <c r="Z375" s="57"/>
      <c r="AA375" s="57"/>
      <c r="AB375" s="41" t="n">
        <f aca="false">IFERROR(__xludf.dummyfunction("""COMPUTED_VALUE"""),8)</f>
        <v>8</v>
      </c>
      <c r="AC375" s="57" t="str">
        <f aca="false">IFERROR(__xludf.dummyfunction("""COMPUTED_VALUE"""),"ss.vact01@ctv.hocmai.vn")</f>
        <v>ss.vact01@ctv.hocmai.vn</v>
      </c>
      <c r="AD375" s="46"/>
      <c r="AE375" s="46"/>
      <c r="AF375" s="47"/>
      <c r="AG375" s="46"/>
      <c r="AH375" s="53" t="b">
        <f aca="false">IFERROR(__xludf.dummyfunction("""COMPUTED_VALUE"""),FALSE())</f>
        <v>0</v>
      </c>
      <c r="AI375" s="53" t="b">
        <f aca="false">IFERROR(__xludf.dummyfunction("""COMPUTED_VALUE"""),FALSE())</f>
        <v>0</v>
      </c>
      <c r="AJ375" s="53" t="b">
        <f aca="false">IFERROR(__xludf.dummyfunction("""COMPUTED_VALUE"""),FALSE())</f>
        <v>0</v>
      </c>
      <c r="AK375" s="53" t="b">
        <f aca="false">IFERROR(__xludf.dummyfunction("""COMPUTED_VALUE"""),FALSE())</f>
        <v>0</v>
      </c>
      <c r="AL375" s="53" t="b">
        <f aca="false">IFERROR(__xludf.dummyfunction("""COMPUTED_VALUE"""),FALSE())</f>
        <v>0</v>
      </c>
      <c r="AM375" s="53" t="b">
        <f aca="false">IFERROR(__xludf.dummyfunction("""COMPUTED_VALUE"""),TRUE())</f>
        <v>1</v>
      </c>
      <c r="AN375" s="53" t="b">
        <f aca="false">IFERROR(__xludf.dummyfunction("""COMPUTED_VALUE"""),TRUE())</f>
        <v>1</v>
      </c>
      <c r="AO375" s="46"/>
    </row>
    <row r="376" customFormat="false" ht="15.75" hidden="false" customHeight="true" outlineLevel="0" collapsed="false">
      <c r="A376" s="37" t="str">
        <f aca="false">IFERROR(__xludf.dummyfunction("""COMPUTED_VALUE"""),"Thực chiến Tiếng Anh")</f>
        <v>Thực chiến Tiếng Anh</v>
      </c>
      <c r="B376" s="37" t="str">
        <f aca="false">IFERROR(__xludf.dummyfunction("""COMPUTED_VALUE"""),"TC_V-ACT_TA_15")</f>
        <v>TC_V-ACT_TA_15</v>
      </c>
      <c r="C376" s="59" t="str">
        <f aca="false">IFERROR(__xludf.dummyfunction("""COMPUTED_VALUE"""),"[Bổ trợ]_Chữa bài tập_V-ACT_Tiếng Anh số 15")</f>
        <v>[Bổ trợ]_Chữa bài tập_V-ACT_Tiếng Anh số 15</v>
      </c>
      <c r="D376" s="39" t="str">
        <f aca="false">IFERROR(__xludf.dummyfunction("""COMPUTED_VALUE"""),"Dung Thành Vinh")</f>
        <v>Dung Thành Vinh</v>
      </c>
      <c r="E376" s="40" t="n">
        <f aca="false">IFERROR(__xludf.dummyfunction("""COMPUTED_VALUE"""),46262)</f>
        <v>46262</v>
      </c>
      <c r="F376" s="41" t="n">
        <f aca="false">IFERROR(__xludf.dummyfunction("""COMPUTED_VALUE"""),6)</f>
        <v>6</v>
      </c>
      <c r="G376" s="37" t="str">
        <f aca="false">IFERROR(__xludf.dummyfunction("""COMPUTED_VALUE"""),"20:00-21:00")</f>
        <v>20:00-21:00</v>
      </c>
      <c r="H376" s="37"/>
      <c r="I376" s="37"/>
      <c r="J376" s="37"/>
      <c r="K376" s="68" t="str">
        <f aca="false">IFERROR(__xludf.dummyfunction("""COMPUTED_VALUE"""),"Huyenn2")</f>
        <v>Huyenn2</v>
      </c>
      <c r="L376" s="68" t="str">
        <f aca="false">IFERROR(__xludf.dummyfunction("""COMPUTED_VALUE"""),"HOCMAI")</f>
        <v>HOCMAI</v>
      </c>
      <c r="M376" s="71"/>
      <c r="N376" s="77" t="str">
        <f aca="false">IFERROR(__xludf.dummyfunction("""COMPUTED_VALUE"""),"3165")</f>
        <v>3165</v>
      </c>
      <c r="O376" s="63" t="n">
        <f aca="false">IFERROR(__xludf.dummyfunction("""COMPUTED_VALUE"""),176108)</f>
        <v>176108</v>
      </c>
      <c r="P376" s="60" t="str">
        <f aca="false">IFERROR(__xludf.dummyfunction("""COMPUTED_VALUE"""),"https://hocmai.vn/bai-giang-truc-tuyen/176108/.html")</f>
        <v>https://hocmai.vn/bai-giang-truc-tuyen/176108/.html</v>
      </c>
      <c r="Q376" s="63"/>
      <c r="R376" s="41"/>
      <c r="S376" s="41"/>
      <c r="T376" s="63"/>
      <c r="U376" s="63"/>
      <c r="V376" s="70" t="n">
        <f aca="false">IFERROR(__xludf.dummyfunction("""COMPUTED_VALUE"""),46265)</f>
        <v>46265</v>
      </c>
      <c r="W376" s="39"/>
      <c r="X376" s="41" t="str">
        <f aca="false">IFERROR(__xludf.dummyfunction("""COMPUTED_VALUE"""),"Vuta")</f>
        <v>Vuta</v>
      </c>
      <c r="Y376" s="44"/>
      <c r="Z376" s="57"/>
      <c r="AA376" s="57"/>
      <c r="AB376" s="41" t="n">
        <f aca="false">IFERROR(__xludf.dummyfunction("""COMPUTED_VALUE"""),8)</f>
        <v>8</v>
      </c>
      <c r="AC376" s="57" t="str">
        <f aca="false">IFERROR(__xludf.dummyfunction("""COMPUTED_VALUE"""),"shimlim04@gmail.com")</f>
        <v>shimlim04@gmail.com</v>
      </c>
      <c r="AD376" s="46"/>
      <c r="AE376" s="46"/>
      <c r="AF376" s="47"/>
      <c r="AG376" s="46"/>
      <c r="AH376" s="53" t="b">
        <f aca="false">IFERROR(__xludf.dummyfunction("""COMPUTED_VALUE"""),FALSE())</f>
        <v>0</v>
      </c>
      <c r="AI376" s="53" t="b">
        <f aca="false">IFERROR(__xludf.dummyfunction("""COMPUTED_VALUE"""),FALSE())</f>
        <v>0</v>
      </c>
      <c r="AJ376" s="53" t="b">
        <f aca="false">IFERROR(__xludf.dummyfunction("""COMPUTED_VALUE"""),FALSE())</f>
        <v>0</v>
      </c>
      <c r="AK376" s="53" t="b">
        <f aca="false">IFERROR(__xludf.dummyfunction("""COMPUTED_VALUE"""),FALSE())</f>
        <v>0</v>
      </c>
      <c r="AL376" s="53" t="b">
        <f aca="false">IFERROR(__xludf.dummyfunction("""COMPUTED_VALUE"""),FALSE())</f>
        <v>0</v>
      </c>
      <c r="AM376" s="53" t="b">
        <f aca="false">IFERROR(__xludf.dummyfunction("""COMPUTED_VALUE"""),TRUE())</f>
        <v>1</v>
      </c>
      <c r="AN376" s="53" t="b">
        <f aca="false">IFERROR(__xludf.dummyfunction("""COMPUTED_VALUE"""),TRUE())</f>
        <v>1</v>
      </c>
      <c r="AO376" s="46"/>
    </row>
    <row r="377" customFormat="false" ht="15.75" hidden="false" customHeight="true" outlineLevel="0" collapsed="false">
      <c r="A377" s="37" t="str">
        <f aca="false">IFERROR(__xludf.dummyfunction("""COMPUTED_VALUE"""),"Hóa học")</f>
        <v>Hóa học</v>
      </c>
      <c r="B377" s="37" t="str">
        <f aca="false">IFERROR(__xludf.dummyfunction("""COMPUTED_VALUE"""),"TOV_TSA_H06")</f>
        <v>TOV_TSA_H06</v>
      </c>
      <c r="C377" s="59" t="str">
        <f aca="false">IFERROR(__xludf.dummyfunction("""COMPUTED_VALUE"""),"Thế giới Phi kim và Bài toán Môi trường")</f>
        <v>Thế giới Phi kim và Bài toán Môi trường</v>
      </c>
      <c r="D377" s="39" t="str">
        <f aca="false">IFERROR(__xludf.dummyfunction("""COMPUTED_VALUE"""),"Vũ Khắc Ngọc")</f>
        <v>Vũ Khắc Ngọc</v>
      </c>
      <c r="E377" s="40" t="n">
        <f aca="false">IFERROR(__xludf.dummyfunction("""COMPUTED_VALUE"""),46263)</f>
        <v>46263</v>
      </c>
      <c r="F377" s="41" t="n">
        <f aca="false">IFERROR(__xludf.dummyfunction("""COMPUTED_VALUE"""),7)</f>
        <v>7</v>
      </c>
      <c r="G377" s="37" t="str">
        <f aca="false">IFERROR(__xludf.dummyfunction("""COMPUTED_VALUE"""),"21:30-23:30")</f>
        <v>21:30-23:30</v>
      </c>
      <c r="H377" s="37"/>
      <c r="I377" s="37"/>
      <c r="J377" s="37"/>
      <c r="K377" s="68" t="str">
        <f aca="false">IFERROR(__xludf.dummyfunction("""COMPUTED_VALUE"""),"Huebt")</f>
        <v>Huebt</v>
      </c>
      <c r="L377" s="68" t="str">
        <f aca="false">IFERROR(__xludf.dummyfunction("""COMPUTED_VALUE"""),"Bùi Vĩnh Thọ")</f>
        <v>Bùi Vĩnh Thọ</v>
      </c>
      <c r="M377" s="71"/>
      <c r="N377" s="77" t="str">
        <f aca="false">IFERROR(__xludf.dummyfunction("""COMPUTED_VALUE"""),"3110")</f>
        <v>3110</v>
      </c>
      <c r="O377" s="63" t="n">
        <f aca="false">IFERROR(__xludf.dummyfunction("""COMPUTED_VALUE"""),167266)</f>
        <v>167266</v>
      </c>
      <c r="P377" s="63"/>
      <c r="Q377" s="63"/>
      <c r="R377" s="41"/>
      <c r="S377" s="41"/>
      <c r="T377" s="63"/>
      <c r="U377" s="63" t="n">
        <f aca="false">IFERROR(__xludf.dummyfunction("""COMPUTED_VALUE"""),10604)</f>
        <v>10604</v>
      </c>
      <c r="V377" s="70" t="n">
        <f aca="false">IFERROR(__xludf.dummyfunction("""COMPUTED_VALUE"""),46266)</f>
        <v>46266</v>
      </c>
      <c r="W377" s="39"/>
      <c r="X377" s="41" t="str">
        <f aca="false">IFERROR(__xludf.dummyfunction("""COMPUTED_VALUE"""),"Huebt")</f>
        <v>Huebt</v>
      </c>
      <c r="Y377" s="44" t="str">
        <f aca="false">IFERROR(__xludf.dummyfunction("""COMPUTED_VALUE"""),"done")</f>
        <v>done</v>
      </c>
      <c r="Z377" s="57" t="str">
        <f aca="false">IFERROR(__xludf.dummyfunction("""COMPUTED_VALUE"""),"#N/A")</f>
        <v>#N/A</v>
      </c>
      <c r="AA377" s="57"/>
      <c r="AB377" s="41" t="n">
        <f aca="false">IFERROR(__xludf.dummyfunction("""COMPUTED_VALUE"""),8)</f>
        <v>8</v>
      </c>
      <c r="AC377" s="57" t="str">
        <f aca="false">IFERROR(__xludf.dummyfunction("""COMPUTED_VALUE"""),"gv.ngocvk@hocmai.edu.vn")</f>
        <v>gv.ngocvk@hocmai.edu.vn</v>
      </c>
      <c r="AD377" s="46" t="str">
        <f aca="false">IFERROR(__xludf.dummyfunction("""COMPUTED_VALUE"""),"vinhtho0704@gmail.com")</f>
        <v>vinhtho0704@gmail.com</v>
      </c>
      <c r="AE377" s="46"/>
      <c r="AF377" s="74" t="b">
        <f aca="false">IFERROR(__xludf.dummyfunction("""COMPUTED_VALUE"""),FALSE())</f>
        <v>0</v>
      </c>
      <c r="AG377" s="46" t="str">
        <f aca="false">IFERROR(__xludf.dummyfunction("""COMPUTED_VALUE"""),"")</f>
        <v/>
      </c>
      <c r="AH377" s="35"/>
      <c r="AI377" s="53" t="b">
        <f aca="false">IFERROR(__xludf.dummyfunction("""COMPUTED_VALUE"""),TRUE())</f>
        <v>1</v>
      </c>
      <c r="AJ377" s="35"/>
      <c r="AK377" s="35"/>
      <c r="AL377" s="35"/>
      <c r="AM377" s="35"/>
      <c r="AN377" s="35"/>
      <c r="AO377" s="46"/>
    </row>
    <row r="378" customFormat="false" ht="15.75" hidden="false" customHeight="true" outlineLevel="0" collapsed="false">
      <c r="A378" s="37" t="str">
        <f aca="false">IFERROR(__xludf.dummyfunction("""COMPUTED_VALUE"""),"Khoa học")</f>
        <v>Khoa học</v>
      </c>
      <c r="B378" s="37" t="str">
        <f aca="false">IFERROR(__xludf.dummyfunction("""COMPUTED_VALUE"""),"TOS_V-ACT_KH11")</f>
        <v>TOS_V-ACT_KH11</v>
      </c>
      <c r="C378" s="59" t="str">
        <f aca="false">IFERROR(__xludf.dummyfunction("""COMPUTED_VALUE"""),"Kỹ thuật kết nối thông tin đa tầng: Hình vẽ – Chú thích – Câu hỏi.")</f>
        <v>Kỹ thuật kết nối thông tin đa tầng: Hình vẽ – Chú thích – Câu hỏi.</v>
      </c>
      <c r="D378" s="39" t="str">
        <f aca="false">IFERROR(__xludf.dummyfunction("""COMPUTED_VALUE"""),"Lê Văn Minh")</f>
        <v>Lê Văn Minh</v>
      </c>
      <c r="E378" s="40" t="n">
        <f aca="false">IFERROR(__xludf.dummyfunction("""COMPUTED_VALUE"""),46263)</f>
        <v>46263</v>
      </c>
      <c r="F378" s="41" t="n">
        <f aca="false">IFERROR(__xludf.dummyfunction("""COMPUTED_VALUE"""),7)</f>
        <v>7</v>
      </c>
      <c r="G378" s="37" t="str">
        <f aca="false">IFERROR(__xludf.dummyfunction("""COMPUTED_VALUE"""),"20:30-22:00")</f>
        <v>20:30-22:00</v>
      </c>
      <c r="H378" s="37"/>
      <c r="I378" s="37"/>
      <c r="J378" s="37"/>
      <c r="K378" s="68" t="str">
        <f aca="false">IFERROR(__xludf.dummyfunction("""COMPUTED_VALUE"""),"Kimnq")</f>
        <v>Kimnq</v>
      </c>
      <c r="L378" s="68" t="str">
        <f aca="false">IFERROR(__xludf.dummyfunction("""COMPUTED_VALUE"""),"Lê Quốc Việt")</f>
        <v>Lê Quốc Việt</v>
      </c>
      <c r="M378" s="71"/>
      <c r="N378" s="77" t="str">
        <f aca="false">IFERROR(__xludf.dummyfunction("""COMPUTED_VALUE"""),"3340,3126")</f>
        <v>3340,3126</v>
      </c>
      <c r="O378" s="73" t="n">
        <f aca="false">IFERROR(__xludf.dummyfunction("""COMPUTED_VALUE"""),167502.167389)</f>
        <v>167502.167389</v>
      </c>
      <c r="P378" s="63"/>
      <c r="Q378" s="63"/>
      <c r="R378" s="41"/>
      <c r="S378" s="41"/>
      <c r="T378" s="63"/>
      <c r="U378" s="63"/>
      <c r="V378" s="70" t="n">
        <f aca="false">IFERROR(__xludf.dummyfunction("""COMPUTED_VALUE"""),46266)</f>
        <v>46266</v>
      </c>
      <c r="W378" s="39"/>
      <c r="X378" s="41" t="str">
        <f aca="false">IFERROR(__xludf.dummyfunction("""COMPUTED_VALUE"""),"Kimnq")</f>
        <v>Kimnq</v>
      </c>
      <c r="Y378" s="44" t="str">
        <f aca="false">IFERROR(__xludf.dummyfunction("""COMPUTED_VALUE"""),"done")</f>
        <v>done</v>
      </c>
      <c r="Z378" s="57" t="str">
        <f aca="false">IFERROR(__xludf.dummyfunction("""COMPUTED_VALUE"""),"#N/A")</f>
        <v>#N/A</v>
      </c>
      <c r="AA378" s="57"/>
      <c r="AB378" s="41" t="n">
        <f aca="false">IFERROR(__xludf.dummyfunction("""COMPUTED_VALUE"""),8)</f>
        <v>8</v>
      </c>
      <c r="AC378" s="57" t="str">
        <f aca="false">IFERROR(__xludf.dummyfunction("""COMPUTED_VALUE"""),"gv.minhlv@hocmai.edu.vn		")</f>
        <v>gv.minhlv@hocmai.edu.vn		</v>
      </c>
      <c r="AD378" s="46" t="str">
        <f aca="false">IFERROR(__xludf.dummyfunction("""COMPUTED_VALUE"""),"Ralph02091@gmail.com")</f>
        <v>Ralph02091@gmail.com</v>
      </c>
      <c r="AE378" s="46"/>
      <c r="AF378" s="47" t="str">
        <f aca="false">IFERROR(__xludf.dummyfunction("""COMPUTED_VALUE"""),"lophoctoan-946263")</f>
        <v>lophoctoan-946263</v>
      </c>
      <c r="AG378" s="46" t="str">
        <f aca="false">IFERROR(__xludf.dummyfunction("""COMPUTED_VALUE"""),"")</f>
        <v/>
      </c>
      <c r="AH378" s="35"/>
      <c r="AI378" s="35"/>
      <c r="AJ378" s="35"/>
      <c r="AK378" s="35"/>
      <c r="AL378" s="35"/>
      <c r="AM378" s="53" t="b">
        <f aca="false">IFERROR(__xludf.dummyfunction("""COMPUTED_VALUE"""),TRUE())</f>
        <v>1</v>
      </c>
      <c r="AN378" s="53" t="b">
        <f aca="false">IFERROR(__xludf.dummyfunction("""COMPUTED_VALUE"""),TRUE())</f>
        <v>1</v>
      </c>
      <c r="AO378" s="46"/>
    </row>
    <row r="379" customFormat="false" ht="15.75" hidden="false" customHeight="true" outlineLevel="0" collapsed="false">
      <c r="A379" s="37" t="str">
        <f aca="false">IFERROR(__xludf.dummyfunction("""COMPUTED_VALUE"""),"Thực chiến Khoa học")</f>
        <v>Thực chiến Khoa học</v>
      </c>
      <c r="B379" s="37" t="str">
        <f aca="false">IFERROR(__xludf.dummyfunction("""COMPUTED_VALUE"""),"TC_TSA_KH_24")</f>
        <v>TC_TSA_KH_24</v>
      </c>
      <c r="C379" s="59" t="str">
        <f aca="false">IFERROR(__xludf.dummyfunction("""COMPUTED_VALUE"""),"[Bổ trợ]_Chữa bài tập TSA_Tư duy Khoa học số 24")</f>
        <v>[Bổ trợ]_Chữa bài tập TSA_Tư duy Khoa học số 24</v>
      </c>
      <c r="D379" s="39" t="str">
        <f aca="false">IFERROR(__xludf.dummyfunction("""COMPUTED_VALUE"""),"Nguyễn Trọng Trường Anh")</f>
        <v>Nguyễn Trọng Trường Anh</v>
      </c>
      <c r="E379" s="40" t="n">
        <f aca="false">IFERROR(__xludf.dummyfunction("""COMPUTED_VALUE"""),46263)</f>
        <v>46263</v>
      </c>
      <c r="F379" s="41" t="n">
        <f aca="false">IFERROR(__xludf.dummyfunction("""COMPUTED_VALUE"""),7)</f>
        <v>7</v>
      </c>
      <c r="G379" s="37" t="str">
        <f aca="false">IFERROR(__xludf.dummyfunction("""COMPUTED_VALUE"""),"19:00-20:00")</f>
        <v>19:00-20:00</v>
      </c>
      <c r="H379" s="37"/>
      <c r="I379" s="37"/>
      <c r="J379" s="37"/>
      <c r="K379" s="68" t="str">
        <f aca="false">IFERROR(__xludf.dummyfunction("""COMPUTED_VALUE"""),"Trangnth2")</f>
        <v>Trangnth2</v>
      </c>
      <c r="L379" s="68" t="str">
        <f aca="false">IFERROR(__xludf.dummyfunction("""COMPUTED_VALUE"""),"HOCMAI")</f>
        <v>HOCMAI</v>
      </c>
      <c r="M379" s="71"/>
      <c r="N379" s="77" t="str">
        <f aca="false">IFERROR(__xludf.dummyfunction("""COMPUTED_VALUE"""),"3110")</f>
        <v>3110</v>
      </c>
      <c r="O379" s="63" t="n">
        <f aca="false">IFERROR(__xludf.dummyfunction("""COMPUTED_VALUE"""),176077)</f>
        <v>176077</v>
      </c>
      <c r="P379" s="60" t="str">
        <f aca="false">IFERROR(__xludf.dummyfunction("""COMPUTED_VALUE"""),"https://hocmai.vn/bai-giang-truc-tuyen/176077/.html")</f>
        <v>https://hocmai.vn/bai-giang-truc-tuyen/176077/.html</v>
      </c>
      <c r="Q379" s="63"/>
      <c r="R379" s="41"/>
      <c r="S379" s="41"/>
      <c r="T379" s="63"/>
      <c r="U379" s="63"/>
      <c r="V379" s="70" t="n">
        <f aca="false">IFERROR(__xludf.dummyfunction("""COMPUTED_VALUE"""),46266)</f>
        <v>46266</v>
      </c>
      <c r="W379" s="39"/>
      <c r="X379" s="41" t="str">
        <f aca="false">IFERROR(__xludf.dummyfunction("""COMPUTED_VALUE"""),"Vuta")</f>
        <v>Vuta</v>
      </c>
      <c r="Y379" s="44"/>
      <c r="Z379" s="57"/>
      <c r="AA379" s="57"/>
      <c r="AB379" s="41" t="n">
        <f aca="false">IFERROR(__xludf.dummyfunction("""COMPUTED_VALUE"""),8)</f>
        <v>8</v>
      </c>
      <c r="AC379" s="57" t="str">
        <f aca="false">IFERROR(__xludf.dummyfunction("""COMPUTED_VALUE"""),"thochi1981@gmail.com")</f>
        <v>thochi1981@gmail.com</v>
      </c>
      <c r="AD379" s="46"/>
      <c r="AE379" s="46"/>
      <c r="AF379" s="47"/>
      <c r="AG379" s="46"/>
      <c r="AH379" s="53" t="b">
        <f aca="false">IFERROR(__xludf.dummyfunction("""COMPUTED_VALUE"""),FALSE())</f>
        <v>0</v>
      </c>
      <c r="AI379" s="53" t="b">
        <f aca="false">IFERROR(__xludf.dummyfunction("""COMPUTED_VALUE"""),TRUE())</f>
        <v>1</v>
      </c>
      <c r="AJ379" s="53" t="b">
        <f aca="false">IFERROR(__xludf.dummyfunction("""COMPUTED_VALUE"""),FALSE())</f>
        <v>0</v>
      </c>
      <c r="AK379" s="53" t="b">
        <f aca="false">IFERROR(__xludf.dummyfunction("""COMPUTED_VALUE"""),FALSE())</f>
        <v>0</v>
      </c>
      <c r="AL379" s="53" t="b">
        <f aca="false">IFERROR(__xludf.dummyfunction("""COMPUTED_VALUE"""),FALSE())</f>
        <v>0</v>
      </c>
      <c r="AM379" s="53" t="b">
        <f aca="false">IFERROR(__xludf.dummyfunction("""COMPUTED_VALUE"""),FALSE())</f>
        <v>0</v>
      </c>
      <c r="AN379" s="53" t="b">
        <f aca="false">IFERROR(__xludf.dummyfunction("""COMPUTED_VALUE"""),FALSE())</f>
        <v>0</v>
      </c>
      <c r="AO379" s="46"/>
    </row>
    <row r="380" customFormat="false" ht="15.75" hidden="false" customHeight="true" outlineLevel="0" collapsed="false">
      <c r="A380" s="37" t="str">
        <f aca="false">IFERROR(__xludf.dummyfunction("""COMPUTED_VALUE"""),"Thực chiến Định lượng")</f>
        <v>Thực chiến Định lượng</v>
      </c>
      <c r="B380" s="37" t="str">
        <f aca="false">IFERROR(__xludf.dummyfunction("""COMPUTED_VALUE"""),"TC_HSA_ĐL_19")</f>
        <v>TC_HSA_ĐL_19</v>
      </c>
      <c r="C380" s="59" t="str">
        <f aca="false">IFERROR(__xludf.dummyfunction("""COMPUTED_VALUE"""),"[Bổ trợ]_Chữa bài tập _Tư duy Định lượng số 19")</f>
        <v>[Bổ trợ]_Chữa bài tập _Tư duy Định lượng số 19</v>
      </c>
      <c r="D380" s="39" t="str">
        <f aca="false">IFERROR(__xludf.dummyfunction("""COMPUTED_VALUE"""),"Vi Vũ Trí Đức")</f>
        <v>Vi Vũ Trí Đức</v>
      </c>
      <c r="E380" s="40" t="n">
        <f aca="false">IFERROR(__xludf.dummyfunction("""COMPUTED_VALUE"""),46263)</f>
        <v>46263</v>
      </c>
      <c r="F380" s="41" t="n">
        <f aca="false">IFERROR(__xludf.dummyfunction("""COMPUTED_VALUE"""),7)</f>
        <v>7</v>
      </c>
      <c r="G380" s="37" t="str">
        <f aca="false">IFERROR(__xludf.dummyfunction("""COMPUTED_VALUE"""),"21:00-22:00")</f>
        <v>21:00-22:00</v>
      </c>
      <c r="H380" s="37"/>
      <c r="I380" s="37"/>
      <c r="J380" s="37"/>
      <c r="K380" s="68" t="str">
        <f aca="false">IFERROR(__xludf.dummyfunction("""COMPUTED_VALUE"""),"Locdd")</f>
        <v>Locdd</v>
      </c>
      <c r="L380" s="68" t="str">
        <f aca="false">IFERROR(__xludf.dummyfunction("""COMPUTED_VALUE"""),"HOCMAI")</f>
        <v>HOCMAI</v>
      </c>
      <c r="M380" s="71"/>
      <c r="N380" s="77" t="str">
        <f aca="false">IFERROR(__xludf.dummyfunction("""COMPUTED_VALUE"""),"3117")</f>
        <v>3117</v>
      </c>
      <c r="O380" s="63" t="n">
        <f aca="false">IFERROR(__xludf.dummyfunction("""COMPUTED_VALUE"""),176132)</f>
        <v>176132</v>
      </c>
      <c r="P380" s="60" t="str">
        <f aca="false">IFERROR(__xludf.dummyfunction("""COMPUTED_VALUE"""),"https://hocmai.vn/bai-giang-truc-tuyen/176132/.html")</f>
        <v>https://hocmai.vn/bai-giang-truc-tuyen/176132/.html</v>
      </c>
      <c r="Q380" s="63"/>
      <c r="R380" s="41"/>
      <c r="S380" s="41"/>
      <c r="T380" s="63"/>
      <c r="U380" s="63"/>
      <c r="V380" s="70" t="n">
        <f aca="false">IFERROR(__xludf.dummyfunction("""COMPUTED_VALUE"""),46266)</f>
        <v>46266</v>
      </c>
      <c r="W380" s="39"/>
      <c r="X380" s="41" t="str">
        <f aca="false">IFERROR(__xludf.dummyfunction("""COMPUTED_VALUE"""),"Vuta")</f>
        <v>Vuta</v>
      </c>
      <c r="Y380" s="44"/>
      <c r="Z380" s="57"/>
      <c r="AA380" s="57"/>
      <c r="AB380" s="41" t="n">
        <f aca="false">IFERROR(__xludf.dummyfunction("""COMPUTED_VALUE"""),8)</f>
        <v>8</v>
      </c>
      <c r="AC380" s="57" t="str">
        <f aca="false">IFERROR(__xludf.dummyfunction("""COMPUTED_VALUE"""),"tdstawesome@gmail.com")</f>
        <v>tdstawesome@gmail.com</v>
      </c>
      <c r="AD380" s="46"/>
      <c r="AE380" s="46"/>
      <c r="AF380" s="47"/>
      <c r="AG380" s="46"/>
      <c r="AH380" s="53" t="b">
        <f aca="false">IFERROR(__xludf.dummyfunction("""COMPUTED_VALUE"""),FALSE())</f>
        <v>0</v>
      </c>
      <c r="AI380" s="53" t="b">
        <f aca="false">IFERROR(__xludf.dummyfunction("""COMPUTED_VALUE"""),FALSE())</f>
        <v>0</v>
      </c>
      <c r="AJ380" s="53" t="b">
        <f aca="false">IFERROR(__xludf.dummyfunction("""COMPUTED_VALUE"""),TRUE())</f>
        <v>1</v>
      </c>
      <c r="AK380" s="53" t="b">
        <f aca="false">IFERROR(__xludf.dummyfunction("""COMPUTED_VALUE"""),TRUE())</f>
        <v>1</v>
      </c>
      <c r="AL380" s="53" t="b">
        <f aca="false">IFERROR(__xludf.dummyfunction("""COMPUTED_VALUE"""),FALSE())</f>
        <v>0</v>
      </c>
      <c r="AM380" s="53" t="b">
        <f aca="false">IFERROR(__xludf.dummyfunction("""COMPUTED_VALUE"""),FALSE())</f>
        <v>0</v>
      </c>
      <c r="AN380" s="53" t="b">
        <f aca="false">IFERROR(__xludf.dummyfunction("""COMPUTED_VALUE"""),FALSE())</f>
        <v>0</v>
      </c>
      <c r="AO380" s="46"/>
    </row>
    <row r="381" customFormat="false" ht="15.75" hidden="false" customHeight="true" outlineLevel="0" collapsed="false">
      <c r="A381" s="37" t="str">
        <f aca="false">IFERROR(__xludf.dummyfunction("""COMPUTED_VALUE"""),"Thực chiến Tiếng Việt")</f>
        <v>Thực chiến Tiếng Việt</v>
      </c>
      <c r="B381" s="37" t="str">
        <f aca="false">IFERROR(__xludf.dummyfunction("""COMPUTED_VALUE"""),"TC_V-ACT_TV_14")</f>
        <v>TC_V-ACT_TV_14</v>
      </c>
      <c r="C381" s="59" t="str">
        <f aca="false">IFERROR(__xludf.dummyfunction("""COMPUTED_VALUE"""),"[Bổ trợ]_Chữa bài tập_V-ACT_Tiếng Việt số 14")</f>
        <v>[Bổ trợ]_Chữa bài tập_V-ACT_Tiếng Việt số 14</v>
      </c>
      <c r="D381" s="39" t="str">
        <f aca="false">IFERROR(__xludf.dummyfunction("""COMPUTED_VALUE"""),"Nguyễn Thị Khánh Ly")</f>
        <v>Nguyễn Thị Khánh Ly</v>
      </c>
      <c r="E381" s="40" t="n">
        <f aca="false">IFERROR(__xludf.dummyfunction("""COMPUTED_VALUE"""),46263)</f>
        <v>46263</v>
      </c>
      <c r="F381" s="41" t="n">
        <f aca="false">IFERROR(__xludf.dummyfunction("""COMPUTED_VALUE"""),7)</f>
        <v>7</v>
      </c>
      <c r="G381" s="37" t="str">
        <f aca="false">IFERROR(__xludf.dummyfunction("""COMPUTED_VALUE"""),"19:00-20:00")</f>
        <v>19:00-20:00</v>
      </c>
      <c r="H381" s="37"/>
      <c r="I381" s="37"/>
      <c r="J381" s="37"/>
      <c r="K381" s="68" t="str">
        <f aca="false">IFERROR(__xludf.dummyfunction("""COMPUTED_VALUE"""),"Hoantt")</f>
        <v>Hoantt</v>
      </c>
      <c r="L381" s="68" t="str">
        <f aca="false">IFERROR(__xludf.dummyfunction("""COMPUTED_VALUE"""),"HOCMAI")</f>
        <v>HOCMAI</v>
      </c>
      <c r="M381" s="71"/>
      <c r="N381" s="77" t="str">
        <f aca="false">IFERROR(__xludf.dummyfunction("""COMPUTED_VALUE"""),"3125")</f>
        <v>3125</v>
      </c>
      <c r="O381" s="63" t="n">
        <f aca="false">IFERROR(__xludf.dummyfunction("""COMPUTED_VALUE"""),176119)</f>
        <v>176119</v>
      </c>
      <c r="P381" s="60" t="str">
        <f aca="false">IFERROR(__xludf.dummyfunction("""COMPUTED_VALUE"""),"https://hocmai.vn/bai-giang-truc-tuyen/176119/.html")</f>
        <v>https://hocmai.vn/bai-giang-truc-tuyen/176119/.html</v>
      </c>
      <c r="Q381" s="63"/>
      <c r="R381" s="41"/>
      <c r="S381" s="41"/>
      <c r="T381" s="63"/>
      <c r="U381" s="63"/>
      <c r="V381" s="70" t="n">
        <f aca="false">IFERROR(__xludf.dummyfunction("""COMPUTED_VALUE"""),46266)</f>
        <v>46266</v>
      </c>
      <c r="W381" s="39"/>
      <c r="X381" s="41" t="str">
        <f aca="false">IFERROR(__xludf.dummyfunction("""COMPUTED_VALUE"""),"Vuta")</f>
        <v>Vuta</v>
      </c>
      <c r="Y381" s="44"/>
      <c r="Z381" s="57"/>
      <c r="AA381" s="57"/>
      <c r="AB381" s="41" t="n">
        <f aca="false">IFERROR(__xludf.dummyfunction("""COMPUTED_VALUE"""),8)</f>
        <v>8</v>
      </c>
      <c r="AC381" s="57" t="str">
        <f aca="false">IFERROR(__xludf.dummyfunction("""COMPUTED_VALUE"""),"khanhly16092003@gmail.com")</f>
        <v>khanhly16092003@gmail.com</v>
      </c>
      <c r="AD381" s="46"/>
      <c r="AE381" s="46"/>
      <c r="AF381" s="47"/>
      <c r="AG381" s="46"/>
      <c r="AH381" s="53" t="b">
        <f aca="false">IFERROR(__xludf.dummyfunction("""COMPUTED_VALUE"""),FALSE())</f>
        <v>0</v>
      </c>
      <c r="AI381" s="53" t="b">
        <f aca="false">IFERROR(__xludf.dummyfunction("""COMPUTED_VALUE"""),FALSE())</f>
        <v>0</v>
      </c>
      <c r="AJ381" s="53" t="b">
        <f aca="false">IFERROR(__xludf.dummyfunction("""COMPUTED_VALUE"""),FALSE())</f>
        <v>0</v>
      </c>
      <c r="AK381" s="53" t="b">
        <f aca="false">IFERROR(__xludf.dummyfunction("""COMPUTED_VALUE"""),FALSE())</f>
        <v>0</v>
      </c>
      <c r="AL381" s="53" t="b">
        <f aca="false">IFERROR(__xludf.dummyfunction("""COMPUTED_VALUE"""),FALSE())</f>
        <v>0</v>
      </c>
      <c r="AM381" s="53" t="b">
        <f aca="false">IFERROR(__xludf.dummyfunction("""COMPUTED_VALUE"""),TRUE())</f>
        <v>1</v>
      </c>
      <c r="AN381" s="53" t="b">
        <f aca="false">IFERROR(__xludf.dummyfunction("""COMPUTED_VALUE"""),TRUE())</f>
        <v>1</v>
      </c>
      <c r="AO381" s="46"/>
    </row>
    <row r="382" customFormat="false" ht="15.75" hidden="false" customHeight="true" outlineLevel="0" collapsed="false">
      <c r="A382" s="37" t="str">
        <f aca="false">IFERROR(__xludf.dummyfunction("""COMPUTED_VALUE"""),"Toán")</f>
        <v>Toán</v>
      </c>
      <c r="B382" s="37" t="str">
        <f aca="false">IFERROR(__xludf.dummyfunction("""COMPUTED_VALUE"""),"NT_N_20")</f>
        <v>NT_N_20</v>
      </c>
      <c r="C382" s="59" t="str">
        <f aca="false">IFERROR(__xludf.dummyfunction("""COMPUTED_VALUE"""),"Phương pháp tính nguyên hàm")</f>
        <v>Phương pháp tính nguyên hàm</v>
      </c>
      <c r="D382" s="39" t="str">
        <f aca="false">IFERROR(__xludf.dummyfunction("""COMPUTED_VALUE"""),"Nguyễn Hoài Nam")</f>
        <v>Nguyễn Hoài Nam</v>
      </c>
      <c r="E382" s="40" t="n">
        <f aca="false">IFERROR(__xludf.dummyfunction("""COMPUTED_VALUE"""),46264)</f>
        <v>46264</v>
      </c>
      <c r="F382" s="41" t="str">
        <f aca="false">IFERROR(__xludf.dummyfunction("""COMPUTED_VALUE"""),"CN")</f>
        <v>CN</v>
      </c>
      <c r="G382" s="37" t="str">
        <f aca="false">IFERROR(__xludf.dummyfunction("""COMPUTED_VALUE"""),"21:00-22:30")</f>
        <v>21:00-22:30</v>
      </c>
      <c r="H382" s="37"/>
      <c r="I382" s="37"/>
      <c r="J382" s="37"/>
      <c r="K382" s="68" t="str">
        <f aca="false">IFERROR(__xludf.dummyfunction("""COMPUTED_VALUE"""),"lent")</f>
        <v>lent</v>
      </c>
      <c r="L382" s="68" t="str">
        <f aca="false">IFERROR(__xludf.dummyfunction("""COMPUTED_VALUE"""),"Tưởng Thị Huyền Trang")</f>
        <v>Tưởng Thị Huyền Trang</v>
      </c>
      <c r="M382" s="69" t="str">
        <f aca="false">IFERROR(__xludf.dummyfunction("""COMPUTED_VALUE"""),"https://hocmai.sharepoint.com/Education_Development/Lists/San_xuat_video/DispForm.aspx?ID=12207")</f>
        <v>https://hocmai.sharepoint.com/Education_Development/Lists/San_xuat_video/DispForm.aspx?ID=12207</v>
      </c>
      <c r="N382" s="78" t="n">
        <f aca="false">IFERROR(__xludf.dummyfunction("""COMPUTED_VALUE"""),3313)</f>
        <v>3313</v>
      </c>
      <c r="O382" s="63" t="n">
        <f aca="false">IFERROR(__xludf.dummyfunction("""COMPUTED_VALUE"""),166644)</f>
        <v>166644</v>
      </c>
      <c r="P382" s="63"/>
      <c r="Q382" s="63" t="n">
        <f aca="false">IFERROR(__xludf.dummyfunction("""COMPUTED_VALUE"""),8039)</f>
        <v>8039</v>
      </c>
      <c r="R382" s="41"/>
      <c r="S382" s="41"/>
      <c r="T382" s="63" t="n">
        <f aca="false">IFERROR(__xludf.dummyfunction("""COMPUTED_VALUE"""),8040)</f>
        <v>8040</v>
      </c>
      <c r="U382" s="63"/>
      <c r="V382" s="70" t="n">
        <f aca="false">IFERROR(__xludf.dummyfunction("""COMPUTED_VALUE"""),46266)</f>
        <v>46266</v>
      </c>
      <c r="W382" s="39"/>
      <c r="X382" s="41" t="str">
        <f aca="false">IFERROR(__xludf.dummyfunction("""COMPUTED_VALUE"""),"Huent7")</f>
        <v>Huent7</v>
      </c>
      <c r="Y382" s="44"/>
      <c r="Z382" s="57"/>
      <c r="AA382" s="57"/>
      <c r="AB382" s="41" t="n">
        <f aca="false">IFERROR(__xludf.dummyfunction("""COMPUTED_VALUE"""),8)</f>
        <v>8</v>
      </c>
      <c r="AC382" s="57"/>
      <c r="AD382" s="46"/>
      <c r="AE382" s="46"/>
      <c r="AF382" s="47" t="str">
        <f aca="false">IFERROR(__xludf.dummyfunction("""COMPUTED_VALUE"""),"lophoctoan-946264")</f>
        <v>lophoctoan-946264</v>
      </c>
      <c r="AG382" s="46" t="str">
        <f aca="false">IFERROR(__xludf.dummyfunction("""COMPUTED_VALUE"""),"")</f>
        <v/>
      </c>
      <c r="AH382" s="53" t="b">
        <f aca="false">IFERROR(__xludf.dummyfunction("""COMPUTED_VALUE"""),TRUE())</f>
        <v>1</v>
      </c>
      <c r="AI382" s="35"/>
      <c r="AJ382" s="35"/>
      <c r="AK382" s="35"/>
      <c r="AL382" s="35"/>
      <c r="AM382" s="35"/>
      <c r="AN382" s="35"/>
      <c r="AO382" s="46"/>
    </row>
    <row r="383" customFormat="false" ht="15.75" hidden="false" customHeight="true" outlineLevel="0" collapsed="false">
      <c r="A383" s="37" t="str">
        <f aca="false">IFERROR(__xludf.dummyfunction("""COMPUTED_VALUE"""),"Toán")</f>
        <v>Toán</v>
      </c>
      <c r="B383" s="37" t="str">
        <f aca="false">IFERROR(__xludf.dummyfunction("""COMPUTED_VALUE"""),"NT_T_36")</f>
        <v>NT_T_36</v>
      </c>
      <c r="C383" s="59" t="str">
        <f aca="false">IFERROR(__xludf.dummyfunction("""COMPUTED_VALUE"""),"Các công thức định lượng")</f>
        <v>Các công thức định lượng</v>
      </c>
      <c r="D383" s="39" t="str">
        <f aca="false">IFERROR(__xludf.dummyfunction("""COMPUTED_VALUE"""),"Nguyễn Thanh Tùng")</f>
        <v>Nguyễn Thanh Tùng</v>
      </c>
      <c r="E383" s="40" t="n">
        <f aca="false">IFERROR(__xludf.dummyfunction("""COMPUTED_VALUE"""),46264)</f>
        <v>46264</v>
      </c>
      <c r="F383" s="41" t="str">
        <f aca="false">IFERROR(__xludf.dummyfunction("""COMPUTED_VALUE"""),"CN")</f>
        <v>CN</v>
      </c>
      <c r="G383" s="37" t="str">
        <f aca="false">IFERROR(__xludf.dummyfunction("""COMPUTED_VALUE"""),"18:00-20:00")</f>
        <v>18:00-20:00</v>
      </c>
      <c r="H383" s="37"/>
      <c r="I383" s="37"/>
      <c r="J383" s="62"/>
      <c r="K383" s="68" t="str">
        <f aca="false">IFERROR(__xludf.dummyfunction("""COMPUTED_VALUE"""),"Khanhnl")</f>
        <v>Khanhnl</v>
      </c>
      <c r="L383" s="68" t="str">
        <f aca="false">IFERROR(__xludf.dummyfunction("""COMPUTED_VALUE"""),"Tưởng Thị Huyền Trang")</f>
        <v>Tưởng Thị Huyền Trang</v>
      </c>
      <c r="M383" s="69" t="str">
        <f aca="false">IFERROR(__xludf.dummyfunction("""COMPUTED_VALUE"""),"https://hocmai.sharepoint.com/Education_Development/Lists/San_xuat_video/DispForm.aspx?ID=12175")</f>
        <v>https://hocmai.sharepoint.com/Education_Development/Lists/San_xuat_video/DispForm.aspx?ID=12175</v>
      </c>
      <c r="N383" s="63" t="n">
        <f aca="false">IFERROR(__xludf.dummyfunction("""COMPUTED_VALUE"""),3312)</f>
        <v>3312</v>
      </c>
      <c r="O383" s="63" t="n">
        <f aca="false">IFERROR(__xludf.dummyfunction("""COMPUTED_VALUE"""),166569)</f>
        <v>166569</v>
      </c>
      <c r="P383" s="63"/>
      <c r="Q383" s="63" t="n">
        <f aca="false">IFERROR(__xludf.dummyfunction("""COMPUTED_VALUE"""),7955)</f>
        <v>7955</v>
      </c>
      <c r="R383" s="41"/>
      <c r="S383" s="41"/>
      <c r="T383" s="63" t="n">
        <f aca="false">IFERROR(__xludf.dummyfunction("""COMPUTED_VALUE"""),7956)</f>
        <v>7956</v>
      </c>
      <c r="U383" s="63"/>
      <c r="V383" s="70" t="n">
        <f aca="false">IFERROR(__xludf.dummyfunction("""COMPUTED_VALUE"""),46267)</f>
        <v>46267</v>
      </c>
      <c r="W383" s="39"/>
      <c r="X383" s="41" t="str">
        <f aca="false">IFERROR(__xludf.dummyfunction("""COMPUTED_VALUE"""),"Huent7")</f>
        <v>Huent7</v>
      </c>
      <c r="Y383" s="44"/>
      <c r="Z383" s="57"/>
      <c r="AA383" s="57"/>
      <c r="AB383" s="41" t="n">
        <f aca="false">IFERROR(__xludf.dummyfunction("""COMPUTED_VALUE"""),8)</f>
        <v>8</v>
      </c>
      <c r="AC383" s="57"/>
      <c r="AD383" s="46"/>
      <c r="AE383" s="46"/>
      <c r="AF383" s="47" t="str">
        <f aca="false">IFERROR(__xludf.dummyfunction("""COMPUTED_VALUE"""),"lophoctoan-946264")</f>
        <v>lophoctoan-946264</v>
      </c>
      <c r="AG383" s="46" t="str">
        <f aca="false">IFERROR(__xludf.dummyfunction("""COMPUTED_VALUE"""),"")</f>
        <v/>
      </c>
      <c r="AH383" s="53" t="b">
        <f aca="false">IFERROR(__xludf.dummyfunction("""COMPUTED_VALUE"""),TRUE())</f>
        <v>1</v>
      </c>
      <c r="AI383" s="35"/>
      <c r="AJ383" s="35"/>
      <c r="AK383" s="35"/>
      <c r="AL383" s="35"/>
      <c r="AM383" s="35"/>
      <c r="AN383" s="35"/>
      <c r="AO383" s="46"/>
    </row>
    <row r="384" customFormat="false" ht="15.75" hidden="false" customHeight="true" outlineLevel="0" collapsed="false">
      <c r="A384" s="37" t="str">
        <f aca="false">IFERROR(__xludf.dummyfunction("""COMPUTED_VALUE"""),"Thực chiến Toán")</f>
        <v>Thực chiến Toán</v>
      </c>
      <c r="B384" s="37" t="str">
        <f aca="false">IFERROR(__xludf.dummyfunction("""COMPUTED_VALUE"""),"TC_TSA_T_23")</f>
        <v>TC_TSA_T_23</v>
      </c>
      <c r="C384" s="59" t="str">
        <f aca="false">IFERROR(__xludf.dummyfunction("""COMPUTED_VALUE"""),"[Bổ trợ]_Chữa bài tập TSA_Tư duy Toán học số 23")</f>
        <v>[Bổ trợ]_Chữa bài tập TSA_Tư duy Toán học số 23</v>
      </c>
      <c r="D384" s="39" t="str">
        <f aca="false">IFERROR(__xludf.dummyfunction("""COMPUTED_VALUE"""),"Phạm Huy Hoàng")</f>
        <v>Phạm Huy Hoàng</v>
      </c>
      <c r="E384" s="40" t="n">
        <f aca="false">IFERROR(__xludf.dummyfunction("""COMPUTED_VALUE"""),46264)</f>
        <v>46264</v>
      </c>
      <c r="F384" s="41" t="str">
        <f aca="false">IFERROR(__xludf.dummyfunction("""COMPUTED_VALUE"""),"CN")</f>
        <v>CN</v>
      </c>
      <c r="G384" s="37" t="str">
        <f aca="false">IFERROR(__xludf.dummyfunction("""COMPUTED_VALUE"""),"15:00-16:00")</f>
        <v>15:00-16:00</v>
      </c>
      <c r="H384" s="37"/>
      <c r="I384" s="37"/>
      <c r="J384" s="37"/>
      <c r="K384" s="68" t="str">
        <f aca="false">IFERROR(__xludf.dummyfunction("""COMPUTED_VALUE"""),"Locdd")</f>
        <v>Locdd</v>
      </c>
      <c r="L384" s="68" t="str">
        <f aca="false">IFERROR(__xludf.dummyfunction("""COMPUTED_VALUE"""),"HOCMAI")</f>
        <v>HOCMAI</v>
      </c>
      <c r="M384" s="71"/>
      <c r="N384" s="77" t="str">
        <f aca="false">IFERROR(__xludf.dummyfunction("""COMPUTED_VALUE"""),"3108")</f>
        <v>3108</v>
      </c>
      <c r="O384" s="63" t="n">
        <f aca="false">IFERROR(__xludf.dummyfunction("""COMPUTED_VALUE"""),176055)</f>
        <v>176055</v>
      </c>
      <c r="P384" s="60" t="str">
        <f aca="false">IFERROR(__xludf.dummyfunction("""COMPUTED_VALUE"""),"https://hocmai.vn/bai-giang-truc-tuyen/176055/.html")</f>
        <v>https://hocmai.vn/bai-giang-truc-tuyen/176055/.html</v>
      </c>
      <c r="Q384" s="63"/>
      <c r="R384" s="41"/>
      <c r="S384" s="41"/>
      <c r="T384" s="63"/>
      <c r="U384" s="63"/>
      <c r="V384" s="70" t="n">
        <f aca="false">IFERROR(__xludf.dummyfunction("""COMPUTED_VALUE"""),46267)</f>
        <v>46267</v>
      </c>
      <c r="W384" s="39"/>
      <c r="X384" s="41" t="str">
        <f aca="false">IFERROR(__xludf.dummyfunction("""COMPUTED_VALUE"""),"Vuta")</f>
        <v>Vuta</v>
      </c>
      <c r="Y384" s="44"/>
      <c r="Z384" s="57"/>
      <c r="AA384" s="57"/>
      <c r="AB384" s="41" t="n">
        <f aca="false">IFERROR(__xludf.dummyfunction("""COMPUTED_VALUE"""),8)</f>
        <v>8</v>
      </c>
      <c r="AC384" s="57" t="str">
        <f aca="false">IFERROR(__xludf.dummyfunction("""COMPUTED_VALUE"""),"0376611308")</f>
        <v>0376611308</v>
      </c>
      <c r="AD384" s="46"/>
      <c r="AE384" s="46"/>
      <c r="AF384" s="47"/>
      <c r="AG384" s="46"/>
      <c r="AH384" s="53" t="b">
        <f aca="false">IFERROR(__xludf.dummyfunction("""COMPUTED_VALUE"""),FALSE())</f>
        <v>0</v>
      </c>
      <c r="AI384" s="53" t="b">
        <f aca="false">IFERROR(__xludf.dummyfunction("""COMPUTED_VALUE"""),TRUE())</f>
        <v>1</v>
      </c>
      <c r="AJ384" s="53" t="b">
        <f aca="false">IFERROR(__xludf.dummyfunction("""COMPUTED_VALUE"""),FALSE())</f>
        <v>0</v>
      </c>
      <c r="AK384" s="53" t="b">
        <f aca="false">IFERROR(__xludf.dummyfunction("""COMPUTED_VALUE"""),FALSE())</f>
        <v>0</v>
      </c>
      <c r="AL384" s="53" t="b">
        <f aca="false">IFERROR(__xludf.dummyfunction("""COMPUTED_VALUE"""),FALSE())</f>
        <v>0</v>
      </c>
      <c r="AM384" s="53" t="b">
        <f aca="false">IFERROR(__xludf.dummyfunction("""COMPUTED_VALUE"""),FALSE())</f>
        <v>0</v>
      </c>
      <c r="AN384" s="53" t="b">
        <f aca="false">IFERROR(__xludf.dummyfunction("""COMPUTED_VALUE"""),FALSE())</f>
        <v>0</v>
      </c>
      <c r="AO384" s="46"/>
    </row>
    <row r="385" customFormat="false" ht="15.75" hidden="false" customHeight="true" outlineLevel="0" collapsed="false">
      <c r="A385" s="37" t="str">
        <f aca="false">IFERROR(__xludf.dummyfunction("""COMPUTED_VALUE"""),"Thực chiến Đọc hiểu")</f>
        <v>Thực chiến Đọc hiểu</v>
      </c>
      <c r="B385" s="37" t="str">
        <f aca="false">IFERROR(__xludf.dummyfunction("""COMPUTED_VALUE"""),"TC_TSA_DH_08")</f>
        <v>TC_TSA_DH_08</v>
      </c>
      <c r="C385" s="59" t="str">
        <f aca="false">IFERROR(__xludf.dummyfunction("""COMPUTED_VALUE"""),"[Bổ trợ]_Chữa bài tập TSA_Tư duy Đọc hiểu số 08")</f>
        <v>[Bổ trợ]_Chữa bài tập TSA_Tư duy Đọc hiểu số 08</v>
      </c>
      <c r="D385" s="39" t="str">
        <f aca="false">IFERROR(__xludf.dummyfunction("""COMPUTED_VALUE"""),"Đào Hồng Phúc")</f>
        <v>Đào Hồng Phúc</v>
      </c>
      <c r="E385" s="40" t="n">
        <f aca="false">IFERROR(__xludf.dummyfunction("""COMPUTED_VALUE"""),46264)</f>
        <v>46264</v>
      </c>
      <c r="F385" s="41" t="str">
        <f aca="false">IFERROR(__xludf.dummyfunction("""COMPUTED_VALUE"""),"CN")</f>
        <v>CN</v>
      </c>
      <c r="G385" s="37" t="str">
        <f aca="false">IFERROR(__xludf.dummyfunction("""COMPUTED_VALUE"""),"10:00-11:00")</f>
        <v>10:00-11:00</v>
      </c>
      <c r="H385" s="37"/>
      <c r="I385" s="37"/>
      <c r="J385" s="42" t="str">
        <f aca="false">IFERROR(__xludf.dummyfunction("""COMPUTED_VALUE"""),"https://drive.google.com/drive/folders/12G3tdIiYSp91oSyYiGy2rpk_v1KX2KQi?usp=drive_link")</f>
        <v>https://drive.google.com/drive/folders/12G3tdIiYSp91oSyYiGy2rpk_v1KX2KQi?usp=drive_link</v>
      </c>
      <c r="K385" s="68" t="str">
        <f aca="false">IFERROR(__xludf.dummyfunction("""COMPUTED_VALUE"""),"Hangvt3")</f>
        <v>Hangvt3</v>
      </c>
      <c r="L385" s="68" t="str">
        <f aca="false">IFERROR(__xludf.dummyfunction("""COMPUTED_VALUE"""),"HOCMAI")</f>
        <v>HOCMAI</v>
      </c>
      <c r="M385" s="71"/>
      <c r="N385" s="77" t="str">
        <f aca="false">IFERROR(__xludf.dummyfunction("""COMPUTED_VALUE"""),"3109")</f>
        <v>3109</v>
      </c>
      <c r="O385" s="63" t="n">
        <f aca="false">IFERROR(__xludf.dummyfunction("""COMPUTED_VALUE"""),176063)</f>
        <v>176063</v>
      </c>
      <c r="P385" s="60" t="str">
        <f aca="false">IFERROR(__xludf.dummyfunction("""COMPUTED_VALUE"""),"https://hocmai.vn/bai-giang-truc-tuyen/176063/.html")</f>
        <v>https://hocmai.vn/bai-giang-truc-tuyen/176063/.html</v>
      </c>
      <c r="Q385" s="63"/>
      <c r="R385" s="41"/>
      <c r="S385" s="41"/>
      <c r="T385" s="63"/>
      <c r="U385" s="63"/>
      <c r="V385" s="70" t="n">
        <f aca="false">IFERROR(__xludf.dummyfunction("""COMPUTED_VALUE"""),46267)</f>
        <v>46267</v>
      </c>
      <c r="W385" s="39" t="str">
        <f aca="false">IFERROR(__xludf.dummyfunction("""COMPUTED_VALUE"""),"Hoàn thành TL live")</f>
        <v>Hoàn thành TL live</v>
      </c>
      <c r="X385" s="41" t="str">
        <f aca="false">IFERROR(__xludf.dummyfunction("""COMPUTED_VALUE"""),"Vuta")</f>
        <v>Vuta</v>
      </c>
      <c r="Y385" s="44"/>
      <c r="Z385" s="57"/>
      <c r="AA385" s="57"/>
      <c r="AB385" s="41" t="n">
        <f aca="false">IFERROR(__xludf.dummyfunction("""COMPUTED_VALUE"""),8)</f>
        <v>8</v>
      </c>
      <c r="AC385" s="57" t="str">
        <f aca="false">IFERROR(__xludf.dummyfunction("""COMPUTED_VALUE"""),"0987781413")</f>
        <v>0987781413</v>
      </c>
      <c r="AD385" s="46"/>
      <c r="AE385" s="46"/>
      <c r="AF385" s="47"/>
      <c r="AG385" s="46"/>
      <c r="AH385" s="53" t="b">
        <f aca="false">IFERROR(__xludf.dummyfunction("""COMPUTED_VALUE"""),FALSE())</f>
        <v>0</v>
      </c>
      <c r="AI385" s="53" t="b">
        <f aca="false">IFERROR(__xludf.dummyfunction("""COMPUTED_VALUE"""),TRUE())</f>
        <v>1</v>
      </c>
      <c r="AJ385" s="53" t="b">
        <f aca="false">IFERROR(__xludf.dummyfunction("""COMPUTED_VALUE"""),FALSE())</f>
        <v>0</v>
      </c>
      <c r="AK385" s="53" t="b">
        <f aca="false">IFERROR(__xludf.dummyfunction("""COMPUTED_VALUE"""),FALSE())</f>
        <v>0</v>
      </c>
      <c r="AL385" s="53" t="b">
        <f aca="false">IFERROR(__xludf.dummyfunction("""COMPUTED_VALUE"""),FALSE())</f>
        <v>0</v>
      </c>
      <c r="AM385" s="53" t="b">
        <f aca="false">IFERROR(__xludf.dummyfunction("""COMPUTED_VALUE"""),FALSE())</f>
        <v>0</v>
      </c>
      <c r="AN385" s="53" t="b">
        <f aca="false">IFERROR(__xludf.dummyfunction("""COMPUTED_VALUE"""),FALSE())</f>
        <v>0</v>
      </c>
      <c r="AO385" s="46"/>
    </row>
    <row r="386" customFormat="false" ht="15.75" hidden="false" customHeight="true" outlineLevel="0" collapsed="false">
      <c r="A386" s="37" t="str">
        <f aca="false">IFERROR(__xludf.dummyfunction("""COMPUTED_VALUE"""),"Thực chiến Định tính")</f>
        <v>Thực chiến Định tính</v>
      </c>
      <c r="B386" s="37" t="str">
        <f aca="false">IFERROR(__xludf.dummyfunction("""COMPUTED_VALUE"""),"TC_HSA_ĐT_07")</f>
        <v>TC_HSA_ĐT_07</v>
      </c>
      <c r="C386" s="59" t="str">
        <f aca="false">IFERROR(__xludf.dummyfunction("""COMPUTED_VALUE"""),"[Bổ trợ]_Chữa bài tập _Tư duy Định tính số 07")</f>
        <v>[Bổ trợ]_Chữa bài tập _Tư duy Định tính số 07</v>
      </c>
      <c r="D386" s="39" t="str">
        <f aca="false">IFERROR(__xludf.dummyfunction("""COMPUTED_VALUE"""),"Nguyễn Thị Thanh Hoa")</f>
        <v>Nguyễn Thị Thanh Hoa</v>
      </c>
      <c r="E386" s="40" t="n">
        <f aca="false">IFERROR(__xludf.dummyfunction("""COMPUTED_VALUE"""),46264)</f>
        <v>46264</v>
      </c>
      <c r="F386" s="41" t="str">
        <f aca="false">IFERROR(__xludf.dummyfunction("""COMPUTED_VALUE"""),"CN")</f>
        <v>CN</v>
      </c>
      <c r="G386" s="37" t="str">
        <f aca="false">IFERROR(__xludf.dummyfunction("""COMPUTED_VALUE"""),"17:00-18:00")</f>
        <v>17:00-18:00</v>
      </c>
      <c r="H386" s="37"/>
      <c r="I386" s="37"/>
      <c r="J386" s="37"/>
      <c r="K386" s="68" t="str">
        <f aca="false">IFERROR(__xludf.dummyfunction("""COMPUTED_VALUE"""),"Hoantt")</f>
        <v>Hoantt</v>
      </c>
      <c r="L386" s="68" t="str">
        <f aca="false">IFERROR(__xludf.dummyfunction("""COMPUTED_VALUE"""),"HOCMAI")</f>
        <v>HOCMAI</v>
      </c>
      <c r="M386" s="71"/>
      <c r="N386" s="77" t="str">
        <f aca="false">IFERROR(__xludf.dummyfunction("""COMPUTED_VALUE"""),"3118")</f>
        <v>3118</v>
      </c>
      <c r="O386" s="63" t="n">
        <f aca="false">IFERROR(__xludf.dummyfunction("""COMPUTED_VALUE"""),176140)</f>
        <v>176140</v>
      </c>
      <c r="P386" s="60" t="str">
        <f aca="false">IFERROR(__xludf.dummyfunction("""COMPUTED_VALUE"""),"https://hocmai.vn/bai-giang-truc-tuyen/176140/.html")</f>
        <v>https://hocmai.vn/bai-giang-truc-tuyen/176140/.html</v>
      </c>
      <c r="Q386" s="63"/>
      <c r="R386" s="41"/>
      <c r="S386" s="41"/>
      <c r="T386" s="63"/>
      <c r="U386" s="63"/>
      <c r="V386" s="70" t="n">
        <f aca="false">IFERROR(__xludf.dummyfunction("""COMPUTED_VALUE"""),46267)</f>
        <v>46267</v>
      </c>
      <c r="W386" s="39"/>
      <c r="X386" s="41" t="str">
        <f aca="false">IFERROR(__xludf.dummyfunction("""COMPUTED_VALUE"""),"Vuta")</f>
        <v>Vuta</v>
      </c>
      <c r="Y386" s="44"/>
      <c r="Z386" s="57"/>
      <c r="AA386" s="57"/>
      <c r="AB386" s="41" t="n">
        <f aca="false">IFERROR(__xludf.dummyfunction("""COMPUTED_VALUE"""),8)</f>
        <v>8</v>
      </c>
      <c r="AC386" s="57" t="str">
        <f aca="false">IFERROR(__xludf.dummyfunction("""COMPUTED_VALUE"""),"hoantt@hocmai.vn")</f>
        <v>hoantt@hocmai.vn</v>
      </c>
      <c r="AD386" s="46"/>
      <c r="AE386" s="46"/>
      <c r="AF386" s="47"/>
      <c r="AG386" s="46"/>
      <c r="AH386" s="53" t="b">
        <f aca="false">IFERROR(__xludf.dummyfunction("""COMPUTED_VALUE"""),FALSE())</f>
        <v>0</v>
      </c>
      <c r="AI386" s="53" t="b">
        <f aca="false">IFERROR(__xludf.dummyfunction("""COMPUTED_VALUE"""),FALSE())</f>
        <v>0</v>
      </c>
      <c r="AJ386" s="53" t="b">
        <f aca="false">IFERROR(__xludf.dummyfunction("""COMPUTED_VALUE"""),TRUE())</f>
        <v>1</v>
      </c>
      <c r="AK386" s="53" t="b">
        <f aca="false">IFERROR(__xludf.dummyfunction("""COMPUTED_VALUE"""),TRUE())</f>
        <v>1</v>
      </c>
      <c r="AL386" s="53" t="b">
        <f aca="false">IFERROR(__xludf.dummyfunction("""COMPUTED_VALUE"""),FALSE())</f>
        <v>0</v>
      </c>
      <c r="AM386" s="53" t="b">
        <f aca="false">IFERROR(__xludf.dummyfunction("""COMPUTED_VALUE"""),FALSE())</f>
        <v>0</v>
      </c>
      <c r="AN386" s="53" t="b">
        <f aca="false">IFERROR(__xludf.dummyfunction("""COMPUTED_VALUE"""),FALSE())</f>
        <v>0</v>
      </c>
      <c r="AO386" s="46"/>
    </row>
    <row r="387" customFormat="false" ht="15.75" hidden="false" customHeight="true" outlineLevel="0" collapsed="false">
      <c r="A387" s="37" t="str">
        <f aca="false">IFERROR(__xludf.dummyfunction("""COMPUTED_VALUE"""),"Thực chiến Định lượng")</f>
        <v>Thực chiến Định lượng</v>
      </c>
      <c r="B387" s="37" t="str">
        <f aca="false">IFERROR(__xludf.dummyfunction("""COMPUTED_VALUE"""),"TC_HSA_ĐL_20")</f>
        <v>TC_HSA_ĐL_20</v>
      </c>
      <c r="C387" s="59" t="str">
        <f aca="false">IFERROR(__xludf.dummyfunction("""COMPUTED_VALUE"""),"[Bổ trợ]_Chữa bài tập _Tư duy Định lượng số 20")</f>
        <v>[Bổ trợ]_Chữa bài tập _Tư duy Định lượng số 20</v>
      </c>
      <c r="D387" s="39" t="str">
        <f aca="false">IFERROR(__xludf.dummyfunction("""COMPUTED_VALUE"""),"Nguyễn Trọng Trường Anh")</f>
        <v>Nguyễn Trọng Trường Anh</v>
      </c>
      <c r="E387" s="40" t="n">
        <f aca="false">IFERROR(__xludf.dummyfunction("""COMPUTED_VALUE"""),46264)</f>
        <v>46264</v>
      </c>
      <c r="F387" s="41" t="str">
        <f aca="false">IFERROR(__xludf.dummyfunction("""COMPUTED_VALUE"""),"CN")</f>
        <v>CN</v>
      </c>
      <c r="G387" s="37" t="str">
        <f aca="false">IFERROR(__xludf.dummyfunction("""COMPUTED_VALUE"""),"10:00-11:00")</f>
        <v>10:00-11:00</v>
      </c>
      <c r="H387" s="37"/>
      <c r="I387" s="37"/>
      <c r="J387" s="37"/>
      <c r="K387" s="68" t="str">
        <f aca="false">IFERROR(__xludf.dummyfunction("""COMPUTED_VALUE"""),"Locdd")</f>
        <v>Locdd</v>
      </c>
      <c r="L387" s="68" t="str">
        <f aca="false">IFERROR(__xludf.dummyfunction("""COMPUTED_VALUE"""),"HOCMAI")</f>
        <v>HOCMAI</v>
      </c>
      <c r="M387" s="71"/>
      <c r="N387" s="77" t="str">
        <f aca="false">IFERROR(__xludf.dummyfunction("""COMPUTED_VALUE"""),"3117")</f>
        <v>3117</v>
      </c>
      <c r="O387" s="63" t="n">
        <f aca="false">IFERROR(__xludf.dummyfunction("""COMPUTED_VALUE"""),176133)</f>
        <v>176133</v>
      </c>
      <c r="P387" s="60" t="str">
        <f aca="false">IFERROR(__xludf.dummyfunction("""COMPUTED_VALUE"""),"https://hocmai.vn/bai-giang-truc-tuyen/176133/.html")</f>
        <v>https://hocmai.vn/bai-giang-truc-tuyen/176133/.html</v>
      </c>
      <c r="Q387" s="63"/>
      <c r="R387" s="41"/>
      <c r="S387" s="41"/>
      <c r="T387" s="63"/>
      <c r="U387" s="63"/>
      <c r="V387" s="70" t="n">
        <f aca="false">IFERROR(__xludf.dummyfunction("""COMPUTED_VALUE"""),46267)</f>
        <v>46267</v>
      </c>
      <c r="W387" s="39"/>
      <c r="X387" s="41" t="str">
        <f aca="false">IFERROR(__xludf.dummyfunction("""COMPUTED_VALUE"""),"Vuta")</f>
        <v>Vuta</v>
      </c>
      <c r="Y387" s="44"/>
      <c r="Z387" s="57"/>
      <c r="AA387" s="57"/>
      <c r="AB387" s="41" t="n">
        <f aca="false">IFERROR(__xludf.dummyfunction("""COMPUTED_VALUE"""),8)</f>
        <v>8</v>
      </c>
      <c r="AC387" s="57" t="str">
        <f aca="false">IFERROR(__xludf.dummyfunction("""COMPUTED_VALUE"""),"thochi1981@gmail.com")</f>
        <v>thochi1981@gmail.com</v>
      </c>
      <c r="AD387" s="46"/>
      <c r="AE387" s="46"/>
      <c r="AF387" s="47"/>
      <c r="AG387" s="46"/>
      <c r="AH387" s="53" t="b">
        <f aca="false">IFERROR(__xludf.dummyfunction("""COMPUTED_VALUE"""),FALSE())</f>
        <v>0</v>
      </c>
      <c r="AI387" s="53" t="b">
        <f aca="false">IFERROR(__xludf.dummyfunction("""COMPUTED_VALUE"""),FALSE())</f>
        <v>0</v>
      </c>
      <c r="AJ387" s="53" t="b">
        <f aca="false">IFERROR(__xludf.dummyfunction("""COMPUTED_VALUE"""),TRUE())</f>
        <v>1</v>
      </c>
      <c r="AK387" s="53" t="b">
        <f aca="false">IFERROR(__xludf.dummyfunction("""COMPUTED_VALUE"""),TRUE())</f>
        <v>1</v>
      </c>
      <c r="AL387" s="53" t="b">
        <f aca="false">IFERROR(__xludf.dummyfunction("""COMPUTED_VALUE"""),FALSE())</f>
        <v>0</v>
      </c>
      <c r="AM387" s="53" t="b">
        <f aca="false">IFERROR(__xludf.dummyfunction("""COMPUTED_VALUE"""),FALSE())</f>
        <v>0</v>
      </c>
      <c r="AN387" s="53" t="b">
        <f aca="false">IFERROR(__xludf.dummyfunction("""COMPUTED_VALUE"""),FALSE())</f>
        <v>0</v>
      </c>
      <c r="AO387" s="46"/>
    </row>
    <row r="388" customFormat="false" ht="15.75" hidden="false" customHeight="true" outlineLevel="0" collapsed="false">
      <c r="A388" s="37" t="str">
        <f aca="false">IFERROR(__xludf.dummyfunction("""COMPUTED_VALUE"""),"Thực chiến Toán")</f>
        <v>Thực chiến Toán</v>
      </c>
      <c r="B388" s="37" t="str">
        <f aca="false">IFERROR(__xludf.dummyfunction("""COMPUTED_VALUE"""),"TC_V-ACT_T_20")</f>
        <v>TC_V-ACT_T_20</v>
      </c>
      <c r="C388" s="59" t="str">
        <f aca="false">IFERROR(__xludf.dummyfunction("""COMPUTED_VALUE"""),"[Bổ trợ]_Chữa bài tập_V-ACT_Toán số 20")</f>
        <v>[Bổ trợ]_Chữa bài tập_V-ACT_Toán số 20</v>
      </c>
      <c r="D388" s="39" t="str">
        <f aca="false">IFERROR(__xludf.dummyfunction("""COMPUTED_VALUE"""),"Lê Thế Anh")</f>
        <v>Lê Thế Anh</v>
      </c>
      <c r="E388" s="40" t="n">
        <f aca="false">IFERROR(__xludf.dummyfunction("""COMPUTED_VALUE"""),46264)</f>
        <v>46264</v>
      </c>
      <c r="F388" s="41" t="str">
        <f aca="false">IFERROR(__xludf.dummyfunction("""COMPUTED_VALUE"""),"CN")</f>
        <v>CN</v>
      </c>
      <c r="G388" s="37" t="str">
        <f aca="false">IFERROR(__xludf.dummyfunction("""COMPUTED_VALUE"""),"10:00-11:00")</f>
        <v>10:00-11:00</v>
      </c>
      <c r="H388" s="37"/>
      <c r="I388" s="37"/>
      <c r="J388" s="37"/>
      <c r="K388" s="68" t="str">
        <f aca="false">IFERROR(__xludf.dummyfunction("""COMPUTED_VALUE"""),"lent")</f>
        <v>lent</v>
      </c>
      <c r="L388" s="68" t="str">
        <f aca="false">IFERROR(__xludf.dummyfunction("""COMPUTED_VALUE"""),"HOCMAI")</f>
        <v>HOCMAI</v>
      </c>
      <c r="M388" s="71"/>
      <c r="N388" s="77" t="str">
        <f aca="false">IFERROR(__xludf.dummyfunction("""COMPUTED_VALUE"""),"3124")</f>
        <v>3124</v>
      </c>
      <c r="O388" s="63" t="n">
        <f aca="false">IFERROR(__xludf.dummyfunction("""COMPUTED_VALUE"""),176097)</f>
        <v>176097</v>
      </c>
      <c r="P388" s="60" t="str">
        <f aca="false">IFERROR(__xludf.dummyfunction("""COMPUTED_VALUE"""),"https://hocmai.vn/bai-giang-truc-tuyen/176097/.html")</f>
        <v>https://hocmai.vn/bai-giang-truc-tuyen/176097/.html</v>
      </c>
      <c r="Q388" s="63"/>
      <c r="R388" s="41"/>
      <c r="S388" s="41"/>
      <c r="T388" s="63"/>
      <c r="U388" s="63"/>
      <c r="V388" s="70" t="n">
        <f aca="false">IFERROR(__xludf.dummyfunction("""COMPUTED_VALUE"""),46267)</f>
        <v>46267</v>
      </c>
      <c r="W388" s="39"/>
      <c r="X388" s="41" t="str">
        <f aca="false">IFERROR(__xludf.dummyfunction("""COMPUTED_VALUE"""),"Vuta")</f>
        <v>Vuta</v>
      </c>
      <c r="Y388" s="44"/>
      <c r="Z388" s="57"/>
      <c r="AA388" s="57"/>
      <c r="AB388" s="41" t="n">
        <f aca="false">IFERROR(__xludf.dummyfunction("""COMPUTED_VALUE"""),8)</f>
        <v>8</v>
      </c>
      <c r="AC388" s="57" t="str">
        <f aca="false">IFERROR(__xludf.dummyfunction("""COMPUTED_VALUE"""),"ss.vact01@ctv.hocmai.vn")</f>
        <v>ss.vact01@ctv.hocmai.vn</v>
      </c>
      <c r="AD388" s="46"/>
      <c r="AE388" s="46"/>
      <c r="AF388" s="47"/>
      <c r="AG388" s="46"/>
      <c r="AH388" s="53" t="b">
        <f aca="false">IFERROR(__xludf.dummyfunction("""COMPUTED_VALUE"""),FALSE())</f>
        <v>0</v>
      </c>
      <c r="AI388" s="53" t="b">
        <f aca="false">IFERROR(__xludf.dummyfunction("""COMPUTED_VALUE"""),FALSE())</f>
        <v>0</v>
      </c>
      <c r="AJ388" s="53" t="b">
        <f aca="false">IFERROR(__xludf.dummyfunction("""COMPUTED_VALUE"""),FALSE())</f>
        <v>0</v>
      </c>
      <c r="AK388" s="53" t="b">
        <f aca="false">IFERROR(__xludf.dummyfunction("""COMPUTED_VALUE"""),FALSE())</f>
        <v>0</v>
      </c>
      <c r="AL388" s="53" t="b">
        <f aca="false">IFERROR(__xludf.dummyfunction("""COMPUTED_VALUE"""),FALSE())</f>
        <v>0</v>
      </c>
      <c r="AM388" s="53" t="b">
        <f aca="false">IFERROR(__xludf.dummyfunction("""COMPUTED_VALUE"""),TRUE())</f>
        <v>1</v>
      </c>
      <c r="AN388" s="53" t="b">
        <f aca="false">IFERROR(__xludf.dummyfunction("""COMPUTED_VALUE"""),TRUE())</f>
        <v>1</v>
      </c>
      <c r="AO388" s="46"/>
    </row>
    <row r="389" customFormat="false" ht="15.75" hidden="false" customHeight="true" outlineLevel="0" collapsed="false">
      <c r="A389" s="37" t="str">
        <f aca="false">IFERROR(__xludf.dummyfunction("""COMPUTED_VALUE"""),"Đọc hiểu")</f>
        <v>Đọc hiểu</v>
      </c>
      <c r="B389" s="37" t="str">
        <f aca="false">IFERROR(__xludf.dummyfunction("""COMPUTED_VALUE"""),"TOV_TSA_DH12")</f>
        <v>TOV_TSA_DH12</v>
      </c>
      <c r="C389" s="59" t="str">
        <f aca="false">IFERROR(__xludf.dummyfunction("""COMPUTED_VALUE"""),"Luyện tập phân tích quan điểm và cơ chế xây dựng thông tin")</f>
        <v>Luyện tập phân tích quan điểm và cơ chế xây dựng thông tin</v>
      </c>
      <c r="D389" s="39" t="str">
        <f aca="false">IFERROR(__xludf.dummyfunction("""COMPUTED_VALUE"""),"Vũ Khắc Ngọc")</f>
        <v>Vũ Khắc Ngọc</v>
      </c>
      <c r="E389" s="40" t="n">
        <f aca="false">IFERROR(__xludf.dummyfunction("""COMPUTED_VALUE"""),46265)</f>
        <v>46265</v>
      </c>
      <c r="F389" s="41" t="n">
        <f aca="false">IFERROR(__xludf.dummyfunction("""COMPUTED_VALUE"""),2)</f>
        <v>2</v>
      </c>
      <c r="G389" s="37" t="str">
        <f aca="false">IFERROR(__xludf.dummyfunction("""COMPUTED_VALUE"""),"21:30-23:30")</f>
        <v>21:30-23:30</v>
      </c>
      <c r="H389" s="37"/>
      <c r="I389" s="37"/>
      <c r="J389" s="37"/>
      <c r="K389" s="68" t="str">
        <f aca="false">IFERROR(__xludf.dummyfunction("""COMPUTED_VALUE"""),"Hangvt3")</f>
        <v>Hangvt3</v>
      </c>
      <c r="L389" s="68" t="str">
        <f aca="false">IFERROR(__xludf.dummyfunction("""COMPUTED_VALUE"""),"Phan Đức Kiên")</f>
        <v>Phan Đức Kiên</v>
      </c>
      <c r="M389" s="71"/>
      <c r="N389" s="77" t="str">
        <f aca="false">IFERROR(__xludf.dummyfunction("""COMPUTED_VALUE"""),"3109")</f>
        <v>3109</v>
      </c>
      <c r="O389" s="63" t="n">
        <f aca="false">IFERROR(__xludf.dummyfunction("""COMPUTED_VALUE"""),167235)</f>
        <v>167235</v>
      </c>
      <c r="P389" s="63"/>
      <c r="Q389" s="63"/>
      <c r="R389" s="41"/>
      <c r="S389" s="41"/>
      <c r="T389" s="63"/>
      <c r="U389" s="63"/>
      <c r="V389" s="70" t="n">
        <f aca="false">IFERROR(__xludf.dummyfunction("""COMPUTED_VALUE"""),46268)</f>
        <v>46268</v>
      </c>
      <c r="W389" s="39"/>
      <c r="X389" s="41" t="str">
        <f aca="false">IFERROR(__xludf.dummyfunction("""COMPUTED_VALUE"""),"Huent7")</f>
        <v>Huent7</v>
      </c>
      <c r="Y389" s="44" t="str">
        <f aca="false">IFERROR(__xludf.dummyfunction("""COMPUTED_VALUE"""),"done")</f>
        <v>done</v>
      </c>
      <c r="Z389" s="57" t="str">
        <f aca="false">IFERROR(__xludf.dummyfunction("""COMPUTED_VALUE"""),"#N/A")</f>
        <v>#N/A</v>
      </c>
      <c r="AA389" s="57"/>
      <c r="AB389" s="41" t="n">
        <f aca="false">IFERROR(__xludf.dummyfunction("""COMPUTED_VALUE"""),8)</f>
        <v>8</v>
      </c>
      <c r="AC389" s="57" t="str">
        <f aca="false">IFERROR(__xludf.dummyfunction("""COMPUTED_VALUE"""),"gv.ngocvk@hocmai.edu.vn")</f>
        <v>gv.ngocvk@hocmai.edu.vn</v>
      </c>
      <c r="AD389" s="46" t="str">
        <f aca="false">IFERROR(__xludf.dummyfunction("""COMPUTED_VALUE"""),"duckien010607@gmail.com")</f>
        <v>duckien010607@gmail.com</v>
      </c>
      <c r="AE389" s="46"/>
      <c r="AF389" s="47" t="str">
        <f aca="false">IFERROR(__xludf.dummyfunction("""COMPUTED_VALUE"""),"lophoctoan-946265")</f>
        <v>lophoctoan-946265</v>
      </c>
      <c r="AG389" s="46" t="str">
        <f aca="false">IFERROR(__xludf.dummyfunction("""COMPUTED_VALUE"""),"")</f>
        <v/>
      </c>
      <c r="AH389" s="35"/>
      <c r="AI389" s="53" t="b">
        <f aca="false">IFERROR(__xludf.dummyfunction("""COMPUTED_VALUE"""),TRUE())</f>
        <v>1</v>
      </c>
      <c r="AJ389" s="35"/>
      <c r="AK389" s="35"/>
      <c r="AL389" s="35"/>
      <c r="AM389" s="35"/>
      <c r="AN389" s="35"/>
      <c r="AO389" s="46"/>
    </row>
    <row r="390" customFormat="false" ht="15.75" hidden="false" customHeight="true" outlineLevel="0" collapsed="false">
      <c r="A390" s="37" t="str">
        <f aca="false">IFERROR(__xludf.dummyfunction("""COMPUTED_VALUE"""),"Tiếng Anh")</f>
        <v>Tiếng Anh</v>
      </c>
      <c r="B390" s="37" t="str">
        <f aca="false">IFERROR(__xludf.dummyfunction("""COMPUTED_VALUE"""),"TOV_HV_TA12")</f>
        <v>TOV_HV_TA12</v>
      </c>
      <c r="C390" s="59" t="str">
        <f aca="false">IFERROR(__xludf.dummyfunction("""COMPUTED_VALUE"""),"Phương pháp xử lý dạng bài viết câu")</f>
        <v>Phương pháp xử lý dạng bài viết câu</v>
      </c>
      <c r="D390" s="39" t="str">
        <f aca="false">IFERROR(__xludf.dummyfunction("""COMPUTED_VALUE"""),"Nguyễn Thanh Hương")</f>
        <v>Nguyễn Thanh Hương</v>
      </c>
      <c r="E390" s="40" t="n">
        <f aca="false">IFERROR(__xludf.dummyfunction("""COMPUTED_VALUE"""),46265)</f>
        <v>46265</v>
      </c>
      <c r="F390" s="41" t="n">
        <f aca="false">IFERROR(__xludf.dummyfunction("""COMPUTED_VALUE"""),2)</f>
        <v>2</v>
      </c>
      <c r="G390" s="37" t="str">
        <f aca="false">IFERROR(__xludf.dummyfunction("""COMPUTED_VALUE"""),"20:00-22:00")</f>
        <v>20:00-22:00</v>
      </c>
      <c r="H390" s="37"/>
      <c r="I390" s="37"/>
      <c r="J390" s="37"/>
      <c r="K390" s="68" t="str">
        <f aca="false">IFERROR(__xludf.dummyfunction("""COMPUTED_VALUE"""),"huyennn2")</f>
        <v>huyennn2</v>
      </c>
      <c r="L390" s="68" t="str">
        <f aca="false">IFERROR(__xludf.dummyfunction("""COMPUTED_VALUE"""),"Nguyễn Lê Thụy Quyên ")</f>
        <v>Nguyễn Lê Thụy Quyên </v>
      </c>
      <c r="M390" s="71"/>
      <c r="N390" s="77" t="str">
        <f aca="false">IFERROR(__xludf.dummyfunction("""COMPUTED_VALUE"""),"3140,3165,3339")</f>
        <v>3140,3165,3339</v>
      </c>
      <c r="O390" s="73" t="str">
        <f aca="false">IFERROR(__xludf.dummyfunction("""COMPUTED_VALUE"""),"167548,167616,167640")</f>
        <v>167548,167616,167640</v>
      </c>
      <c r="P390" s="63" t="str">
        <f aca="false">IFERROR(__xludf.dummyfunction("""COMPUTED_VALUE"""),"9030,9038,9047,9119")</f>
        <v>9030,9038,9047,9119</v>
      </c>
      <c r="Q390" s="63"/>
      <c r="R390" s="41"/>
      <c r="S390" s="41"/>
      <c r="T390" s="63"/>
      <c r="U390" s="63"/>
      <c r="V390" s="70" t="n">
        <f aca="false">IFERROR(__xludf.dummyfunction("""COMPUTED_VALUE"""),46268)</f>
        <v>46268</v>
      </c>
      <c r="W390" s="39"/>
      <c r="X390" s="41" t="str">
        <f aca="false">IFERROR(__xludf.dummyfunction("""COMPUTED_VALUE"""),"huyennn2")</f>
        <v>huyennn2</v>
      </c>
      <c r="Y390" s="44" t="str">
        <f aca="false">IFERROR(__xludf.dummyfunction("""COMPUTED_VALUE"""),"done")</f>
        <v>done</v>
      </c>
      <c r="Z390" s="57" t="str">
        <f aca="false">IFERROR(__xludf.dummyfunction("""COMPUTED_VALUE"""),"#N/A")</f>
        <v>#N/A</v>
      </c>
      <c r="AA390" s="57"/>
      <c r="AB390" s="41" t="n">
        <f aca="false">IFERROR(__xludf.dummyfunction("""COMPUTED_VALUE"""),8)</f>
        <v>8</v>
      </c>
      <c r="AC390" s="57" t="str">
        <f aca="false">IFERROR(__xludf.dummyfunction("""COMPUTED_VALUE"""),"gv.huongnt@hocmai.edu.vn ")</f>
        <v>gv.huongnt@hocmai.edu.vn </v>
      </c>
      <c r="AD390" s="46" t="str">
        <f aca="false">IFERROR(__xludf.dummyfunction("""COMPUTED_VALUE"""),"nguyenlethuyquyencp@gmail.com")</f>
        <v>nguyenlethuyquyencp@gmail.com</v>
      </c>
      <c r="AE390" s="46"/>
      <c r="AF390" s="47" t="str">
        <f aca="false">IFERROR(__xludf.dummyfunction("""COMPUTED_VALUE"""),"lophoctienganh46265")</f>
        <v>lophoctienganh46265</v>
      </c>
      <c r="AG390" s="46" t="str">
        <f aca="false">IFERROR(__xludf.dummyfunction("""COMPUTED_VALUE"""),"")</f>
        <v/>
      </c>
      <c r="AH390" s="35"/>
      <c r="AI390" s="35"/>
      <c r="AJ390" s="53" t="b">
        <f aca="false">IFERROR(__xludf.dummyfunction("""COMPUTED_VALUE"""),TRUE())</f>
        <v>1</v>
      </c>
      <c r="AK390" s="53" t="b">
        <f aca="false">IFERROR(__xludf.dummyfunction("""COMPUTED_VALUE"""),TRUE())</f>
        <v>1</v>
      </c>
      <c r="AL390" s="35"/>
      <c r="AM390" s="53" t="b">
        <f aca="false">IFERROR(__xludf.dummyfunction("""COMPUTED_VALUE"""),TRUE())</f>
        <v>1</v>
      </c>
      <c r="AN390" s="53" t="b">
        <f aca="false">IFERROR(__xludf.dummyfunction("""COMPUTED_VALUE"""),TRUE())</f>
        <v>1</v>
      </c>
      <c r="AO390" s="46"/>
    </row>
    <row r="391" customFormat="false" ht="15.75" hidden="false" customHeight="true" outlineLevel="0" collapsed="false">
      <c r="A391" s="37" t="str">
        <f aca="false">IFERROR(__xludf.dummyfunction("""COMPUTED_VALUE"""),"Hóa học")</f>
        <v>Hóa học</v>
      </c>
      <c r="B391" s="37" t="str">
        <f aca="false">IFERROR(__xludf.dummyfunction("""COMPUTED_VALUE"""),"TOV_HT_HH12")</f>
        <v>TOV_HT_HH12</v>
      </c>
      <c r="C391" s="59" t="str">
        <f aca="false">IFERROR(__xludf.dummyfunction("""COMPUTED_VALUE"""),"Hệ thống nhanh Hoá học hữu cơ lớp 11")</f>
        <v>Hệ thống nhanh Hoá học hữu cơ lớp 11</v>
      </c>
      <c r="D391" s="39" t="str">
        <f aca="false">IFERROR(__xludf.dummyfunction("""COMPUTED_VALUE"""),"Chu Hải Long")</f>
        <v>Chu Hải Long</v>
      </c>
      <c r="E391" s="40" t="n">
        <f aca="false">IFERROR(__xludf.dummyfunction("""COMPUTED_VALUE"""),46265)</f>
        <v>46265</v>
      </c>
      <c r="F391" s="41" t="n">
        <f aca="false">IFERROR(__xludf.dummyfunction("""COMPUTED_VALUE"""),2)</f>
        <v>2</v>
      </c>
      <c r="G391" s="37" t="str">
        <f aca="false">IFERROR(__xludf.dummyfunction("""COMPUTED_VALUE"""),"19:45-21:45")</f>
        <v>19:45-21:45</v>
      </c>
      <c r="H391" s="37"/>
      <c r="I391" s="37"/>
      <c r="J391" s="37"/>
      <c r="K391" s="68" t="str">
        <f aca="false">IFERROR(__xludf.dummyfunction("""COMPUTED_VALUE"""),"Huebt")</f>
        <v>Huebt</v>
      </c>
      <c r="L391" s="68" t="str">
        <f aca="false">IFERROR(__xludf.dummyfunction("""COMPUTED_VALUE"""),"Võ Hương Giang")</f>
        <v>Võ Hương Giang</v>
      </c>
      <c r="M391" s="71"/>
      <c r="N391" s="77" t="str">
        <f aca="false">IFERROR(__xludf.dummyfunction("""COMPUTED_VALUE"""),"3120,3131")</f>
        <v>3120,3131</v>
      </c>
      <c r="O391" s="63" t="str">
        <f aca="false">IFERROR(__xludf.dummyfunction("""COMPUTED_VALUE"""),"167436,167448")</f>
        <v>167436,167448</v>
      </c>
      <c r="P391" s="63" t="str">
        <f aca="false">IFERROR(__xludf.dummyfunction("""COMPUTED_VALUE"""),"9032,9040,9021")</f>
        <v>9032,9040,9021</v>
      </c>
      <c r="Q391" s="63"/>
      <c r="R391" s="41"/>
      <c r="S391" s="41"/>
      <c r="T391" s="63"/>
      <c r="U391" s="63" t="n">
        <f aca="false">IFERROR(__xludf.dummyfunction("""COMPUTED_VALUE"""),10489)</f>
        <v>10489</v>
      </c>
      <c r="V391" s="70" t="n">
        <f aca="false">IFERROR(__xludf.dummyfunction("""COMPUTED_VALUE"""),46268)</f>
        <v>46268</v>
      </c>
      <c r="W391" s="39"/>
      <c r="X391" s="41" t="str">
        <f aca="false">IFERROR(__xludf.dummyfunction("""COMPUTED_VALUE"""),"Huebt")</f>
        <v>Huebt</v>
      </c>
      <c r="Y391" s="44"/>
      <c r="Z391" s="57" t="str">
        <f aca="false">IFERROR(__xludf.dummyfunction("""COMPUTED_VALUE"""),"#N/A")</f>
        <v>#N/A</v>
      </c>
      <c r="AA391" s="57"/>
      <c r="AB391" s="41" t="n">
        <f aca="false">IFERROR(__xludf.dummyfunction("""COMPUTED_VALUE"""),8)</f>
        <v>8</v>
      </c>
      <c r="AC391" s="57" t="str">
        <f aca="false">IFERROR(__xludf.dummyfunction("""COMPUTED_VALUE"""),"gv.longch@hocmai.edu.vn")</f>
        <v>gv.longch@hocmai.edu.vn</v>
      </c>
      <c r="AD391" s="46" t="str">
        <f aca="false">IFERROR(__xludf.dummyfunction("""COMPUTED_VALUE"""),"giangvh@ctv.hocmai.vn")</f>
        <v>giangvh@ctv.hocmai.vn</v>
      </c>
      <c r="AE391" s="46"/>
      <c r="AF391" s="74" t="b">
        <f aca="false">IFERROR(__xludf.dummyfunction("""COMPUTED_VALUE"""),FALSE())</f>
        <v>0</v>
      </c>
      <c r="AG391" s="46" t="str">
        <f aca="false">IFERROR(__xludf.dummyfunction("""COMPUTED_VALUE"""),"")</f>
        <v/>
      </c>
      <c r="AH391" s="35"/>
      <c r="AI391" s="35"/>
      <c r="AJ391" s="53" t="b">
        <f aca="false">IFERROR(__xludf.dummyfunction("""COMPUTED_VALUE"""),TRUE())</f>
        <v>1</v>
      </c>
      <c r="AK391" s="53" t="b">
        <f aca="false">IFERROR(__xludf.dummyfunction("""COMPUTED_VALUE"""),TRUE())</f>
        <v>1</v>
      </c>
      <c r="AL391" s="53" t="b">
        <f aca="false">IFERROR(__xludf.dummyfunction("""COMPUTED_VALUE"""),TRUE())</f>
        <v>1</v>
      </c>
      <c r="AM391" s="35"/>
      <c r="AN391" s="35"/>
      <c r="AO391" s="46"/>
    </row>
    <row r="392" customFormat="false" ht="15.75" hidden="false" customHeight="true" outlineLevel="0" collapsed="false">
      <c r="A392" s="37" t="str">
        <f aca="false">IFERROR(__xludf.dummyfunction("""COMPUTED_VALUE"""),"Thực chiến Toán")</f>
        <v>Thực chiến Toán</v>
      </c>
      <c r="B392" s="37" t="str">
        <f aca="false">IFERROR(__xludf.dummyfunction("""COMPUTED_VALUE"""),"TC_TSA_T_24")</f>
        <v>TC_TSA_T_24</v>
      </c>
      <c r="C392" s="59" t="str">
        <f aca="false">IFERROR(__xludf.dummyfunction("""COMPUTED_VALUE"""),"[Bổ trợ]_Chữa bài tập TSA_Tư duy Toán học số 24")</f>
        <v>[Bổ trợ]_Chữa bài tập TSA_Tư duy Toán học số 24</v>
      </c>
      <c r="D392" s="39" t="str">
        <f aca="false">IFERROR(__xludf.dummyfunction("""COMPUTED_VALUE"""),"Phạm Huy Hoàng")</f>
        <v>Phạm Huy Hoàng</v>
      </c>
      <c r="E392" s="40" t="n">
        <f aca="false">IFERROR(__xludf.dummyfunction("""COMPUTED_VALUE"""),46265)</f>
        <v>46265</v>
      </c>
      <c r="F392" s="41" t="n">
        <f aca="false">IFERROR(__xludf.dummyfunction("""COMPUTED_VALUE"""),2)</f>
        <v>2</v>
      </c>
      <c r="G392" s="37" t="str">
        <f aca="false">IFERROR(__xludf.dummyfunction("""COMPUTED_VALUE"""),"19:00-20:00")</f>
        <v>19:00-20:00</v>
      </c>
      <c r="H392" s="37"/>
      <c r="I392" s="37"/>
      <c r="J392" s="37"/>
      <c r="K392" s="68" t="str">
        <f aca="false">IFERROR(__xludf.dummyfunction("""COMPUTED_VALUE"""),"Locdd")</f>
        <v>Locdd</v>
      </c>
      <c r="L392" s="68" t="str">
        <f aca="false">IFERROR(__xludf.dummyfunction("""COMPUTED_VALUE"""),"HOCMAI")</f>
        <v>HOCMAI</v>
      </c>
      <c r="M392" s="71"/>
      <c r="N392" s="77" t="str">
        <f aca="false">IFERROR(__xludf.dummyfunction("""COMPUTED_VALUE"""),"3108")</f>
        <v>3108</v>
      </c>
      <c r="O392" s="63" t="n">
        <f aca="false">IFERROR(__xludf.dummyfunction("""COMPUTED_VALUE"""),176056)</f>
        <v>176056</v>
      </c>
      <c r="P392" s="60" t="str">
        <f aca="false">IFERROR(__xludf.dummyfunction("""COMPUTED_VALUE"""),"https://hocmai.vn/bai-giang-truc-tuyen/176056/.html")</f>
        <v>https://hocmai.vn/bai-giang-truc-tuyen/176056/.html</v>
      </c>
      <c r="Q392" s="63"/>
      <c r="R392" s="41"/>
      <c r="S392" s="41"/>
      <c r="T392" s="63"/>
      <c r="U392" s="63"/>
      <c r="V392" s="70" t="n">
        <f aca="false">IFERROR(__xludf.dummyfunction("""COMPUTED_VALUE"""),46268)</f>
        <v>46268</v>
      </c>
      <c r="W392" s="39"/>
      <c r="X392" s="41" t="str">
        <f aca="false">IFERROR(__xludf.dummyfunction("""COMPUTED_VALUE"""),"Vuta")</f>
        <v>Vuta</v>
      </c>
      <c r="Y392" s="44"/>
      <c r="Z392" s="57"/>
      <c r="AA392" s="57"/>
      <c r="AB392" s="41" t="n">
        <f aca="false">IFERROR(__xludf.dummyfunction("""COMPUTED_VALUE"""),8)</f>
        <v>8</v>
      </c>
      <c r="AC392" s="57" t="str">
        <f aca="false">IFERROR(__xludf.dummyfunction("""COMPUTED_VALUE"""),"0376611308")</f>
        <v>0376611308</v>
      </c>
      <c r="AD392" s="46"/>
      <c r="AE392" s="46"/>
      <c r="AF392" s="47"/>
      <c r="AG392" s="46"/>
      <c r="AH392" s="53" t="b">
        <f aca="false">IFERROR(__xludf.dummyfunction("""COMPUTED_VALUE"""),FALSE())</f>
        <v>0</v>
      </c>
      <c r="AI392" s="53" t="b">
        <f aca="false">IFERROR(__xludf.dummyfunction("""COMPUTED_VALUE"""),TRUE())</f>
        <v>1</v>
      </c>
      <c r="AJ392" s="53" t="b">
        <f aca="false">IFERROR(__xludf.dummyfunction("""COMPUTED_VALUE"""),FALSE())</f>
        <v>0</v>
      </c>
      <c r="AK392" s="53" t="b">
        <f aca="false">IFERROR(__xludf.dummyfunction("""COMPUTED_VALUE"""),FALSE())</f>
        <v>0</v>
      </c>
      <c r="AL392" s="53" t="b">
        <f aca="false">IFERROR(__xludf.dummyfunction("""COMPUTED_VALUE"""),FALSE())</f>
        <v>0</v>
      </c>
      <c r="AM392" s="53" t="b">
        <f aca="false">IFERROR(__xludf.dummyfunction("""COMPUTED_VALUE"""),FALSE())</f>
        <v>0</v>
      </c>
      <c r="AN392" s="53" t="b">
        <f aca="false">IFERROR(__xludf.dummyfunction("""COMPUTED_VALUE"""),FALSE())</f>
        <v>0</v>
      </c>
      <c r="AO392" s="46"/>
    </row>
    <row r="393" customFormat="false" ht="15.75" hidden="false" customHeight="true" outlineLevel="0" collapsed="false">
      <c r="A393" s="37" t="str">
        <f aca="false">IFERROR(__xludf.dummyfunction("""COMPUTED_VALUE"""),"Thực chiến Tiếng Anh")</f>
        <v>Thực chiến Tiếng Anh</v>
      </c>
      <c r="B393" s="37" t="str">
        <f aca="false">IFERROR(__xludf.dummyfunction("""COMPUTED_VALUE"""),"TC_HSA_TA_08")</f>
        <v>TC_HSA_TA_08</v>
      </c>
      <c r="C393" s="59" t="str">
        <f aca="false">IFERROR(__xludf.dummyfunction("""COMPUTED_VALUE"""),"[Bổ trợ]_Chữa bài tập _Tiếng Anh số 08")</f>
        <v>[Bổ trợ]_Chữa bài tập _Tiếng Anh số 08</v>
      </c>
      <c r="D393" s="39" t="str">
        <f aca="false">IFERROR(__xludf.dummyfunction("""COMPUTED_VALUE"""),"Trần Đức Lương")</f>
        <v>Trần Đức Lương</v>
      </c>
      <c r="E393" s="40" t="n">
        <f aca="false">IFERROR(__xludf.dummyfunction("""COMPUTED_VALUE"""),46265)</f>
        <v>46265</v>
      </c>
      <c r="F393" s="41" t="n">
        <f aca="false">IFERROR(__xludf.dummyfunction("""COMPUTED_VALUE"""),2)</f>
        <v>2</v>
      </c>
      <c r="G393" s="37" t="str">
        <f aca="false">IFERROR(__xludf.dummyfunction("""COMPUTED_VALUE"""),"18:00-19:00")</f>
        <v>18:00-19:00</v>
      </c>
      <c r="H393" s="37"/>
      <c r="I393" s="37"/>
      <c r="J393" s="37"/>
      <c r="K393" s="68" t="str">
        <f aca="false">IFERROR(__xludf.dummyfunction("""COMPUTED_VALUE"""),"Huyenn2")</f>
        <v>Huyenn2</v>
      </c>
      <c r="L393" s="68" t="str">
        <f aca="false">IFERROR(__xludf.dummyfunction("""COMPUTED_VALUE"""),"HOCMAI")</f>
        <v>HOCMAI</v>
      </c>
      <c r="M393" s="71"/>
      <c r="N393" s="77" t="str">
        <f aca="false">IFERROR(__xludf.dummyfunction("""COMPUTED_VALUE"""),"3140")</f>
        <v>3140</v>
      </c>
      <c r="O393" s="63" t="n">
        <f aca="false">IFERROR(__xludf.dummyfunction("""COMPUTED_VALUE"""),176146)</f>
        <v>176146</v>
      </c>
      <c r="P393" s="60" t="str">
        <f aca="false">IFERROR(__xludf.dummyfunction("""COMPUTED_VALUE"""),"https://hocmai.vn/bai-giang-truc-tuyen/176146/.html")</f>
        <v>https://hocmai.vn/bai-giang-truc-tuyen/176146/.html</v>
      </c>
      <c r="Q393" s="63"/>
      <c r="R393" s="41"/>
      <c r="S393" s="41"/>
      <c r="T393" s="63"/>
      <c r="U393" s="63"/>
      <c r="V393" s="70" t="n">
        <f aca="false">IFERROR(__xludf.dummyfunction("""COMPUTED_VALUE"""),46268)</f>
        <v>46268</v>
      </c>
      <c r="W393" s="39"/>
      <c r="X393" s="41" t="str">
        <f aca="false">IFERROR(__xludf.dummyfunction("""COMPUTED_VALUE"""),"Vuta")</f>
        <v>Vuta</v>
      </c>
      <c r="Y393" s="44"/>
      <c r="Z393" s="57"/>
      <c r="AA393" s="57"/>
      <c r="AB393" s="41" t="n">
        <f aca="false">IFERROR(__xludf.dummyfunction("""COMPUTED_VALUE"""),8)</f>
        <v>8</v>
      </c>
      <c r="AC393" s="57" t="str">
        <f aca="false">IFERROR(__xludf.dummyfunction("""COMPUTED_VALUE"""),"ss.hsa01@ctv.hocmai.vn")</f>
        <v>ss.hsa01@ctv.hocmai.vn</v>
      </c>
      <c r="AD393" s="46"/>
      <c r="AE393" s="46"/>
      <c r="AF393" s="47"/>
      <c r="AG393" s="46"/>
      <c r="AH393" s="53" t="b">
        <f aca="false">IFERROR(__xludf.dummyfunction("""COMPUTED_VALUE"""),FALSE())</f>
        <v>0</v>
      </c>
      <c r="AI393" s="53" t="b">
        <f aca="false">IFERROR(__xludf.dummyfunction("""COMPUTED_VALUE"""),FALSE())</f>
        <v>0</v>
      </c>
      <c r="AJ393" s="53" t="b">
        <f aca="false">IFERROR(__xludf.dummyfunction("""COMPUTED_VALUE"""),TRUE())</f>
        <v>1</v>
      </c>
      <c r="AK393" s="53" t="b">
        <f aca="false">IFERROR(__xludf.dummyfunction("""COMPUTED_VALUE"""),TRUE())</f>
        <v>1</v>
      </c>
      <c r="AL393" s="53" t="b">
        <f aca="false">IFERROR(__xludf.dummyfunction("""COMPUTED_VALUE"""),FALSE())</f>
        <v>0</v>
      </c>
      <c r="AM393" s="53" t="b">
        <f aca="false">IFERROR(__xludf.dummyfunction("""COMPUTED_VALUE"""),FALSE())</f>
        <v>0</v>
      </c>
      <c r="AN393" s="53" t="b">
        <f aca="false">IFERROR(__xludf.dummyfunction("""COMPUTED_VALUE"""),FALSE())</f>
        <v>0</v>
      </c>
      <c r="AO393" s="46"/>
    </row>
    <row r="394" customFormat="false" ht="15.75" hidden="false" customHeight="true" outlineLevel="0" collapsed="false">
      <c r="A394" s="37" t="str">
        <f aca="false">IFERROR(__xludf.dummyfunction("""COMPUTED_VALUE"""),"Thực chiến Vật lí")</f>
        <v>Thực chiến Vật lí</v>
      </c>
      <c r="B394" s="37" t="str">
        <f aca="false">IFERROR(__xludf.dummyfunction("""COMPUTED_VALUE"""),"TC_HSA_KH_08")</f>
        <v>TC_HSA_KH_08</v>
      </c>
      <c r="C394" s="59" t="str">
        <f aca="false">IFERROR(__xludf.dummyfunction("""COMPUTED_VALUE"""),"[Bổ trợ]_Chữa bài tập _Vật lí số 08")</f>
        <v>[Bổ trợ]_Chữa bài tập _Vật lí số 08</v>
      </c>
      <c r="D394" s="39" t="str">
        <f aca="false">IFERROR(__xludf.dummyfunction("""COMPUTED_VALUE"""),"Phạm Nguyễn Thủy Hoa")</f>
        <v>Phạm Nguyễn Thủy Hoa</v>
      </c>
      <c r="E394" s="40" t="n">
        <f aca="false">IFERROR(__xludf.dummyfunction("""COMPUTED_VALUE"""),46265)</f>
        <v>46265</v>
      </c>
      <c r="F394" s="41" t="n">
        <f aca="false">IFERROR(__xludf.dummyfunction("""COMPUTED_VALUE"""),2)</f>
        <v>2</v>
      </c>
      <c r="G394" s="37" t="str">
        <f aca="false">IFERROR(__xludf.dummyfunction("""COMPUTED_VALUE"""),"22:00-23:00")</f>
        <v>22:00-23:00</v>
      </c>
      <c r="H394" s="37"/>
      <c r="I394" s="37"/>
      <c r="J394" s="42" t="str">
        <f aca="false">IFERROR(__xludf.dummyfunction("""COMPUTED_VALUE"""),"https://drive.google.com/drive/folders/13YTgTB1CYHRYgrGZ-oIkj0JwDPMwMqjF?usp=drive_link")</f>
        <v>https://drive.google.com/drive/folders/13YTgTB1CYHRYgrGZ-oIkj0JwDPMwMqjF?usp=drive_link</v>
      </c>
      <c r="K394" s="68" t="str">
        <f aca="false">IFERROR(__xludf.dummyfunction("""COMPUTED_VALUE"""),"Trangnth2")</f>
        <v>Trangnth2</v>
      </c>
      <c r="L394" s="68" t="str">
        <f aca="false">IFERROR(__xludf.dummyfunction("""COMPUTED_VALUE"""),"HOCMAI")</f>
        <v>HOCMAI</v>
      </c>
      <c r="M394" s="71"/>
      <c r="N394" s="77" t="str">
        <f aca="false">IFERROR(__xludf.dummyfunction("""COMPUTED_VALUE"""),"3119")</f>
        <v>3119</v>
      </c>
      <c r="O394" s="63" t="n">
        <f aca="false">IFERROR(__xludf.dummyfunction("""COMPUTED_VALUE"""),176151)</f>
        <v>176151</v>
      </c>
      <c r="P394" s="60" t="str">
        <f aca="false">IFERROR(__xludf.dummyfunction("""COMPUTED_VALUE"""),"https://hocmai.vn/bai-giang-truc-tuyen/176151/.html")</f>
        <v>https://hocmai.vn/bai-giang-truc-tuyen/176151/.html</v>
      </c>
      <c r="Q394" s="63"/>
      <c r="R394" s="41"/>
      <c r="S394" s="41"/>
      <c r="T394" s="63"/>
      <c r="U394" s="63"/>
      <c r="V394" s="70" t="n">
        <f aca="false">IFERROR(__xludf.dummyfunction("""COMPUTED_VALUE"""),46268)</f>
        <v>46268</v>
      </c>
      <c r="W394" s="39"/>
      <c r="X394" s="41" t="str">
        <f aca="false">IFERROR(__xludf.dummyfunction("""COMPUTED_VALUE"""),"Vuta")</f>
        <v>Vuta</v>
      </c>
      <c r="Y394" s="44"/>
      <c r="Z394" s="57"/>
      <c r="AA394" s="57"/>
      <c r="AB394" s="41" t="n">
        <f aca="false">IFERROR(__xludf.dummyfunction("""COMPUTED_VALUE"""),8)</f>
        <v>8</v>
      </c>
      <c r="AC394" s="57" t="str">
        <f aca="false">IFERROR(__xludf.dummyfunction("""COMPUTED_VALUE"""),"phamthuyhoa2008@gmail.com")</f>
        <v>phamthuyhoa2008@gmail.com</v>
      </c>
      <c r="AD394" s="46"/>
      <c r="AE394" s="46"/>
      <c r="AF394" s="47"/>
      <c r="AG394" s="46"/>
      <c r="AH394" s="53" t="b">
        <f aca="false">IFERROR(__xludf.dummyfunction("""COMPUTED_VALUE"""),FALSE())</f>
        <v>0</v>
      </c>
      <c r="AI394" s="53" t="b">
        <f aca="false">IFERROR(__xludf.dummyfunction("""COMPUTED_VALUE"""),FALSE())</f>
        <v>0</v>
      </c>
      <c r="AJ394" s="53" t="b">
        <f aca="false">IFERROR(__xludf.dummyfunction("""COMPUTED_VALUE"""),TRUE())</f>
        <v>1</v>
      </c>
      <c r="AK394" s="53" t="b">
        <f aca="false">IFERROR(__xludf.dummyfunction("""COMPUTED_VALUE"""),TRUE())</f>
        <v>1</v>
      </c>
      <c r="AL394" s="53" t="b">
        <f aca="false">IFERROR(__xludf.dummyfunction("""COMPUTED_VALUE"""),FALSE())</f>
        <v>0</v>
      </c>
      <c r="AM394" s="53" t="b">
        <f aca="false">IFERROR(__xludf.dummyfunction("""COMPUTED_VALUE"""),FALSE())</f>
        <v>0</v>
      </c>
      <c r="AN394" s="53" t="b">
        <f aca="false">IFERROR(__xludf.dummyfunction("""COMPUTED_VALUE"""),FALSE())</f>
        <v>0</v>
      </c>
      <c r="AO394" s="46"/>
    </row>
    <row r="395" customFormat="false" ht="15.75" hidden="false" customHeight="true" outlineLevel="0" collapsed="false">
      <c r="A395" s="37" t="str">
        <f aca="false">IFERROR(__xludf.dummyfunction("""COMPUTED_VALUE"""),"Thực chiến Toán")</f>
        <v>Thực chiến Toán</v>
      </c>
      <c r="B395" s="37" t="str">
        <f aca="false">IFERROR(__xludf.dummyfunction("""COMPUTED_VALUE"""),"TC_V-ACT_T_21")</f>
        <v>TC_V-ACT_T_21</v>
      </c>
      <c r="C395" s="59" t="str">
        <f aca="false">IFERROR(__xludf.dummyfunction("""COMPUTED_VALUE"""),"[Bổ trợ]_Chữa bài tập_V-ACT_Toán số 21")</f>
        <v>[Bổ trợ]_Chữa bài tập_V-ACT_Toán số 21</v>
      </c>
      <c r="D395" s="39" t="str">
        <f aca="false">IFERROR(__xludf.dummyfunction("""COMPUTED_VALUE"""),"Lê Thế Anh")</f>
        <v>Lê Thế Anh</v>
      </c>
      <c r="E395" s="40" t="n">
        <f aca="false">IFERROR(__xludf.dummyfunction("""COMPUTED_VALUE"""),46265)</f>
        <v>46265</v>
      </c>
      <c r="F395" s="41" t="n">
        <f aca="false">IFERROR(__xludf.dummyfunction("""COMPUTED_VALUE"""),2)</f>
        <v>2</v>
      </c>
      <c r="G395" s="37" t="str">
        <f aca="false">IFERROR(__xludf.dummyfunction("""COMPUTED_VALUE"""),"18:45-19:45")</f>
        <v>18:45-19:45</v>
      </c>
      <c r="H395" s="37"/>
      <c r="I395" s="37"/>
      <c r="J395" s="37"/>
      <c r="K395" s="68" t="str">
        <f aca="false">IFERROR(__xludf.dummyfunction("""COMPUTED_VALUE"""),"lent")</f>
        <v>lent</v>
      </c>
      <c r="L395" s="68" t="str">
        <f aca="false">IFERROR(__xludf.dummyfunction("""COMPUTED_VALUE"""),"HOCMAI")</f>
        <v>HOCMAI</v>
      </c>
      <c r="M395" s="71"/>
      <c r="N395" s="77" t="str">
        <f aca="false">IFERROR(__xludf.dummyfunction("""COMPUTED_VALUE"""),"3124")</f>
        <v>3124</v>
      </c>
      <c r="O395" s="63" t="n">
        <f aca="false">IFERROR(__xludf.dummyfunction("""COMPUTED_VALUE"""),176098)</f>
        <v>176098</v>
      </c>
      <c r="P395" s="60" t="str">
        <f aca="false">IFERROR(__xludf.dummyfunction("""COMPUTED_VALUE"""),"https://hocmai.vn/bai-giang-truc-tuyen/176098/.html")</f>
        <v>https://hocmai.vn/bai-giang-truc-tuyen/176098/.html</v>
      </c>
      <c r="Q395" s="63"/>
      <c r="R395" s="41"/>
      <c r="S395" s="41"/>
      <c r="T395" s="63"/>
      <c r="U395" s="63"/>
      <c r="V395" s="70" t="n">
        <f aca="false">IFERROR(__xludf.dummyfunction("""COMPUTED_VALUE"""),46268)</f>
        <v>46268</v>
      </c>
      <c r="W395" s="39"/>
      <c r="X395" s="41" t="str">
        <f aca="false">IFERROR(__xludf.dummyfunction("""COMPUTED_VALUE"""),"Vuta")</f>
        <v>Vuta</v>
      </c>
      <c r="Y395" s="44"/>
      <c r="Z395" s="57"/>
      <c r="AA395" s="57"/>
      <c r="AB395" s="41" t="n">
        <f aca="false">IFERROR(__xludf.dummyfunction("""COMPUTED_VALUE"""),8)</f>
        <v>8</v>
      </c>
      <c r="AC395" s="57" t="str">
        <f aca="false">IFERROR(__xludf.dummyfunction("""COMPUTED_VALUE"""),"ss.vact01@ctv.hocmai.vn")</f>
        <v>ss.vact01@ctv.hocmai.vn</v>
      </c>
      <c r="AD395" s="46"/>
      <c r="AE395" s="46"/>
      <c r="AF395" s="47"/>
      <c r="AG395" s="46"/>
      <c r="AH395" s="53" t="b">
        <f aca="false">IFERROR(__xludf.dummyfunction("""COMPUTED_VALUE"""),FALSE())</f>
        <v>0</v>
      </c>
      <c r="AI395" s="53" t="b">
        <f aca="false">IFERROR(__xludf.dummyfunction("""COMPUTED_VALUE"""),FALSE())</f>
        <v>0</v>
      </c>
      <c r="AJ395" s="53" t="b">
        <f aca="false">IFERROR(__xludf.dummyfunction("""COMPUTED_VALUE"""),FALSE())</f>
        <v>0</v>
      </c>
      <c r="AK395" s="53" t="b">
        <f aca="false">IFERROR(__xludf.dummyfunction("""COMPUTED_VALUE"""),FALSE())</f>
        <v>0</v>
      </c>
      <c r="AL395" s="53" t="b">
        <f aca="false">IFERROR(__xludf.dummyfunction("""COMPUTED_VALUE"""),FALSE())</f>
        <v>0</v>
      </c>
      <c r="AM395" s="53" t="b">
        <f aca="false">IFERROR(__xludf.dummyfunction("""COMPUTED_VALUE"""),TRUE())</f>
        <v>1</v>
      </c>
      <c r="AN395" s="53" t="b">
        <f aca="false">IFERROR(__xludf.dummyfunction("""COMPUTED_VALUE"""),TRUE())</f>
        <v>1</v>
      </c>
      <c r="AO395" s="46"/>
    </row>
    <row r="396" customFormat="false" ht="15.75" hidden="false" customHeight="true" outlineLevel="0" collapsed="false">
      <c r="A396" s="37" t="str">
        <f aca="false">IFERROR(__xludf.dummyfunction("""COMPUTED_VALUE"""),"Toán")</f>
        <v>Toán</v>
      </c>
      <c r="B396" s="37" t="str">
        <f aca="false">IFERROR(__xludf.dummyfunction("""COMPUTED_VALUE"""),"Nghỉ")</f>
        <v>Nghỉ</v>
      </c>
      <c r="C396" s="59" t="str">
        <f aca="false">IFERROR(__xludf.dummyfunction("""COMPUTED_VALUE"""),"Nghỉ")</f>
        <v>Nghỉ</v>
      </c>
      <c r="D396" s="39"/>
      <c r="E396" s="40" t="n">
        <f aca="false">IFERROR(__xludf.dummyfunction("""COMPUTED_VALUE"""),46266)</f>
        <v>46266</v>
      </c>
      <c r="F396" s="41" t="n">
        <f aca="false">IFERROR(__xludf.dummyfunction("""COMPUTED_VALUE"""),3)</f>
        <v>3</v>
      </c>
      <c r="G396" s="37"/>
      <c r="H396" s="37"/>
      <c r="I396" s="37"/>
      <c r="J396" s="62"/>
      <c r="K396" s="68"/>
      <c r="L396" s="68"/>
      <c r="M396" s="71"/>
      <c r="N396" s="77"/>
      <c r="O396" s="63"/>
      <c r="P396" s="63"/>
      <c r="Q396" s="63"/>
      <c r="R396" s="41"/>
      <c r="S396" s="41"/>
      <c r="T396" s="63"/>
      <c r="U396" s="63"/>
      <c r="V396" s="70"/>
      <c r="W396" s="39"/>
      <c r="X396" s="41"/>
      <c r="Y396" s="44"/>
      <c r="Z396" s="57" t="str">
        <f aca="false">IFERROR(__xludf.dummyfunction("""COMPUTED_VALUE"""),"#N/A")</f>
        <v>#N/A</v>
      </c>
      <c r="AA396" s="57"/>
      <c r="AB396" s="41" t="n">
        <f aca="false">IFERROR(__xludf.dummyfunction("""COMPUTED_VALUE"""),9)</f>
        <v>9</v>
      </c>
      <c r="AC396" s="57" t="str">
        <f aca="false">IFERROR(__xludf.dummyfunction("""COMPUTED_VALUE"""),"#N/A")</f>
        <v>#N/A</v>
      </c>
      <c r="AD396" s="46" t="str">
        <f aca="false">IFERROR(__xludf.dummyfunction("""COMPUTED_VALUE"""),"#N/A")</f>
        <v>#N/A</v>
      </c>
      <c r="AE396" s="46"/>
      <c r="AF396" s="47" t="str">
        <f aca="false">IFERROR(__xludf.dummyfunction("""COMPUTED_VALUE"""),"lophoctoan-946266")</f>
        <v>lophoctoan-946266</v>
      </c>
      <c r="AG396" s="46" t="str">
        <f aca="false">IFERROR(__xludf.dummyfunction("""COMPUTED_VALUE"""),"")</f>
        <v/>
      </c>
      <c r="AH396" s="35"/>
      <c r="AI396" s="35"/>
      <c r="AJ396" s="35"/>
      <c r="AK396" s="35"/>
      <c r="AL396" s="35"/>
      <c r="AM396" s="35"/>
      <c r="AN396" s="35"/>
      <c r="AO396" s="46"/>
    </row>
    <row r="397" customFormat="false" ht="15.75" hidden="false" customHeight="true" outlineLevel="0" collapsed="false">
      <c r="A397" s="37" t="str">
        <f aca="false">IFERROR(__xludf.dummyfunction("""COMPUTED_VALUE"""),"Tiếng Việt")</f>
        <v>Tiếng Việt</v>
      </c>
      <c r="B397" s="37"/>
      <c r="C397" s="59" t="str">
        <f aca="false">IFERROR(__xludf.dummyfunction("""COMPUTED_VALUE"""),"Nghỉ")</f>
        <v>Nghỉ</v>
      </c>
      <c r="D397" s="39"/>
      <c r="E397" s="40" t="n">
        <f aca="false">IFERROR(__xludf.dummyfunction("""COMPUTED_VALUE"""),46266)</f>
        <v>46266</v>
      </c>
      <c r="F397" s="41" t="n">
        <f aca="false">IFERROR(__xludf.dummyfunction("""COMPUTED_VALUE"""),3)</f>
        <v>3</v>
      </c>
      <c r="G397" s="37" t="str">
        <f aca="false">IFERROR(__xludf.dummyfunction("""COMPUTED_VALUE"""),"20:00-21:30")</f>
        <v>20:00-21:30</v>
      </c>
      <c r="H397" s="37"/>
      <c r="I397" s="37"/>
      <c r="J397" s="37"/>
      <c r="K397" s="68" t="str">
        <f aca="false">IFERROR(__xludf.dummyfunction("""COMPUTED_VALUE"""),"Hangvt3")</f>
        <v>Hangvt3</v>
      </c>
      <c r="L397" s="68" t="str">
        <f aca="false">IFERROR(__xludf.dummyfunction("""COMPUTED_VALUE"""),"Bùi Vĩnh Thọ")</f>
        <v>Bùi Vĩnh Thọ</v>
      </c>
      <c r="M397" s="71"/>
      <c r="N397" s="77"/>
      <c r="O397" s="73"/>
      <c r="P397" s="63"/>
      <c r="Q397" s="63"/>
      <c r="R397" s="41"/>
      <c r="S397" s="41"/>
      <c r="T397" s="63"/>
      <c r="U397" s="63"/>
      <c r="V397" s="70" t="n">
        <f aca="false">IFERROR(__xludf.dummyfunction("""COMPUTED_VALUE"""),46269)</f>
        <v>46269</v>
      </c>
      <c r="W397" s="39"/>
      <c r="X397" s="41" t="str">
        <f aca="false">IFERROR(__xludf.dummyfunction("""COMPUTED_VALUE"""),"Hoantt")</f>
        <v>Hoantt</v>
      </c>
      <c r="Y397" s="44" t="str">
        <f aca="false">IFERROR(__xludf.dummyfunction("""COMPUTED_VALUE"""),"done")</f>
        <v>done</v>
      </c>
      <c r="Z397" s="57" t="str">
        <f aca="false">IFERROR(__xludf.dummyfunction("""COMPUTED_VALUE"""),"#N/A")</f>
        <v>#N/A</v>
      </c>
      <c r="AA397" s="57"/>
      <c r="AB397" s="41" t="n">
        <f aca="false">IFERROR(__xludf.dummyfunction("""COMPUTED_VALUE"""),9)</f>
        <v>9</v>
      </c>
      <c r="AC397" s="57" t="str">
        <f aca="false">IFERROR(__xludf.dummyfunction("""COMPUTED_VALUE"""),"#N/A")</f>
        <v>#N/A</v>
      </c>
      <c r="AD397" s="46" t="str">
        <f aca="false">IFERROR(__xludf.dummyfunction("""COMPUTED_VALUE"""),"vinhtho0704@gmail.com")</f>
        <v>vinhtho0704@gmail.com</v>
      </c>
      <c r="AE397" s="46"/>
      <c r="AF397" s="74" t="b">
        <f aca="false">IFERROR(__xludf.dummyfunction("""COMPUTED_VALUE"""),FALSE())</f>
        <v>0</v>
      </c>
      <c r="AG397" s="46" t="str">
        <f aca="false">IFERROR(__xludf.dummyfunction("""COMPUTED_VALUE"""),"")</f>
        <v/>
      </c>
      <c r="AH397" s="35"/>
      <c r="AI397" s="35"/>
      <c r="AJ397" s="35"/>
      <c r="AK397" s="35"/>
      <c r="AL397" s="35"/>
      <c r="AM397" s="53" t="b">
        <f aca="false">IFERROR(__xludf.dummyfunction("""COMPUTED_VALUE"""),TRUE())</f>
        <v>1</v>
      </c>
      <c r="AN397" s="53" t="b">
        <f aca="false">IFERROR(__xludf.dummyfunction("""COMPUTED_VALUE"""),TRUE())</f>
        <v>1</v>
      </c>
      <c r="AO397" s="46"/>
    </row>
    <row r="398" customFormat="false" ht="15.75" hidden="false" customHeight="true" outlineLevel="0" collapsed="false">
      <c r="A398" s="37" t="str">
        <f aca="false">IFERROR(__xludf.dummyfunction("""COMPUTED_VALUE"""),"Địa lí")</f>
        <v>Địa lí</v>
      </c>
      <c r="B398" s="37" t="str">
        <f aca="false">IFERROR(__xludf.dummyfunction("""COMPUTED_VALUE"""),"Nghỉ")</f>
        <v>Nghỉ</v>
      </c>
      <c r="C398" s="59" t="str">
        <f aca="false">IFERROR(__xludf.dummyfunction("""COMPUTED_VALUE"""),"Nghỉ")</f>
        <v>Nghỉ</v>
      </c>
      <c r="D398" s="39"/>
      <c r="E398" s="40" t="n">
        <f aca="false">IFERROR(__xludf.dummyfunction("""COMPUTED_VALUE"""),46266)</f>
        <v>46266</v>
      </c>
      <c r="F398" s="41" t="n">
        <f aca="false">IFERROR(__xludf.dummyfunction("""COMPUTED_VALUE"""),3)</f>
        <v>3</v>
      </c>
      <c r="G398" s="37" t="str">
        <f aca="false">IFERROR(__xludf.dummyfunction("""COMPUTED_VALUE"""),"18:30-20:30")</f>
        <v>18:30-20:30</v>
      </c>
      <c r="H398" s="37"/>
      <c r="I398" s="37"/>
      <c r="J398" s="37"/>
      <c r="K398" s="68"/>
      <c r="L398" s="68"/>
      <c r="M398" s="71"/>
      <c r="N398" s="77"/>
      <c r="O398" s="63"/>
      <c r="P398" s="63"/>
      <c r="Q398" s="63"/>
      <c r="R398" s="41"/>
      <c r="S398" s="41"/>
      <c r="T398" s="63"/>
      <c r="U398" s="63"/>
      <c r="V398" s="70"/>
      <c r="W398" s="39"/>
      <c r="X398" s="41"/>
      <c r="Y398" s="44"/>
      <c r="Z398" s="57" t="str">
        <f aca="false">IFERROR(__xludf.dummyfunction("""COMPUTED_VALUE"""),"#N/A")</f>
        <v>#N/A</v>
      </c>
      <c r="AA398" s="57"/>
      <c r="AB398" s="41"/>
      <c r="AC398" s="57" t="str">
        <f aca="false">IFERROR(__xludf.dummyfunction("""COMPUTED_VALUE"""),"#N/A")</f>
        <v>#N/A</v>
      </c>
      <c r="AD398" s="46" t="str">
        <f aca="false">IFERROR(__xludf.dummyfunction("""COMPUTED_VALUE"""),"#N/A")</f>
        <v>#N/A</v>
      </c>
      <c r="AE398" s="46"/>
      <c r="AF398" s="74" t="b">
        <f aca="false">IFERROR(__xludf.dummyfunction("""COMPUTED_VALUE"""),FALSE())</f>
        <v>0</v>
      </c>
      <c r="AG398" s="46" t="str">
        <f aca="false">IFERROR(__xludf.dummyfunction("""COMPUTED_VALUE"""),"")</f>
        <v/>
      </c>
      <c r="AH398" s="35"/>
      <c r="AI398" s="35"/>
      <c r="AJ398" s="35"/>
      <c r="AK398" s="35"/>
      <c r="AL398" s="35"/>
      <c r="AM398" s="35"/>
      <c r="AN398" s="35"/>
      <c r="AO398" s="46"/>
    </row>
    <row r="399" customFormat="false" ht="15.75" hidden="false" customHeight="true" outlineLevel="0" collapsed="false">
      <c r="A399" s="37" t="str">
        <f aca="false">IFERROR(__xludf.dummyfunction("""COMPUTED_VALUE"""),"Định tính")</f>
        <v>Định tính</v>
      </c>
      <c r="B399" s="37" t="str">
        <f aca="false">IFERROR(__xludf.dummyfunction("""COMPUTED_VALUE"""),"Nghỉ")</f>
        <v>Nghỉ</v>
      </c>
      <c r="C399" s="59" t="str">
        <f aca="false">IFERROR(__xludf.dummyfunction("""COMPUTED_VALUE"""),"Nghỉ")</f>
        <v>Nghỉ</v>
      </c>
      <c r="D399" s="39"/>
      <c r="E399" s="40" t="n">
        <f aca="false">IFERROR(__xludf.dummyfunction("""COMPUTED_VALUE"""),46267)</f>
        <v>46267</v>
      </c>
      <c r="F399" s="41" t="n">
        <f aca="false">IFERROR(__xludf.dummyfunction("""COMPUTED_VALUE"""),4)</f>
        <v>4</v>
      </c>
      <c r="G399" s="37" t="str">
        <f aca="false">IFERROR(__xludf.dummyfunction("""COMPUTED_VALUE"""),"21:00-23:00")</f>
        <v>21:00-23:00</v>
      </c>
      <c r="H399" s="37"/>
      <c r="I399" s="37"/>
      <c r="J399" s="37"/>
      <c r="K399" s="68"/>
      <c r="L399" s="68"/>
      <c r="M399" s="71"/>
      <c r="N399" s="63"/>
      <c r="O399" s="63"/>
      <c r="P399" s="63"/>
      <c r="Q399" s="63"/>
      <c r="R399" s="41"/>
      <c r="S399" s="41"/>
      <c r="T399" s="63"/>
      <c r="U399" s="63"/>
      <c r="V399" s="63"/>
      <c r="W399" s="39"/>
      <c r="X399" s="41"/>
      <c r="Y399" s="44"/>
      <c r="Z399" s="57" t="str">
        <f aca="false">IFERROR(__xludf.dummyfunction("""COMPUTED_VALUE"""),"#N/A")</f>
        <v>#N/A</v>
      </c>
      <c r="AA399" s="57"/>
      <c r="AB399" s="41" t="n">
        <f aca="false">IFERROR(__xludf.dummyfunction("""COMPUTED_VALUE"""),9)</f>
        <v>9</v>
      </c>
      <c r="AC399" s="57" t="str">
        <f aca="false">IFERROR(__xludf.dummyfunction("""COMPUTED_VALUE"""),"#N/A")</f>
        <v>#N/A</v>
      </c>
      <c r="AD399" s="46" t="str">
        <f aca="false">IFERROR(__xludf.dummyfunction("""COMPUTED_VALUE"""),"#N/A")</f>
        <v>#N/A</v>
      </c>
      <c r="AE399" s="46"/>
      <c r="AF399" s="74" t="b">
        <f aca="false">IFERROR(__xludf.dummyfunction("""COMPUTED_VALUE"""),FALSE())</f>
        <v>0</v>
      </c>
      <c r="AG399" s="46" t="str">
        <f aca="false">IFERROR(__xludf.dummyfunction("""COMPUTED_VALUE"""),"")</f>
        <v/>
      </c>
      <c r="AH399" s="35"/>
      <c r="AI399" s="35"/>
      <c r="AJ399" s="35"/>
      <c r="AK399" s="35"/>
      <c r="AL399" s="35"/>
      <c r="AM399" s="35"/>
      <c r="AN399" s="35"/>
      <c r="AO399" s="46"/>
    </row>
    <row r="400" customFormat="false" ht="15.75" hidden="false" customHeight="true" outlineLevel="0" collapsed="false">
      <c r="A400" s="37" t="str">
        <f aca="false">IFERROR(__xludf.dummyfunction("""COMPUTED_VALUE"""),"SLKH")</f>
        <v>SLKH</v>
      </c>
      <c r="B400" s="37" t="str">
        <f aca="false">IFERROR(__xludf.dummyfunction("""COMPUTED_VALUE"""),"Nghỉ")</f>
        <v>Nghỉ</v>
      </c>
      <c r="C400" s="59" t="str">
        <f aca="false">IFERROR(__xludf.dummyfunction("""COMPUTED_VALUE"""),"Nghỉ")</f>
        <v>Nghỉ</v>
      </c>
      <c r="D400" s="39"/>
      <c r="E400" s="40" t="n">
        <f aca="false">IFERROR(__xludf.dummyfunction("""COMPUTED_VALUE"""),46267)</f>
        <v>46267</v>
      </c>
      <c r="F400" s="41" t="n">
        <f aca="false">IFERROR(__xludf.dummyfunction("""COMPUTED_VALUE"""),4)</f>
        <v>4</v>
      </c>
      <c r="G400" s="37"/>
      <c r="H400" s="37"/>
      <c r="I400" s="37"/>
      <c r="J400" s="37"/>
      <c r="K400" s="68"/>
      <c r="L400" s="68"/>
      <c r="M400" s="71"/>
      <c r="N400" s="77"/>
      <c r="O400" s="63"/>
      <c r="P400" s="63"/>
      <c r="Q400" s="63"/>
      <c r="R400" s="41"/>
      <c r="S400" s="41"/>
      <c r="T400" s="63"/>
      <c r="U400" s="63"/>
      <c r="V400" s="70"/>
      <c r="W400" s="39"/>
      <c r="X400" s="41"/>
      <c r="Y400" s="44"/>
      <c r="Z400" s="57" t="str">
        <f aca="false">IFERROR(__xludf.dummyfunction("""COMPUTED_VALUE"""),"#N/A")</f>
        <v>#N/A</v>
      </c>
      <c r="AA400" s="57"/>
      <c r="AB400" s="41" t="n">
        <f aca="false">IFERROR(__xludf.dummyfunction("""COMPUTED_VALUE"""),9)</f>
        <v>9</v>
      </c>
      <c r="AC400" s="57" t="str">
        <f aca="false">IFERROR(__xludf.dummyfunction("""COMPUTED_VALUE"""),"#N/A")</f>
        <v>#N/A</v>
      </c>
      <c r="AD400" s="46" t="str">
        <f aca="false">IFERROR(__xludf.dummyfunction("""COMPUTED_VALUE"""),"#N/A")</f>
        <v>#N/A</v>
      </c>
      <c r="AE400" s="46"/>
      <c r="AF400" s="74" t="b">
        <f aca="false">IFERROR(__xludf.dummyfunction("""COMPUTED_VALUE"""),FALSE())</f>
        <v>0</v>
      </c>
      <c r="AG400" s="46" t="str">
        <f aca="false">IFERROR(__xludf.dummyfunction("""COMPUTED_VALUE"""),"")</f>
        <v/>
      </c>
      <c r="AH400" s="35"/>
      <c r="AI400" s="35"/>
      <c r="AJ400" s="35"/>
      <c r="AK400" s="35"/>
      <c r="AL400" s="35"/>
      <c r="AM400" s="35"/>
      <c r="AN400" s="35"/>
      <c r="AO400" s="46"/>
    </row>
    <row r="401" customFormat="false" ht="15.75" hidden="false" customHeight="true" outlineLevel="0" collapsed="false">
      <c r="A401" s="37" t="str">
        <f aca="false">IFERROR(__xludf.dummyfunction("""COMPUTED_VALUE"""),"Ngữ văn")</f>
        <v>Ngữ văn</v>
      </c>
      <c r="B401" s="37" t="str">
        <f aca="false">IFERROR(__xludf.dummyfunction("""COMPUTED_VALUE"""),"Nghỉ")</f>
        <v>Nghỉ</v>
      </c>
      <c r="C401" s="59" t="str">
        <f aca="false">IFERROR(__xludf.dummyfunction("""COMPUTED_VALUE"""),"Nghỉ")</f>
        <v>Nghỉ</v>
      </c>
      <c r="D401" s="39"/>
      <c r="E401" s="40" t="n">
        <f aca="false">IFERROR(__xludf.dummyfunction("""COMPUTED_VALUE"""),46267)</f>
        <v>46267</v>
      </c>
      <c r="F401" s="41" t="n">
        <f aca="false">IFERROR(__xludf.dummyfunction("""COMPUTED_VALUE"""),4)</f>
        <v>4</v>
      </c>
      <c r="G401" s="37"/>
      <c r="H401" s="37"/>
      <c r="I401" s="37"/>
      <c r="J401" s="37"/>
      <c r="K401" s="68"/>
      <c r="L401" s="68"/>
      <c r="M401" s="71"/>
      <c r="N401" s="77"/>
      <c r="O401" s="63"/>
      <c r="P401" s="63"/>
      <c r="Q401" s="63"/>
      <c r="R401" s="41"/>
      <c r="S401" s="41"/>
      <c r="T401" s="63"/>
      <c r="U401" s="63"/>
      <c r="V401" s="70"/>
      <c r="W401" s="39"/>
      <c r="X401" s="41"/>
      <c r="Y401" s="44"/>
      <c r="Z401" s="57" t="str">
        <f aca="false">IFERROR(__xludf.dummyfunction("""COMPUTED_VALUE"""),"#N/A")</f>
        <v>#N/A</v>
      </c>
      <c r="AA401" s="57"/>
      <c r="AB401" s="41" t="n">
        <f aca="false">IFERROR(__xludf.dummyfunction("""COMPUTED_VALUE"""),9)</f>
        <v>9</v>
      </c>
      <c r="AC401" s="57" t="str">
        <f aca="false">IFERROR(__xludf.dummyfunction("""COMPUTED_VALUE"""),"#N/A")</f>
        <v>#N/A</v>
      </c>
      <c r="AD401" s="46" t="str">
        <f aca="false">IFERROR(__xludf.dummyfunction("""COMPUTED_VALUE"""),"#N/A")</f>
        <v>#N/A</v>
      </c>
      <c r="AE401" s="46"/>
      <c r="AF401" s="74" t="b">
        <f aca="false">IFERROR(__xludf.dummyfunction("""COMPUTED_VALUE"""),FALSE())</f>
        <v>0</v>
      </c>
      <c r="AG401" s="46" t="str">
        <f aca="false">IFERROR(__xludf.dummyfunction("""COMPUTED_VALUE"""),"")</f>
        <v/>
      </c>
      <c r="AH401" s="35"/>
      <c r="AI401" s="35"/>
      <c r="AJ401" s="35"/>
      <c r="AK401" s="35"/>
      <c r="AL401" s="35"/>
      <c r="AM401" s="35"/>
      <c r="AN401" s="35"/>
      <c r="AO401" s="46"/>
    </row>
    <row r="402" customFormat="false" ht="15.75" hidden="false" customHeight="true" outlineLevel="0" collapsed="false">
      <c r="A402" s="37" t="str">
        <f aca="false">IFERROR(__xludf.dummyfunction("""COMPUTED_VALUE"""),"Vật lí")</f>
        <v>Vật lí</v>
      </c>
      <c r="B402" s="37" t="str">
        <f aca="false">IFERROR(__xludf.dummyfunction("""COMPUTED_VALUE"""),"Nghỉ")</f>
        <v>Nghỉ</v>
      </c>
      <c r="C402" s="59" t="str">
        <f aca="false">IFERROR(__xludf.dummyfunction("""COMPUTED_VALUE"""),"Nghỉ")</f>
        <v>Nghỉ</v>
      </c>
      <c r="D402" s="39"/>
      <c r="E402" s="40" t="n">
        <f aca="false">IFERROR(__xludf.dummyfunction("""COMPUTED_VALUE"""),46268)</f>
        <v>46268</v>
      </c>
      <c r="F402" s="41" t="n">
        <f aca="false">IFERROR(__xludf.dummyfunction("""COMPUTED_VALUE"""),5)</f>
        <v>5</v>
      </c>
      <c r="G402" s="37"/>
      <c r="H402" s="37"/>
      <c r="I402" s="37"/>
      <c r="J402" s="37"/>
      <c r="K402" s="68"/>
      <c r="L402" s="68"/>
      <c r="M402" s="71"/>
      <c r="N402" s="77"/>
      <c r="O402" s="63"/>
      <c r="P402" s="63"/>
      <c r="Q402" s="63"/>
      <c r="R402" s="41"/>
      <c r="S402" s="41"/>
      <c r="T402" s="63"/>
      <c r="U402" s="63"/>
      <c r="V402" s="70"/>
      <c r="W402" s="39"/>
      <c r="X402" s="41"/>
      <c r="Y402" s="44"/>
      <c r="Z402" s="57" t="str">
        <f aca="false">IFERROR(__xludf.dummyfunction("""COMPUTED_VALUE"""),"#N/A")</f>
        <v>#N/A</v>
      </c>
      <c r="AA402" s="57"/>
      <c r="AB402" s="41" t="n">
        <f aca="false">IFERROR(__xludf.dummyfunction("""COMPUTED_VALUE"""),9)</f>
        <v>9</v>
      </c>
      <c r="AC402" s="57" t="str">
        <f aca="false">IFERROR(__xludf.dummyfunction("""COMPUTED_VALUE"""),"#N/A")</f>
        <v>#N/A</v>
      </c>
      <c r="AD402" s="46" t="str">
        <f aca="false">IFERROR(__xludf.dummyfunction("""COMPUTED_VALUE"""),"#N/A")</f>
        <v>#N/A</v>
      </c>
      <c r="AE402" s="46"/>
      <c r="AF402" s="74" t="b">
        <f aca="false">IFERROR(__xludf.dummyfunction("""COMPUTED_VALUE"""),FALSE())</f>
        <v>0</v>
      </c>
      <c r="AG402" s="46" t="str">
        <f aca="false">IFERROR(__xludf.dummyfunction("""COMPUTED_VALUE"""),"")</f>
        <v/>
      </c>
      <c r="AH402" s="35"/>
      <c r="AI402" s="35"/>
      <c r="AJ402" s="35"/>
      <c r="AK402" s="35"/>
      <c r="AL402" s="35"/>
      <c r="AM402" s="35"/>
      <c r="AN402" s="35"/>
      <c r="AO402" s="46"/>
    </row>
    <row r="403" customFormat="false" ht="15.75" hidden="false" customHeight="true" outlineLevel="0" collapsed="false">
      <c r="A403" s="37" t="str">
        <f aca="false">IFERROR(__xludf.dummyfunction("""COMPUTED_VALUE"""),"Toán")</f>
        <v>Toán</v>
      </c>
      <c r="B403" s="37" t="str">
        <f aca="false">IFERROR(__xludf.dummyfunction("""COMPUTED_VALUE"""),"TOV_HSA_DL12")</f>
        <v>TOV_HSA_DL12</v>
      </c>
      <c r="C403" s="59" t="str">
        <f aca="false">IFERROR(__xludf.dummyfunction("""COMPUTED_VALUE"""),"Các bài toán liên quan Mũ – logarit (P1)")</f>
        <v>Các bài toán liên quan Mũ – logarit (P1)</v>
      </c>
      <c r="D403" s="39" t="str">
        <f aca="false">IFERROR(__xludf.dummyfunction("""COMPUTED_VALUE"""),"Nguyễn Thanh Tùng")</f>
        <v>Nguyễn Thanh Tùng</v>
      </c>
      <c r="E403" s="40" t="n">
        <f aca="false">IFERROR(__xludf.dummyfunction("""COMPUTED_VALUE"""),46268)</f>
        <v>46268</v>
      </c>
      <c r="F403" s="41" t="n">
        <f aca="false">IFERROR(__xludf.dummyfunction("""COMPUTED_VALUE"""),5)</f>
        <v>5</v>
      </c>
      <c r="G403" s="37" t="str">
        <f aca="false">IFERROR(__xludf.dummyfunction("""COMPUTED_VALUE"""),"18:00-20:00")</f>
        <v>18:00-20:00</v>
      </c>
      <c r="H403" s="37"/>
      <c r="I403" s="37"/>
      <c r="J403" s="37"/>
      <c r="K403" s="68" t="str">
        <f aca="false">IFERROR(__xludf.dummyfunction("""COMPUTED_VALUE"""),"Lent")</f>
        <v>Lent</v>
      </c>
      <c r="L403" s="68" t="str">
        <f aca="false">IFERROR(__xludf.dummyfunction("""COMPUTED_VALUE"""),"Tưởng Thị Huyền Trang")</f>
        <v>Tưởng Thị Huyền Trang</v>
      </c>
      <c r="M403" s="71"/>
      <c r="N403" s="77" t="str">
        <f aca="false">IFERROR(__xludf.dummyfunction("""COMPUTED_VALUE"""),"3117,3315")</f>
        <v>3117,3315</v>
      </c>
      <c r="O403" s="73" t="n">
        <f aca="false">IFERROR(__xludf.dummyfunction("""COMPUTED_VALUE"""),168592.168333)</f>
        <v>168592.168333</v>
      </c>
      <c r="P403" s="63" t="str">
        <f aca="false">IFERROR(__xludf.dummyfunction("""COMPUTED_VALUE"""),"9028,9036,9104,9106")</f>
        <v>9028,9036,9104,9106</v>
      </c>
      <c r="Q403" s="63" t="n">
        <f aca="false">IFERROR(__xludf.dummyfunction("""COMPUTED_VALUE"""),168333)</f>
        <v>168333</v>
      </c>
      <c r="R403" s="41"/>
      <c r="S403" s="41"/>
      <c r="T403" s="63"/>
      <c r="U403" s="63"/>
      <c r="V403" s="70" t="n">
        <f aca="false">IFERROR(__xludf.dummyfunction("""COMPUTED_VALUE"""),46271)</f>
        <v>46271</v>
      </c>
      <c r="W403" s="39"/>
      <c r="X403" s="41" t="str">
        <f aca="false">IFERROR(__xludf.dummyfunction("""COMPUTED_VALUE"""),"Lent")</f>
        <v>Lent</v>
      </c>
      <c r="Y403" s="44" t="str">
        <f aca="false">IFERROR(__xludf.dummyfunction("""COMPUTED_VALUE"""),"done")</f>
        <v>done</v>
      </c>
      <c r="Z403" s="57" t="str">
        <f aca="false">IFERROR(__xludf.dummyfunction("""COMPUTED_VALUE"""),"#N/A")</f>
        <v>#N/A</v>
      </c>
      <c r="AA403" s="57"/>
      <c r="AB403" s="41" t="n">
        <f aca="false">IFERROR(__xludf.dummyfunction("""COMPUTED_VALUE"""),9)</f>
        <v>9</v>
      </c>
      <c r="AC403" s="57" t="str">
        <f aca="false">IFERROR(__xludf.dummyfunction("""COMPUTED_VALUE"""),"gv.tungnt@hocmai.edu.vn ")</f>
        <v>gv.tungnt@hocmai.edu.vn </v>
      </c>
      <c r="AD403" s="46" t="str">
        <f aca="false">IFERROR(__xludf.dummyfunction("""COMPUTED_VALUE"""),"trangcrazy699@gmail.com")</f>
        <v>trangcrazy699@gmail.com</v>
      </c>
      <c r="AE403" s="46"/>
      <c r="AF403" s="47" t="str">
        <f aca="false">IFERROR(__xludf.dummyfunction("""COMPUTED_VALUE"""),"lophoctoan-946268")</f>
        <v>lophoctoan-946268</v>
      </c>
      <c r="AG403" s="46" t="str">
        <f aca="false">IFERROR(__xludf.dummyfunction("""COMPUTED_VALUE"""),"")</f>
        <v/>
      </c>
      <c r="AH403" s="35"/>
      <c r="AI403" s="35"/>
      <c r="AJ403" s="53" t="b">
        <f aca="false">IFERROR(__xludf.dummyfunction("""COMPUTED_VALUE"""),TRUE())</f>
        <v>1</v>
      </c>
      <c r="AK403" s="53" t="b">
        <f aca="false">IFERROR(__xludf.dummyfunction("""COMPUTED_VALUE"""),TRUE())</f>
        <v>1</v>
      </c>
      <c r="AL403" s="35"/>
      <c r="AM403" s="35"/>
      <c r="AN403" s="35"/>
      <c r="AO403" s="46"/>
    </row>
    <row r="404" customFormat="false" ht="15.75" hidden="false" customHeight="true" outlineLevel="0" collapsed="false">
      <c r="A404" s="37" t="str">
        <f aca="false">IFERROR(__xludf.dummyfunction("""COMPUTED_VALUE"""),"Vật lí")</f>
        <v>Vật lí</v>
      </c>
      <c r="B404" s="37" t="str">
        <f aca="false">IFERROR(__xludf.dummyfunction("""COMPUTED_VALUE"""),"TOV_HT_VL12")</f>
        <v>TOV_HT_VL12</v>
      </c>
      <c r="C404" s="59" t="str">
        <f aca="false">IFERROR(__xludf.dummyfunction("""COMPUTED_VALUE"""),"Biến đổi trạng thái và cân bằng nhiệt")</f>
        <v>Biến đổi trạng thái và cân bằng nhiệt</v>
      </c>
      <c r="D404" s="39" t="str">
        <f aca="false">IFERROR(__xludf.dummyfunction("""COMPUTED_VALUE"""),"Nguyễn Hữu Tình")</f>
        <v>Nguyễn Hữu Tình</v>
      </c>
      <c r="E404" s="40" t="n">
        <f aca="false">IFERROR(__xludf.dummyfunction("""COMPUTED_VALUE"""),46268)</f>
        <v>46268</v>
      </c>
      <c r="F404" s="41" t="n">
        <f aca="false">IFERROR(__xludf.dummyfunction("""COMPUTED_VALUE"""),5)</f>
        <v>5</v>
      </c>
      <c r="G404" s="37" t="str">
        <f aca="false">IFERROR(__xludf.dummyfunction("""COMPUTED_VALUE"""),"21:00-23:00")</f>
        <v>21:00-23:00</v>
      </c>
      <c r="H404" s="37"/>
      <c r="I404" s="37"/>
      <c r="J404" s="37"/>
      <c r="K404" s="68" t="str">
        <f aca="false">IFERROR(__xludf.dummyfunction("""COMPUTED_VALUE"""),"Trangnth2")</f>
        <v>Trangnth2</v>
      </c>
      <c r="L404" s="68" t="str">
        <f aca="false">IFERROR(__xludf.dummyfunction("""COMPUTED_VALUE"""),"Kiều Bảo Minh")</f>
        <v>Kiều Bảo Minh</v>
      </c>
      <c r="M404" s="71"/>
      <c r="N404" s="80" t="str">
        <f aca="false">IFERROR(__xludf.dummyfunction("""COMPUTED_VALUE"""),"3119,3130")</f>
        <v>3119,3130</v>
      </c>
      <c r="O404" s="73" t="n">
        <f aca="false">IFERROR(__xludf.dummyfunction("""COMPUTED_VALUE"""),167527.167574)</f>
        <v>167527.167574</v>
      </c>
      <c r="P404" s="63" t="str">
        <f aca="false">IFERROR(__xludf.dummyfunction("""COMPUTED_VALUE"""),"9031,9039,9020")</f>
        <v>9031,9039,9020</v>
      </c>
      <c r="Q404" s="63"/>
      <c r="R404" s="41"/>
      <c r="S404" s="41"/>
      <c r="T404" s="63"/>
      <c r="U404" s="63" t="n">
        <f aca="false">IFERROR(__xludf.dummyfunction("""COMPUTED_VALUE"""),10468)</f>
        <v>10468</v>
      </c>
      <c r="V404" s="70" t="n">
        <f aca="false">IFERROR(__xludf.dummyfunction("""COMPUTED_VALUE"""),46271)</f>
        <v>46271</v>
      </c>
      <c r="W404" s="39"/>
      <c r="X404" s="41" t="str">
        <f aca="false">IFERROR(__xludf.dummyfunction("""COMPUTED_VALUE"""),"Trangnth2")</f>
        <v>Trangnth2</v>
      </c>
      <c r="Y404" s="44"/>
      <c r="Z404" s="57" t="str">
        <f aca="false">IFERROR(__xludf.dummyfunction("""COMPUTED_VALUE"""),"#N/A")</f>
        <v>#N/A</v>
      </c>
      <c r="AA404" s="57"/>
      <c r="AB404" s="41" t="n">
        <f aca="false">IFERROR(__xludf.dummyfunction("""COMPUTED_VALUE"""),9)</f>
        <v>9</v>
      </c>
      <c r="AC404" s="57" t="str">
        <f aca="false">IFERROR(__xludf.dummyfunction("""COMPUTED_VALUE"""),"gv.tinhnh@hocmai.edu.vn ")</f>
        <v>gv.tinhnh@hocmai.edu.vn </v>
      </c>
      <c r="AD404" s="46" t="str">
        <f aca="false">IFERROR(__xludf.dummyfunction("""COMPUTED_VALUE"""),"mkieu2662@gmail.com")</f>
        <v>mkieu2662@gmail.com</v>
      </c>
      <c r="AE404" s="46"/>
      <c r="AF404" s="74" t="b">
        <f aca="false">IFERROR(__xludf.dummyfunction("""COMPUTED_VALUE"""),FALSE())</f>
        <v>0</v>
      </c>
      <c r="AG404" s="46" t="str">
        <f aca="false">IFERROR(__xludf.dummyfunction("""COMPUTED_VALUE"""),"")</f>
        <v/>
      </c>
      <c r="AH404" s="35"/>
      <c r="AI404" s="35"/>
      <c r="AJ404" s="53" t="b">
        <f aca="false">IFERROR(__xludf.dummyfunction("""COMPUTED_VALUE"""),TRUE())</f>
        <v>1</v>
      </c>
      <c r="AK404" s="53" t="b">
        <f aca="false">IFERROR(__xludf.dummyfunction("""COMPUTED_VALUE"""),TRUE())</f>
        <v>1</v>
      </c>
      <c r="AL404" s="53" t="b">
        <f aca="false">IFERROR(__xludf.dummyfunction("""COMPUTED_VALUE"""),TRUE())</f>
        <v>1</v>
      </c>
      <c r="AM404" s="35"/>
      <c r="AN404" s="35"/>
      <c r="AO404" s="46"/>
    </row>
    <row r="405" customFormat="false" ht="15.75" hidden="false" customHeight="true" outlineLevel="0" collapsed="false">
      <c r="A405" s="37" t="str">
        <f aca="false">IFERROR(__xludf.dummyfunction("""COMPUTED_VALUE"""),"Toán")</f>
        <v>Toán</v>
      </c>
      <c r="B405" s="37" t="str">
        <f aca="false">IFERROR(__xludf.dummyfunction("""COMPUTED_VALUE"""),"Nghỉ")</f>
        <v>Nghỉ</v>
      </c>
      <c r="C405" s="59" t="str">
        <f aca="false">IFERROR(__xludf.dummyfunction("""COMPUTED_VALUE"""),"Nghỉ")</f>
        <v>Nghỉ</v>
      </c>
      <c r="D405" s="39"/>
      <c r="E405" s="40" t="n">
        <f aca="false">IFERROR(__xludf.dummyfunction("""COMPUTED_VALUE"""),46268)</f>
        <v>46268</v>
      </c>
      <c r="F405" s="41" t="n">
        <f aca="false">IFERROR(__xludf.dummyfunction("""COMPUTED_VALUE"""),5)</f>
        <v>5</v>
      </c>
      <c r="G405" s="37"/>
      <c r="H405" s="37"/>
      <c r="I405" s="37"/>
      <c r="J405" s="37"/>
      <c r="K405" s="68"/>
      <c r="L405" s="68"/>
      <c r="M405" s="71"/>
      <c r="N405" s="77"/>
      <c r="O405" s="63"/>
      <c r="P405" s="63"/>
      <c r="Q405" s="63"/>
      <c r="R405" s="41"/>
      <c r="S405" s="41"/>
      <c r="T405" s="63"/>
      <c r="U405" s="63"/>
      <c r="V405" s="70"/>
      <c r="W405" s="39"/>
      <c r="X405" s="41"/>
      <c r="Y405" s="44"/>
      <c r="Z405" s="57" t="str">
        <f aca="false">IFERROR(__xludf.dummyfunction("""COMPUTED_VALUE"""),"#N/A")</f>
        <v>#N/A</v>
      </c>
      <c r="AA405" s="57"/>
      <c r="AB405" s="41" t="n">
        <f aca="false">IFERROR(__xludf.dummyfunction("""COMPUTED_VALUE"""),9)</f>
        <v>9</v>
      </c>
      <c r="AC405" s="57" t="str">
        <f aca="false">IFERROR(__xludf.dummyfunction("""COMPUTED_VALUE"""),"#N/A")</f>
        <v>#N/A</v>
      </c>
      <c r="AD405" s="46" t="str">
        <f aca="false">IFERROR(__xludf.dummyfunction("""COMPUTED_VALUE"""),"#N/A")</f>
        <v>#N/A</v>
      </c>
      <c r="AE405" s="46"/>
      <c r="AF405" s="47" t="str">
        <f aca="false">IFERROR(__xludf.dummyfunction("""COMPUTED_VALUE"""),"lophoctoan-946268")</f>
        <v>lophoctoan-946268</v>
      </c>
      <c r="AG405" s="46" t="str">
        <f aca="false">IFERROR(__xludf.dummyfunction("""COMPUTED_VALUE"""),"")</f>
        <v/>
      </c>
      <c r="AH405" s="35"/>
      <c r="AI405" s="35"/>
      <c r="AJ405" s="35"/>
      <c r="AK405" s="35"/>
      <c r="AL405" s="35"/>
      <c r="AM405" s="35"/>
      <c r="AN405" s="35"/>
      <c r="AO405" s="46"/>
    </row>
    <row r="406" customFormat="false" ht="15.75" hidden="false" customHeight="true" outlineLevel="0" collapsed="false">
      <c r="A406" s="37" t="str">
        <f aca="false">IFERROR(__xludf.dummyfunction("""COMPUTED_VALUE"""),"Tiếng Anh")</f>
        <v>Tiếng Anh</v>
      </c>
      <c r="B406" s="37" t="str">
        <f aca="false">IFERROR(__xludf.dummyfunction("""COMPUTED_VALUE"""),"TOV_TNTHPT_TA03")</f>
        <v>TOV_TNTHPT_TA03</v>
      </c>
      <c r="C406" s="59" t="str">
        <f aca="false">IFERROR(__xludf.dummyfunction("""COMPUTED_VALUE"""),"Tổng ôn về dạng của động từ (V-ing và To V)")</f>
        <v>Tổng ôn về dạng của động từ (V-ing và To V)</v>
      </c>
      <c r="D406" s="39" t="str">
        <f aca="false">IFERROR(__xludf.dummyfunction("""COMPUTED_VALUE"""),"Nguyễn Trung Nguyên")</f>
        <v>Nguyễn Trung Nguyên</v>
      </c>
      <c r="E406" s="40" t="n">
        <f aca="false">IFERROR(__xludf.dummyfunction("""COMPUTED_VALUE"""),46268)</f>
        <v>46268</v>
      </c>
      <c r="F406" s="41" t="n">
        <f aca="false">IFERROR(__xludf.dummyfunction("""COMPUTED_VALUE"""),5)</f>
        <v>5</v>
      </c>
      <c r="G406" s="37" t="str">
        <f aca="false">IFERROR(__xludf.dummyfunction("""COMPUTED_VALUE"""),"18:00-20:00")</f>
        <v>18:00-20:00</v>
      </c>
      <c r="H406" s="37"/>
      <c r="I406" s="37"/>
      <c r="J406" s="37"/>
      <c r="K406" s="68" t="str">
        <f aca="false">IFERROR(__xludf.dummyfunction("""COMPUTED_VALUE"""),"huyennn2")</f>
        <v>huyennn2</v>
      </c>
      <c r="L406" s="68" t="str">
        <f aca="false">IFERROR(__xludf.dummyfunction("""COMPUTED_VALUE"""),"Phan Đức Kiên")</f>
        <v>Phan Đức Kiên</v>
      </c>
      <c r="M406" s="71"/>
      <c r="N406" s="77" t="str">
        <f aca="false">IFERROR(__xludf.dummyfunction("""COMPUTED_VALUE"""),"3129")</f>
        <v>3129</v>
      </c>
      <c r="O406" s="63" t="n">
        <f aca="false">IFERROR(__xludf.dummyfunction("""COMPUTED_VALUE"""),167655)</f>
        <v>167655</v>
      </c>
      <c r="P406" s="63"/>
      <c r="Q406" s="63"/>
      <c r="R406" s="41"/>
      <c r="S406" s="41"/>
      <c r="T406" s="63"/>
      <c r="U406" s="63"/>
      <c r="V406" s="70" t="n">
        <f aca="false">IFERROR(__xludf.dummyfunction("""COMPUTED_VALUE"""),46271)</f>
        <v>46271</v>
      </c>
      <c r="W406" s="39"/>
      <c r="X406" s="41" t="str">
        <f aca="false">IFERROR(__xludf.dummyfunction("""COMPUTED_VALUE"""),"lytt")</f>
        <v>lytt</v>
      </c>
      <c r="Y406" s="44"/>
      <c r="Z406" s="57" t="str">
        <f aca="false">IFERROR(__xludf.dummyfunction("""COMPUTED_VALUE"""),"#N/A")</f>
        <v>#N/A</v>
      </c>
      <c r="AA406" s="57"/>
      <c r="AB406" s="41" t="n">
        <f aca="false">IFERROR(__xludf.dummyfunction("""COMPUTED_VALUE"""),9)</f>
        <v>9</v>
      </c>
      <c r="AC406" s="57" t="str">
        <f aca="false">IFERROR(__xludf.dummyfunction("""COMPUTED_VALUE"""),"gv.nguyennt@hocmai.edu.vn ")</f>
        <v>gv.nguyennt@hocmai.edu.vn </v>
      </c>
      <c r="AD406" s="46" t="str">
        <f aca="false">IFERROR(__xludf.dummyfunction("""COMPUTED_VALUE"""),"duckien010607@gmail.com")</f>
        <v>duckien010607@gmail.com</v>
      </c>
      <c r="AE406" s="46"/>
      <c r="AF406" s="47" t="str">
        <f aca="false">IFERROR(__xludf.dummyfunction("""COMPUTED_VALUE"""),"lophoctienganh46268")</f>
        <v>lophoctienganh46268</v>
      </c>
      <c r="AG406" s="46" t="str">
        <f aca="false">IFERROR(__xludf.dummyfunction("""COMPUTED_VALUE"""),"")</f>
        <v/>
      </c>
      <c r="AH406" s="35"/>
      <c r="AI406" s="35"/>
      <c r="AJ406" s="35"/>
      <c r="AK406" s="35"/>
      <c r="AL406" s="53" t="b">
        <f aca="false">IFERROR(__xludf.dummyfunction("""COMPUTED_VALUE"""),TRUE())</f>
        <v>1</v>
      </c>
      <c r="AM406" s="35"/>
      <c r="AN406" s="35"/>
      <c r="AO406" s="46"/>
    </row>
    <row r="407" customFormat="false" ht="15.75" hidden="false" customHeight="true" outlineLevel="0" collapsed="false">
      <c r="A407" s="37" t="str">
        <f aca="false">IFERROR(__xludf.dummyfunction("""COMPUTED_VALUE"""),"Thực chiến Khoa học")</f>
        <v>Thực chiến Khoa học</v>
      </c>
      <c r="B407" s="37" t="str">
        <f aca="false">IFERROR(__xludf.dummyfunction("""COMPUTED_VALUE"""),"TC_TSA_KH_26")</f>
        <v>TC_TSA_KH_26</v>
      </c>
      <c r="C407" s="59" t="str">
        <f aca="false">IFERROR(__xludf.dummyfunction("""COMPUTED_VALUE"""),"[Bổ trợ]_Chữa bài tập TSA_Tư duy Khoa học số 25")</f>
        <v>[Bổ trợ]_Chữa bài tập TSA_Tư duy Khoa học số 25</v>
      </c>
      <c r="D407" s="39" t="str">
        <f aca="false">IFERROR(__xludf.dummyfunction("""COMPUTED_VALUE"""),"Phạm Huy Hoàng")</f>
        <v>Phạm Huy Hoàng</v>
      </c>
      <c r="E407" s="40" t="n">
        <f aca="false">IFERROR(__xludf.dummyfunction("""COMPUTED_VALUE"""),46268)</f>
        <v>46268</v>
      </c>
      <c r="F407" s="41" t="n">
        <f aca="false">IFERROR(__xludf.dummyfunction("""COMPUTED_VALUE"""),5)</f>
        <v>5</v>
      </c>
      <c r="G407" s="37" t="str">
        <f aca="false">IFERROR(__xludf.dummyfunction("""COMPUTED_VALUE"""),"19:00-20:00")</f>
        <v>19:00-20:00</v>
      </c>
      <c r="H407" s="37"/>
      <c r="I407" s="37"/>
      <c r="J407" s="37"/>
      <c r="K407" s="68" t="str">
        <f aca="false">IFERROR(__xludf.dummyfunction("""COMPUTED_VALUE"""),"Trangnth2")</f>
        <v>Trangnth2</v>
      </c>
      <c r="L407" s="68" t="str">
        <f aca="false">IFERROR(__xludf.dummyfunction("""COMPUTED_VALUE"""),"HOCMAI")</f>
        <v>HOCMAI</v>
      </c>
      <c r="M407" s="71"/>
      <c r="N407" s="77" t="str">
        <f aca="false">IFERROR(__xludf.dummyfunction("""COMPUTED_VALUE"""),"3110")</f>
        <v>3110</v>
      </c>
      <c r="O407" s="63" t="n">
        <f aca="false">IFERROR(__xludf.dummyfunction("""COMPUTED_VALUE"""),176078)</f>
        <v>176078</v>
      </c>
      <c r="P407" s="60" t="str">
        <f aca="false">IFERROR(__xludf.dummyfunction("""COMPUTED_VALUE"""),"https://hocmai.vn/bai-giang-truc-tuyen/176078/.html")</f>
        <v>https://hocmai.vn/bai-giang-truc-tuyen/176078/.html</v>
      </c>
      <c r="Q407" s="63"/>
      <c r="R407" s="41"/>
      <c r="S407" s="41"/>
      <c r="T407" s="63"/>
      <c r="U407" s="63"/>
      <c r="V407" s="70" t="n">
        <f aca="false">IFERROR(__xludf.dummyfunction("""COMPUTED_VALUE"""),46271)</f>
        <v>46271</v>
      </c>
      <c r="W407" s="39"/>
      <c r="X407" s="41" t="str">
        <f aca="false">IFERROR(__xludf.dummyfunction("""COMPUTED_VALUE"""),"Vuta")</f>
        <v>Vuta</v>
      </c>
      <c r="Y407" s="44"/>
      <c r="Z407" s="57"/>
      <c r="AA407" s="57"/>
      <c r="AB407" s="41" t="n">
        <f aca="false">IFERROR(__xludf.dummyfunction("""COMPUTED_VALUE"""),9)</f>
        <v>9</v>
      </c>
      <c r="AC407" s="57" t="str">
        <f aca="false">IFERROR(__xludf.dummyfunction("""COMPUTED_VALUE"""),"0376611308")</f>
        <v>0376611308</v>
      </c>
      <c r="AD407" s="46"/>
      <c r="AE407" s="46"/>
      <c r="AF407" s="47"/>
      <c r="AG407" s="46"/>
      <c r="AH407" s="53" t="b">
        <f aca="false">IFERROR(__xludf.dummyfunction("""COMPUTED_VALUE"""),FALSE())</f>
        <v>0</v>
      </c>
      <c r="AI407" s="53" t="b">
        <f aca="false">IFERROR(__xludf.dummyfunction("""COMPUTED_VALUE"""),TRUE())</f>
        <v>1</v>
      </c>
      <c r="AJ407" s="53" t="b">
        <f aca="false">IFERROR(__xludf.dummyfunction("""COMPUTED_VALUE"""),FALSE())</f>
        <v>0</v>
      </c>
      <c r="AK407" s="53" t="b">
        <f aca="false">IFERROR(__xludf.dummyfunction("""COMPUTED_VALUE"""),FALSE())</f>
        <v>0</v>
      </c>
      <c r="AL407" s="53" t="b">
        <f aca="false">IFERROR(__xludf.dummyfunction("""COMPUTED_VALUE"""),FALSE())</f>
        <v>0</v>
      </c>
      <c r="AM407" s="53" t="b">
        <f aca="false">IFERROR(__xludf.dummyfunction("""COMPUTED_VALUE"""),FALSE())</f>
        <v>0</v>
      </c>
      <c r="AN407" s="53" t="b">
        <f aca="false">IFERROR(__xludf.dummyfunction("""COMPUTED_VALUE"""),FALSE())</f>
        <v>0</v>
      </c>
      <c r="AO407" s="46"/>
    </row>
    <row r="408" customFormat="false" ht="15.75" hidden="false" customHeight="true" outlineLevel="0" collapsed="false">
      <c r="A408" s="37" t="str">
        <f aca="false">IFERROR(__xludf.dummyfunction("""COMPUTED_VALUE"""),"Toán")</f>
        <v>Toán</v>
      </c>
      <c r="B408" s="37" t="str">
        <f aca="false">IFERROR(__xludf.dummyfunction("""COMPUTED_VALUE"""),"TOV_TSA_T12")</f>
        <v>TOV_TSA_T12</v>
      </c>
      <c r="C408" s="59" t="str">
        <f aca="false">IFERROR(__xludf.dummyfunction("""COMPUTED_VALUE"""),"Các dạng câu hỏi hay gặp trong hình học Oxy")</f>
        <v>Các dạng câu hỏi hay gặp trong hình học Oxy</v>
      </c>
      <c r="D408" s="39" t="str">
        <f aca="false">IFERROR(__xludf.dummyfunction("""COMPUTED_VALUE"""),"Nguyễn Thanh Tùng")</f>
        <v>Nguyễn Thanh Tùng</v>
      </c>
      <c r="E408" s="40" t="n">
        <f aca="false">IFERROR(__xludf.dummyfunction("""COMPUTED_VALUE"""),46269)</f>
        <v>46269</v>
      </c>
      <c r="F408" s="41" t="n">
        <f aca="false">IFERROR(__xludf.dummyfunction("""COMPUTED_VALUE"""),6)</f>
        <v>6</v>
      </c>
      <c r="G408" s="37" t="str">
        <f aca="false">IFERROR(__xludf.dummyfunction("""COMPUTED_VALUE"""),"18:00-20:00")</f>
        <v>18:00-20:00</v>
      </c>
      <c r="H408" s="37"/>
      <c r="I408" s="37"/>
      <c r="J408" s="37"/>
      <c r="K408" s="68" t="str">
        <f aca="false">IFERROR(__xludf.dummyfunction("""COMPUTED_VALUE"""),"Locdd")</f>
        <v>Locdd</v>
      </c>
      <c r="L408" s="68" t="str">
        <f aca="false">IFERROR(__xludf.dummyfunction("""COMPUTED_VALUE"""),"Tưởng Thị Huyền Trang")</f>
        <v>Tưởng Thị Huyền Trang</v>
      </c>
      <c r="M408" s="71"/>
      <c r="N408" s="77" t="str">
        <f aca="false">IFERROR(__xludf.dummyfunction("""COMPUTED_VALUE"""),"3108")</f>
        <v>3108</v>
      </c>
      <c r="O408" s="63" t="n">
        <f aca="false">IFERROR(__xludf.dummyfunction("""COMPUTED_VALUE"""),168377)</f>
        <v>168377</v>
      </c>
      <c r="P408" s="63"/>
      <c r="Q408" s="63"/>
      <c r="R408" s="41"/>
      <c r="S408" s="41"/>
      <c r="T408" s="63"/>
      <c r="U408" s="63"/>
      <c r="V408" s="70" t="n">
        <f aca="false">IFERROR(__xludf.dummyfunction("""COMPUTED_VALUE"""),46272)</f>
        <v>46272</v>
      </c>
      <c r="W408" s="39"/>
      <c r="X408" s="41" t="str">
        <f aca="false">IFERROR(__xludf.dummyfunction("""COMPUTED_VALUE"""),"Locdd")</f>
        <v>Locdd</v>
      </c>
      <c r="Y408" s="44" t="str">
        <f aca="false">IFERROR(__xludf.dummyfunction("""COMPUTED_VALUE"""),"done")</f>
        <v>done</v>
      </c>
      <c r="Z408" s="57" t="str">
        <f aca="false">IFERROR(__xludf.dummyfunction("""COMPUTED_VALUE"""),"#N/A")</f>
        <v>#N/A</v>
      </c>
      <c r="AA408" s="57"/>
      <c r="AB408" s="41" t="n">
        <f aca="false">IFERROR(__xludf.dummyfunction("""COMPUTED_VALUE"""),9)</f>
        <v>9</v>
      </c>
      <c r="AC408" s="57" t="str">
        <f aca="false">IFERROR(__xludf.dummyfunction("""COMPUTED_VALUE"""),"gv.tungnt@hocmai.edu.vn ")</f>
        <v>gv.tungnt@hocmai.edu.vn </v>
      </c>
      <c r="AD408" s="46" t="str">
        <f aca="false">IFERROR(__xludf.dummyfunction("""COMPUTED_VALUE"""),"trangcrazy699@gmail.com")</f>
        <v>trangcrazy699@gmail.com</v>
      </c>
      <c r="AE408" s="46"/>
      <c r="AF408" s="47" t="str">
        <f aca="false">IFERROR(__xludf.dummyfunction("""COMPUTED_VALUE"""),"lophoctoan-946269")</f>
        <v>lophoctoan-946269</v>
      </c>
      <c r="AG408" s="46" t="str">
        <f aca="false">IFERROR(__xludf.dummyfunction("""COMPUTED_VALUE"""),"")</f>
        <v/>
      </c>
      <c r="AH408" s="35"/>
      <c r="AI408" s="53" t="b">
        <f aca="false">IFERROR(__xludf.dummyfunction("""COMPUTED_VALUE"""),TRUE())</f>
        <v>1</v>
      </c>
      <c r="AJ408" s="35"/>
      <c r="AK408" s="35"/>
      <c r="AL408" s="35"/>
      <c r="AM408" s="35"/>
      <c r="AN408" s="35"/>
      <c r="AO408" s="46"/>
    </row>
    <row r="409" customFormat="false" ht="15.75" hidden="false" customHeight="true" outlineLevel="0" collapsed="false">
      <c r="A409" s="37" t="str">
        <f aca="false">IFERROR(__xludf.dummyfunction("""COMPUTED_VALUE"""),"Sinh học")</f>
        <v>Sinh học</v>
      </c>
      <c r="B409" s="37" t="str">
        <f aca="false">IFERROR(__xludf.dummyfunction("""COMPUTED_VALUE"""),"TOV_HT_SH12")</f>
        <v>TOV_HT_SH12</v>
      </c>
      <c r="C409" s="59" t="str">
        <f aca="false">IFERROR(__xludf.dummyfunction("""COMPUTED_VALUE"""),"Chuyên đề kỹ năng HSA: Đọc hình – Bảng – Thí nghiệm + Đề mini tương tác")</f>
        <v>Chuyên đề kỹ năng HSA: Đọc hình – Bảng – Thí nghiệm + Đề mini tương tác</v>
      </c>
      <c r="D409" s="39" t="str">
        <f aca="false">IFERROR(__xludf.dummyfunction("""COMPUTED_VALUE"""),"Nguyễn Dương Ánh Hồng")</f>
        <v>Nguyễn Dương Ánh Hồng</v>
      </c>
      <c r="E409" s="40" t="n">
        <f aca="false">IFERROR(__xludf.dummyfunction("""COMPUTED_VALUE"""),46269)</f>
        <v>46269</v>
      </c>
      <c r="F409" s="41" t="n">
        <f aca="false">IFERROR(__xludf.dummyfunction("""COMPUTED_VALUE"""),6)</f>
        <v>6</v>
      </c>
      <c r="G409" s="37" t="str">
        <f aca="false">IFERROR(__xludf.dummyfunction("""COMPUTED_VALUE"""),"19:30-21:30")</f>
        <v>19:30-21:30</v>
      </c>
      <c r="H409" s="37"/>
      <c r="I409" s="37"/>
      <c r="J409" s="37"/>
      <c r="K409" s="68" t="str">
        <f aca="false">IFERROR(__xludf.dummyfunction("""COMPUTED_VALUE"""),"Phuongdt")</f>
        <v>Phuongdt</v>
      </c>
      <c r="L409" s="68" t="str">
        <f aca="false">IFERROR(__xludf.dummyfunction("""COMPUTED_VALUE"""),"Phan Đức Kiên")</f>
        <v>Phan Đức Kiên</v>
      </c>
      <c r="M409" s="71"/>
      <c r="N409" s="77" t="str">
        <f aca="false">IFERROR(__xludf.dummyfunction("""COMPUTED_VALUE"""),"3121,3132")</f>
        <v>3121,3132</v>
      </c>
      <c r="O409" s="73" t="n">
        <f aca="false">IFERROR(__xludf.dummyfunction("""COMPUTED_VALUE"""),167329.167343)</f>
        <v>167329.167343</v>
      </c>
      <c r="P409" s="63" t="str">
        <f aca="false">IFERROR(__xludf.dummyfunction("""COMPUTED_VALUE"""),"9033,9041,9022")</f>
        <v>9033,9041,9022</v>
      </c>
      <c r="Q409" s="63"/>
      <c r="R409" s="41"/>
      <c r="S409" s="41"/>
      <c r="T409" s="63" t="n">
        <f aca="false">IFERROR(__xludf.dummyfunction("""COMPUTED_VALUE"""),23853)</f>
        <v>23853</v>
      </c>
      <c r="U409" s="63"/>
      <c r="V409" s="70" t="n">
        <f aca="false">IFERROR(__xludf.dummyfunction("""COMPUTED_VALUE"""),46272)</f>
        <v>46272</v>
      </c>
      <c r="W409" s="39"/>
      <c r="X409" s="41" t="str">
        <f aca="false">IFERROR(__xludf.dummyfunction("""COMPUTED_VALUE"""),"Phuongdt")</f>
        <v>Phuongdt</v>
      </c>
      <c r="Y409" s="44"/>
      <c r="Z409" s="57" t="str">
        <f aca="false">IFERROR(__xludf.dummyfunction("""COMPUTED_VALUE"""),"#N/A")</f>
        <v>#N/A</v>
      </c>
      <c r="AA409" s="57"/>
      <c r="AB409" s="41" t="n">
        <f aca="false">IFERROR(__xludf.dummyfunction("""COMPUTED_VALUE"""),9)</f>
        <v>9</v>
      </c>
      <c r="AC409" s="57" t="str">
        <f aca="false">IFERROR(__xludf.dummyfunction("""COMPUTED_VALUE"""),"gv.hongnda@hocmai.edu.vn ")</f>
        <v>gv.hongnda@hocmai.edu.vn </v>
      </c>
      <c r="AD409" s="46" t="str">
        <f aca="false">IFERROR(__xludf.dummyfunction("""COMPUTED_VALUE"""),"duckien010607@gmail.com")</f>
        <v>duckien010607@gmail.com</v>
      </c>
      <c r="AE409" s="46"/>
      <c r="AF409" s="74" t="b">
        <f aca="false">IFERROR(__xludf.dummyfunction("""COMPUTED_VALUE"""),FALSE())</f>
        <v>0</v>
      </c>
      <c r="AG409" s="46" t="str">
        <f aca="false">IFERROR(__xludf.dummyfunction("""COMPUTED_VALUE"""),"")</f>
        <v/>
      </c>
      <c r="AH409" s="35"/>
      <c r="AI409" s="35"/>
      <c r="AJ409" s="53" t="b">
        <f aca="false">IFERROR(__xludf.dummyfunction("""COMPUTED_VALUE"""),TRUE())</f>
        <v>1</v>
      </c>
      <c r="AK409" s="53" t="b">
        <f aca="false">IFERROR(__xludf.dummyfunction("""COMPUTED_VALUE"""),TRUE())</f>
        <v>1</v>
      </c>
      <c r="AL409" s="53" t="b">
        <f aca="false">IFERROR(__xludf.dummyfunction("""COMPUTED_VALUE"""),TRUE())</f>
        <v>1</v>
      </c>
      <c r="AM409" s="35"/>
      <c r="AN409" s="35"/>
      <c r="AO409" s="46"/>
    </row>
    <row r="410" customFormat="false" ht="15.75" hidden="false" customHeight="true" outlineLevel="0" collapsed="false">
      <c r="A410" s="37" t="str">
        <f aca="false">IFERROR(__xludf.dummyfunction("""COMPUTED_VALUE"""),"Lịch sử")</f>
        <v>Lịch sử</v>
      </c>
      <c r="B410" s="37" t="str">
        <f aca="false">IFERROR(__xludf.dummyfunction("""COMPUTED_VALUE"""),"TOV_HSA_LS10")</f>
        <v>TOV_HSA_LS10</v>
      </c>
      <c r="C410" s="59" t="str">
        <f aca="false">IFERROR(__xludf.dummyfunction("""COMPUTED_VALUE"""),"Lịch sử bảo vệ chủ quyền, các quyền và lợi ích hợp pháp của Việt Nam ở Biển Đông")</f>
        <v>Lịch sử bảo vệ chủ quyền, các quyền và lợi ích hợp pháp của Việt Nam ở Biển Đông</v>
      </c>
      <c r="D410" s="39" t="str">
        <f aca="false">IFERROR(__xludf.dummyfunction("""COMPUTED_VALUE"""),"Dương Thị Huyền")</f>
        <v>Dương Thị Huyền</v>
      </c>
      <c r="E410" s="40" t="n">
        <f aca="false">IFERROR(__xludf.dummyfunction("""COMPUTED_VALUE"""),46269)</f>
        <v>46269</v>
      </c>
      <c r="F410" s="41" t="n">
        <f aca="false">IFERROR(__xludf.dummyfunction("""COMPUTED_VALUE"""),6)</f>
        <v>6</v>
      </c>
      <c r="G410" s="37" t="str">
        <f aca="false">IFERROR(__xludf.dummyfunction("""COMPUTED_VALUE"""),"21:30-23:30")</f>
        <v>21:30-23:30</v>
      </c>
      <c r="H410" s="37"/>
      <c r="I410" s="37"/>
      <c r="J410" s="37"/>
      <c r="K410" s="68" t="str">
        <f aca="false">IFERROR(__xludf.dummyfunction("""COMPUTED_VALUE"""),"Trinhntt")</f>
        <v>Trinhntt</v>
      </c>
      <c r="L410" s="68" t="str">
        <f aca="false">IFERROR(__xludf.dummyfunction("""COMPUTED_VALUE"""),"Phan Đức Kiên")</f>
        <v>Phan Đức Kiên</v>
      </c>
      <c r="M410" s="71"/>
      <c r="N410" s="77" t="str">
        <f aca="false">IFERROR(__xludf.dummyfunction("""COMPUTED_VALUE"""),"3122")</f>
        <v>3122</v>
      </c>
      <c r="O410" s="63" t="n">
        <f aca="false">IFERROR(__xludf.dummyfunction("""COMPUTED_VALUE"""),174737)</f>
        <v>174737</v>
      </c>
      <c r="P410" s="63"/>
      <c r="Q410" s="63"/>
      <c r="R410" s="41"/>
      <c r="S410" s="41"/>
      <c r="T410" s="63"/>
      <c r="U410" s="63"/>
      <c r="V410" s="70" t="n">
        <f aca="false">IFERROR(__xludf.dummyfunction("""COMPUTED_VALUE"""),46272)</f>
        <v>46272</v>
      </c>
      <c r="W410" s="39"/>
      <c r="X410" s="41" t="str">
        <f aca="false">IFERROR(__xludf.dummyfunction("""COMPUTED_VALUE"""),"Huent7")</f>
        <v>Huent7</v>
      </c>
      <c r="Y410" s="44"/>
      <c r="Z410" s="57" t="str">
        <f aca="false">IFERROR(__xludf.dummyfunction("""COMPUTED_VALUE"""),"#N/A")</f>
        <v>#N/A</v>
      </c>
      <c r="AA410" s="57"/>
      <c r="AB410" s="41"/>
      <c r="AC410" s="57" t="str">
        <f aca="false">IFERROR(__xludf.dummyfunction("""COMPUTED_VALUE"""),"gv.huyendt2@hocmai.edu.vn")</f>
        <v>gv.huyendt2@hocmai.edu.vn</v>
      </c>
      <c r="AD410" s="46" t="str">
        <f aca="false">IFERROR(__xludf.dummyfunction("""COMPUTED_VALUE"""),"duckien010607@gmail.com")</f>
        <v>duckien010607@gmail.com</v>
      </c>
      <c r="AE410" s="46"/>
      <c r="AF410" s="74" t="b">
        <f aca="false">IFERROR(__xludf.dummyfunction("""COMPUTED_VALUE"""),FALSE())</f>
        <v>0</v>
      </c>
      <c r="AG410" s="46" t="str">
        <f aca="false">IFERROR(__xludf.dummyfunction("""COMPUTED_VALUE"""),"")</f>
        <v/>
      </c>
      <c r="AH410" s="35"/>
      <c r="AI410" s="35"/>
      <c r="AJ410" s="53" t="b">
        <f aca="false">IFERROR(__xludf.dummyfunction("""COMPUTED_VALUE"""),TRUE())</f>
        <v>1</v>
      </c>
      <c r="AK410" s="53" t="b">
        <f aca="false">IFERROR(__xludf.dummyfunction("""COMPUTED_VALUE"""),TRUE())</f>
        <v>1</v>
      </c>
      <c r="AL410" s="35"/>
      <c r="AM410" s="35"/>
      <c r="AN410" s="35"/>
      <c r="AO410" s="46"/>
    </row>
    <row r="411" customFormat="false" ht="15.75" hidden="false" customHeight="true" outlineLevel="0" collapsed="false">
      <c r="A411" s="37" t="str">
        <f aca="false">IFERROR(__xludf.dummyfunction("""COMPUTED_VALUE"""),"Thực chiến Toán")</f>
        <v>Thực chiến Toán</v>
      </c>
      <c r="B411" s="37" t="str">
        <f aca="false">IFERROR(__xludf.dummyfunction("""COMPUTED_VALUE"""),"TC_V-ACT_T_22")</f>
        <v>TC_V-ACT_T_22</v>
      </c>
      <c r="C411" s="59" t="str">
        <f aca="false">IFERROR(__xludf.dummyfunction("""COMPUTED_VALUE"""),"[Bổ trợ]_Chữa bài tập_V-ACT_Toán số 22")</f>
        <v>[Bổ trợ]_Chữa bài tập_V-ACT_Toán số 22</v>
      </c>
      <c r="D411" s="39" t="str">
        <f aca="false">IFERROR(__xludf.dummyfunction("""COMPUTED_VALUE"""),"Lê Thế Anh")</f>
        <v>Lê Thế Anh</v>
      </c>
      <c r="E411" s="40" t="n">
        <f aca="false">IFERROR(__xludf.dummyfunction("""COMPUTED_VALUE"""),46269)</f>
        <v>46269</v>
      </c>
      <c r="F411" s="41" t="n">
        <f aca="false">IFERROR(__xludf.dummyfunction("""COMPUTED_VALUE"""),6)</f>
        <v>6</v>
      </c>
      <c r="G411" s="37" t="str">
        <f aca="false">IFERROR(__xludf.dummyfunction("""COMPUTED_VALUE"""),"18:45-19:45")</f>
        <v>18:45-19:45</v>
      </c>
      <c r="H411" s="37"/>
      <c r="I411" s="37"/>
      <c r="J411" s="37"/>
      <c r="K411" s="68" t="str">
        <f aca="false">IFERROR(__xludf.dummyfunction("""COMPUTED_VALUE"""),"lent")</f>
        <v>lent</v>
      </c>
      <c r="L411" s="68" t="str">
        <f aca="false">IFERROR(__xludf.dummyfunction("""COMPUTED_VALUE"""),"HOCMAI")</f>
        <v>HOCMAI</v>
      </c>
      <c r="M411" s="71"/>
      <c r="N411" s="77" t="str">
        <f aca="false">IFERROR(__xludf.dummyfunction("""COMPUTED_VALUE"""),"3124")</f>
        <v>3124</v>
      </c>
      <c r="O411" s="63" t="n">
        <f aca="false">IFERROR(__xludf.dummyfunction("""COMPUTED_VALUE"""),176099)</f>
        <v>176099</v>
      </c>
      <c r="P411" s="60" t="str">
        <f aca="false">IFERROR(__xludf.dummyfunction("""COMPUTED_VALUE"""),"https://hocmai.vn/bai-giang-truc-tuyen/176099/.html")</f>
        <v>https://hocmai.vn/bai-giang-truc-tuyen/176099/.html</v>
      </c>
      <c r="Q411" s="63"/>
      <c r="R411" s="41"/>
      <c r="S411" s="41"/>
      <c r="T411" s="63"/>
      <c r="U411" s="63"/>
      <c r="V411" s="70" t="n">
        <f aca="false">IFERROR(__xludf.dummyfunction("""COMPUTED_VALUE"""),46272)</f>
        <v>46272</v>
      </c>
      <c r="W411" s="39"/>
      <c r="X411" s="41" t="str">
        <f aca="false">IFERROR(__xludf.dummyfunction("""COMPUTED_VALUE"""),"Vuta")</f>
        <v>Vuta</v>
      </c>
      <c r="Y411" s="44"/>
      <c r="Z411" s="57"/>
      <c r="AA411" s="57"/>
      <c r="AB411" s="41" t="n">
        <f aca="false">IFERROR(__xludf.dummyfunction("""COMPUTED_VALUE"""),9)</f>
        <v>9</v>
      </c>
      <c r="AC411" s="57" t="str">
        <f aca="false">IFERROR(__xludf.dummyfunction("""COMPUTED_VALUE"""),"ss.vact01@ctv.hocmai.vn")</f>
        <v>ss.vact01@ctv.hocmai.vn</v>
      </c>
      <c r="AD411" s="46"/>
      <c r="AE411" s="46"/>
      <c r="AF411" s="47"/>
      <c r="AG411" s="46"/>
      <c r="AH411" s="53" t="b">
        <f aca="false">IFERROR(__xludf.dummyfunction("""COMPUTED_VALUE"""),FALSE())</f>
        <v>0</v>
      </c>
      <c r="AI411" s="53" t="b">
        <f aca="false">IFERROR(__xludf.dummyfunction("""COMPUTED_VALUE"""),FALSE())</f>
        <v>0</v>
      </c>
      <c r="AJ411" s="53" t="b">
        <f aca="false">IFERROR(__xludf.dummyfunction("""COMPUTED_VALUE"""),FALSE())</f>
        <v>0</v>
      </c>
      <c r="AK411" s="53" t="b">
        <f aca="false">IFERROR(__xludf.dummyfunction("""COMPUTED_VALUE"""),FALSE())</f>
        <v>0</v>
      </c>
      <c r="AL411" s="53" t="b">
        <f aca="false">IFERROR(__xludf.dummyfunction("""COMPUTED_VALUE"""),FALSE())</f>
        <v>0</v>
      </c>
      <c r="AM411" s="53" t="b">
        <f aca="false">IFERROR(__xludf.dummyfunction("""COMPUTED_VALUE"""),TRUE())</f>
        <v>1</v>
      </c>
      <c r="AN411" s="53" t="b">
        <f aca="false">IFERROR(__xludf.dummyfunction("""COMPUTED_VALUE"""),TRUE())</f>
        <v>1</v>
      </c>
      <c r="AO411" s="46"/>
    </row>
    <row r="412" customFormat="false" ht="15.75" hidden="false" customHeight="true" outlineLevel="0" collapsed="false">
      <c r="A412" s="37" t="str">
        <f aca="false">IFERROR(__xludf.dummyfunction("""COMPUTED_VALUE"""),"Thực chiến Tiếng Anh")</f>
        <v>Thực chiến Tiếng Anh</v>
      </c>
      <c r="B412" s="37" t="str">
        <f aca="false">IFERROR(__xludf.dummyfunction("""COMPUTED_VALUE"""),"TC_V-ACT_TA_17")</f>
        <v>TC_V-ACT_TA_17</v>
      </c>
      <c r="C412" s="59" t="str">
        <f aca="false">IFERROR(__xludf.dummyfunction("""COMPUTED_VALUE"""),"[Bổ trợ]_Chữa bài tập_V-ACT_Tiếng Anh số 16")</f>
        <v>[Bổ trợ]_Chữa bài tập_V-ACT_Tiếng Anh số 16</v>
      </c>
      <c r="D412" s="39" t="str">
        <f aca="false">IFERROR(__xludf.dummyfunction("""COMPUTED_VALUE"""),"Dung Thành Vinh")</f>
        <v>Dung Thành Vinh</v>
      </c>
      <c r="E412" s="40" t="n">
        <f aca="false">IFERROR(__xludf.dummyfunction("""COMPUTED_VALUE"""),46269)</f>
        <v>46269</v>
      </c>
      <c r="F412" s="41" t="n">
        <f aca="false">IFERROR(__xludf.dummyfunction("""COMPUTED_VALUE"""),6)</f>
        <v>6</v>
      </c>
      <c r="G412" s="37" t="str">
        <f aca="false">IFERROR(__xludf.dummyfunction("""COMPUTED_VALUE"""),"20:00-21:00")</f>
        <v>20:00-21:00</v>
      </c>
      <c r="H412" s="37"/>
      <c r="I412" s="37"/>
      <c r="J412" s="37"/>
      <c r="K412" s="68" t="str">
        <f aca="false">IFERROR(__xludf.dummyfunction("""COMPUTED_VALUE"""),"Huyenn2")</f>
        <v>Huyenn2</v>
      </c>
      <c r="L412" s="68" t="str">
        <f aca="false">IFERROR(__xludf.dummyfunction("""COMPUTED_VALUE"""),"HOCMAI")</f>
        <v>HOCMAI</v>
      </c>
      <c r="M412" s="71"/>
      <c r="N412" s="77" t="str">
        <f aca="false">IFERROR(__xludf.dummyfunction("""COMPUTED_VALUE"""),"3165")</f>
        <v>3165</v>
      </c>
      <c r="O412" s="63" t="n">
        <f aca="false">IFERROR(__xludf.dummyfunction("""COMPUTED_VALUE"""),176109)</f>
        <v>176109</v>
      </c>
      <c r="P412" s="60" t="str">
        <f aca="false">IFERROR(__xludf.dummyfunction("""COMPUTED_VALUE"""),"https://hocmai.vn/bai-giang-truc-tuyen/176109/.html")</f>
        <v>https://hocmai.vn/bai-giang-truc-tuyen/176109/.html</v>
      </c>
      <c r="Q412" s="63"/>
      <c r="R412" s="41"/>
      <c r="S412" s="41"/>
      <c r="T412" s="63"/>
      <c r="U412" s="63"/>
      <c r="V412" s="70" t="n">
        <f aca="false">IFERROR(__xludf.dummyfunction("""COMPUTED_VALUE"""),46272)</f>
        <v>46272</v>
      </c>
      <c r="W412" s="39"/>
      <c r="X412" s="41" t="str">
        <f aca="false">IFERROR(__xludf.dummyfunction("""COMPUTED_VALUE"""),"Vuta")</f>
        <v>Vuta</v>
      </c>
      <c r="Y412" s="44"/>
      <c r="Z412" s="57"/>
      <c r="AA412" s="57"/>
      <c r="AB412" s="41" t="n">
        <f aca="false">IFERROR(__xludf.dummyfunction("""COMPUTED_VALUE"""),9)</f>
        <v>9</v>
      </c>
      <c r="AC412" s="57" t="str">
        <f aca="false">IFERROR(__xludf.dummyfunction("""COMPUTED_VALUE"""),"shimlim04@gmail.com")</f>
        <v>shimlim04@gmail.com</v>
      </c>
      <c r="AD412" s="46"/>
      <c r="AE412" s="46"/>
      <c r="AF412" s="47"/>
      <c r="AG412" s="46"/>
      <c r="AH412" s="53" t="b">
        <f aca="false">IFERROR(__xludf.dummyfunction("""COMPUTED_VALUE"""),FALSE())</f>
        <v>0</v>
      </c>
      <c r="AI412" s="53" t="b">
        <f aca="false">IFERROR(__xludf.dummyfunction("""COMPUTED_VALUE"""),FALSE())</f>
        <v>0</v>
      </c>
      <c r="AJ412" s="53" t="b">
        <f aca="false">IFERROR(__xludf.dummyfunction("""COMPUTED_VALUE"""),FALSE())</f>
        <v>0</v>
      </c>
      <c r="AK412" s="53" t="b">
        <f aca="false">IFERROR(__xludf.dummyfunction("""COMPUTED_VALUE"""),FALSE())</f>
        <v>0</v>
      </c>
      <c r="AL412" s="53" t="b">
        <f aca="false">IFERROR(__xludf.dummyfunction("""COMPUTED_VALUE"""),FALSE())</f>
        <v>0</v>
      </c>
      <c r="AM412" s="53" t="b">
        <f aca="false">IFERROR(__xludf.dummyfunction("""COMPUTED_VALUE"""),TRUE())</f>
        <v>1</v>
      </c>
      <c r="AN412" s="53" t="b">
        <f aca="false">IFERROR(__xludf.dummyfunction("""COMPUTED_VALUE"""),TRUE())</f>
        <v>1</v>
      </c>
      <c r="AO412" s="46"/>
    </row>
    <row r="413" customFormat="false" ht="15.75" hidden="false" customHeight="true" outlineLevel="0" collapsed="false">
      <c r="A413" s="37" t="str">
        <f aca="false">IFERROR(__xludf.dummyfunction("""COMPUTED_VALUE"""),"Sinh học")</f>
        <v>Sinh học</v>
      </c>
      <c r="B413" s="37" t="str">
        <f aca="false">IFERROR(__xludf.dummyfunction("""COMPUTED_VALUE"""),"TOV_TSA_S06")</f>
        <v>TOV_TSA_S06</v>
      </c>
      <c r="C413" s="59" t="str">
        <f aca="false">IFERROR(__xludf.dummyfunction("""COMPUTED_VALUE"""),"Sinh trưởng, phát triển và sinh sản ở thực vật")</f>
        <v>Sinh trưởng, phát triển và sinh sản ở thực vật</v>
      </c>
      <c r="D413" s="39" t="str">
        <f aca="false">IFERROR(__xludf.dummyfunction("""COMPUTED_VALUE"""),"Vũ Khắc Ngọc")</f>
        <v>Vũ Khắc Ngọc</v>
      </c>
      <c r="E413" s="40" t="n">
        <f aca="false">IFERROR(__xludf.dummyfunction("""COMPUTED_VALUE"""),46270)</f>
        <v>46270</v>
      </c>
      <c r="F413" s="41" t="n">
        <f aca="false">IFERROR(__xludf.dummyfunction("""COMPUTED_VALUE"""),7)</f>
        <v>7</v>
      </c>
      <c r="G413" s="37" t="str">
        <f aca="false">IFERROR(__xludf.dummyfunction("""COMPUTED_VALUE"""),"21:30-23:30")</f>
        <v>21:30-23:30</v>
      </c>
      <c r="H413" s="37"/>
      <c r="I413" s="37"/>
      <c r="J413" s="37"/>
      <c r="K413" s="68" t="str">
        <f aca="false">IFERROR(__xludf.dummyfunction("""COMPUTED_VALUE"""),"Phuongdt")</f>
        <v>Phuongdt</v>
      </c>
      <c r="L413" s="68" t="str">
        <f aca="false">IFERROR(__xludf.dummyfunction("""COMPUTED_VALUE"""),"Bùi Vĩnh Thọ")</f>
        <v>Bùi Vĩnh Thọ</v>
      </c>
      <c r="M413" s="71"/>
      <c r="N413" s="77" t="str">
        <f aca="false">IFERROR(__xludf.dummyfunction("""COMPUTED_VALUE"""),"3110")</f>
        <v>3110</v>
      </c>
      <c r="O413" s="63" t="n">
        <f aca="false">IFERROR(__xludf.dummyfunction("""COMPUTED_VALUE"""),167268)</f>
        <v>167268</v>
      </c>
      <c r="P413" s="63"/>
      <c r="Q413" s="63"/>
      <c r="R413" s="41"/>
      <c r="S413" s="41"/>
      <c r="T413" s="63" t="n">
        <f aca="false">IFERROR(__xludf.dummyfunction("""COMPUTED_VALUE"""),23678)</f>
        <v>23678</v>
      </c>
      <c r="U413" s="63" t="n">
        <f aca="false">IFERROR(__xludf.dummyfunction("""COMPUTED_VALUE"""),10616)</f>
        <v>10616</v>
      </c>
      <c r="V413" s="70" t="n">
        <f aca="false">IFERROR(__xludf.dummyfunction("""COMPUTED_VALUE"""),46273)</f>
        <v>46273</v>
      </c>
      <c r="W413" s="39"/>
      <c r="X413" s="41" t="str">
        <f aca="false">IFERROR(__xludf.dummyfunction("""COMPUTED_VALUE"""),"Phuongdt")</f>
        <v>Phuongdt</v>
      </c>
      <c r="Y413" s="44" t="str">
        <f aca="false">IFERROR(__xludf.dummyfunction("""COMPUTED_VALUE"""),"done")</f>
        <v>done</v>
      </c>
      <c r="Z413" s="57" t="str">
        <f aca="false">IFERROR(__xludf.dummyfunction("""COMPUTED_VALUE"""),"#N/A")</f>
        <v>#N/A</v>
      </c>
      <c r="AA413" s="57"/>
      <c r="AB413" s="41" t="n">
        <f aca="false">IFERROR(__xludf.dummyfunction("""COMPUTED_VALUE"""),9)</f>
        <v>9</v>
      </c>
      <c r="AC413" s="57" t="str">
        <f aca="false">IFERROR(__xludf.dummyfunction("""COMPUTED_VALUE"""),"gv.ngocvk@hocmai.edu.vn")</f>
        <v>gv.ngocvk@hocmai.edu.vn</v>
      </c>
      <c r="AD413" s="46" t="str">
        <f aca="false">IFERROR(__xludf.dummyfunction("""COMPUTED_VALUE"""),"vinhtho0704@gmail.com")</f>
        <v>vinhtho0704@gmail.com</v>
      </c>
      <c r="AE413" s="46"/>
      <c r="AF413" s="74" t="b">
        <f aca="false">IFERROR(__xludf.dummyfunction("""COMPUTED_VALUE"""),FALSE())</f>
        <v>0</v>
      </c>
      <c r="AG413" s="46" t="str">
        <f aca="false">IFERROR(__xludf.dummyfunction("""COMPUTED_VALUE"""),"")</f>
        <v/>
      </c>
      <c r="AH413" s="35"/>
      <c r="AI413" s="53" t="b">
        <f aca="false">IFERROR(__xludf.dummyfunction("""COMPUTED_VALUE"""),TRUE())</f>
        <v>1</v>
      </c>
      <c r="AJ413" s="35"/>
      <c r="AK413" s="35"/>
      <c r="AL413" s="35"/>
      <c r="AM413" s="35"/>
      <c r="AN413" s="35"/>
      <c r="AO413" s="46"/>
    </row>
    <row r="414" customFormat="false" ht="15.75" hidden="false" customHeight="true" outlineLevel="0" collapsed="false">
      <c r="A414" s="37" t="str">
        <f aca="false">IFERROR(__xludf.dummyfunction("""COMPUTED_VALUE"""),"Khoa học")</f>
        <v>Khoa học</v>
      </c>
      <c r="B414" s="37" t="str">
        <f aca="false">IFERROR(__xludf.dummyfunction("""COMPUTED_VALUE"""),"TOS_V-ACT_KH12")</f>
        <v>TOS_V-ACT_KH12</v>
      </c>
      <c r="C414" s="59" t="str">
        <f aca="false">IFERROR(__xludf.dummyfunction("""COMPUTED_VALUE"""),"Thực hành kết nối thông tin đa tầng: Hình vẽ – Chú thích – Câu hỏi (P1).")</f>
        <v>Thực hành kết nối thông tin đa tầng: Hình vẽ – Chú thích – Câu hỏi (P1).</v>
      </c>
      <c r="D414" s="39" t="str">
        <f aca="false">IFERROR(__xludf.dummyfunction("""COMPUTED_VALUE"""),"Lê Văn Minh")</f>
        <v>Lê Văn Minh</v>
      </c>
      <c r="E414" s="40" t="n">
        <f aca="false">IFERROR(__xludf.dummyfunction("""COMPUTED_VALUE"""),46270)</f>
        <v>46270</v>
      </c>
      <c r="F414" s="41" t="n">
        <f aca="false">IFERROR(__xludf.dummyfunction("""COMPUTED_VALUE"""),7)</f>
        <v>7</v>
      </c>
      <c r="G414" s="37" t="str">
        <f aca="false">IFERROR(__xludf.dummyfunction("""COMPUTED_VALUE"""),"20:30-22:00")</f>
        <v>20:30-22:00</v>
      </c>
      <c r="H414" s="37"/>
      <c r="I414" s="37"/>
      <c r="J414" s="37"/>
      <c r="K414" s="68" t="str">
        <f aca="false">IFERROR(__xludf.dummyfunction("""COMPUTED_VALUE"""),"Kimnq")</f>
        <v>Kimnq</v>
      </c>
      <c r="L414" s="68" t="str">
        <f aca="false">IFERROR(__xludf.dummyfunction("""COMPUTED_VALUE"""),"Lê Quốc Việt")</f>
        <v>Lê Quốc Việt</v>
      </c>
      <c r="M414" s="71"/>
      <c r="N414" s="77" t="str">
        <f aca="false">IFERROR(__xludf.dummyfunction("""COMPUTED_VALUE"""),"3340,3126")</f>
        <v>3340,3126</v>
      </c>
      <c r="O414" s="73" t="n">
        <f aca="false">IFERROR(__xludf.dummyfunction("""COMPUTED_VALUE"""),167503.16739)</f>
        <v>167503.16739</v>
      </c>
      <c r="P414" s="63"/>
      <c r="Q414" s="63"/>
      <c r="R414" s="41"/>
      <c r="S414" s="41"/>
      <c r="T414" s="63"/>
      <c r="U414" s="63"/>
      <c r="V414" s="70" t="n">
        <f aca="false">IFERROR(__xludf.dummyfunction("""COMPUTED_VALUE"""),46273)</f>
        <v>46273</v>
      </c>
      <c r="W414" s="39"/>
      <c r="X414" s="41" t="str">
        <f aca="false">IFERROR(__xludf.dummyfunction("""COMPUTED_VALUE"""),"Kimnq")</f>
        <v>Kimnq</v>
      </c>
      <c r="Y414" s="44" t="str">
        <f aca="false">IFERROR(__xludf.dummyfunction("""COMPUTED_VALUE"""),"done")</f>
        <v>done</v>
      </c>
      <c r="Z414" s="57" t="str">
        <f aca="false">IFERROR(__xludf.dummyfunction("""COMPUTED_VALUE"""),"#N/A")</f>
        <v>#N/A</v>
      </c>
      <c r="AA414" s="57"/>
      <c r="AB414" s="41" t="n">
        <f aca="false">IFERROR(__xludf.dummyfunction("""COMPUTED_VALUE"""),9)</f>
        <v>9</v>
      </c>
      <c r="AC414" s="57" t="str">
        <f aca="false">IFERROR(__xludf.dummyfunction("""COMPUTED_VALUE"""),"gv.minhlv@hocmai.edu.vn		")</f>
        <v>gv.minhlv@hocmai.edu.vn		</v>
      </c>
      <c r="AD414" s="46" t="str">
        <f aca="false">IFERROR(__xludf.dummyfunction("""COMPUTED_VALUE"""),"Ralph02091@gmail.com")</f>
        <v>Ralph02091@gmail.com</v>
      </c>
      <c r="AE414" s="46"/>
      <c r="AF414" s="47" t="str">
        <f aca="false">IFERROR(__xludf.dummyfunction("""COMPUTED_VALUE"""),"lophoctoan-946270")</f>
        <v>lophoctoan-946270</v>
      </c>
      <c r="AG414" s="46" t="str">
        <f aca="false">IFERROR(__xludf.dummyfunction("""COMPUTED_VALUE"""),"")</f>
        <v/>
      </c>
      <c r="AH414" s="35"/>
      <c r="AI414" s="35"/>
      <c r="AJ414" s="35"/>
      <c r="AK414" s="35"/>
      <c r="AL414" s="35"/>
      <c r="AM414" s="53" t="b">
        <f aca="false">IFERROR(__xludf.dummyfunction("""COMPUTED_VALUE"""),TRUE())</f>
        <v>1</v>
      </c>
      <c r="AN414" s="53" t="b">
        <f aca="false">IFERROR(__xludf.dummyfunction("""COMPUTED_VALUE"""),TRUE())</f>
        <v>1</v>
      </c>
      <c r="AO414" s="46"/>
    </row>
    <row r="415" customFormat="false" ht="15.75" hidden="false" customHeight="true" outlineLevel="0" collapsed="false">
      <c r="A415" s="37" t="str">
        <f aca="false">IFERROR(__xludf.dummyfunction("""COMPUTED_VALUE"""),"Thực chiến Khoa học")</f>
        <v>Thực chiến Khoa học</v>
      </c>
      <c r="B415" s="37" t="str">
        <f aca="false">IFERROR(__xludf.dummyfunction("""COMPUTED_VALUE"""),"TC_TSA_KH_27")</f>
        <v>TC_TSA_KH_27</v>
      </c>
      <c r="C415" s="59" t="str">
        <f aca="false">IFERROR(__xludf.dummyfunction("""COMPUTED_VALUE"""),"[Bổ trợ]_Chữa bài tập TSA_Tư duy Khoa học số 26")</f>
        <v>[Bổ trợ]_Chữa bài tập TSA_Tư duy Khoa học số 26</v>
      </c>
      <c r="D415" s="39" t="str">
        <f aca="false">IFERROR(__xludf.dummyfunction("""COMPUTED_VALUE"""),"Nguyễn Trọng Trường Anh")</f>
        <v>Nguyễn Trọng Trường Anh</v>
      </c>
      <c r="E415" s="40" t="n">
        <f aca="false">IFERROR(__xludf.dummyfunction("""COMPUTED_VALUE"""),46270)</f>
        <v>46270</v>
      </c>
      <c r="F415" s="41" t="n">
        <f aca="false">IFERROR(__xludf.dummyfunction("""COMPUTED_VALUE"""),7)</f>
        <v>7</v>
      </c>
      <c r="G415" s="37" t="str">
        <f aca="false">IFERROR(__xludf.dummyfunction("""COMPUTED_VALUE"""),"19:00-20:00")</f>
        <v>19:00-20:00</v>
      </c>
      <c r="H415" s="37"/>
      <c r="I415" s="37"/>
      <c r="J415" s="37"/>
      <c r="K415" s="68" t="str">
        <f aca="false">IFERROR(__xludf.dummyfunction("""COMPUTED_VALUE"""),"Trangnth2")</f>
        <v>Trangnth2</v>
      </c>
      <c r="L415" s="68" t="str">
        <f aca="false">IFERROR(__xludf.dummyfunction("""COMPUTED_VALUE"""),"HOCMAI")</f>
        <v>HOCMAI</v>
      </c>
      <c r="M415" s="71"/>
      <c r="N415" s="77" t="str">
        <f aca="false">IFERROR(__xludf.dummyfunction("""COMPUTED_VALUE"""),"3110")</f>
        <v>3110</v>
      </c>
      <c r="O415" s="63" t="n">
        <f aca="false">IFERROR(__xludf.dummyfunction("""COMPUTED_VALUE"""),176079)</f>
        <v>176079</v>
      </c>
      <c r="P415" s="60" t="str">
        <f aca="false">IFERROR(__xludf.dummyfunction("""COMPUTED_VALUE"""),"https://hocmai.vn/bai-giang-truc-tuyen/176079/.html")</f>
        <v>https://hocmai.vn/bai-giang-truc-tuyen/176079/.html</v>
      </c>
      <c r="Q415" s="63"/>
      <c r="R415" s="41"/>
      <c r="S415" s="41"/>
      <c r="T415" s="63"/>
      <c r="U415" s="63"/>
      <c r="V415" s="70" t="n">
        <f aca="false">IFERROR(__xludf.dummyfunction("""COMPUTED_VALUE"""),46273)</f>
        <v>46273</v>
      </c>
      <c r="W415" s="39"/>
      <c r="X415" s="41" t="str">
        <f aca="false">IFERROR(__xludf.dummyfunction("""COMPUTED_VALUE"""),"Vuta")</f>
        <v>Vuta</v>
      </c>
      <c r="Y415" s="44"/>
      <c r="Z415" s="57"/>
      <c r="AA415" s="57"/>
      <c r="AB415" s="41" t="n">
        <f aca="false">IFERROR(__xludf.dummyfunction("""COMPUTED_VALUE"""),9)</f>
        <v>9</v>
      </c>
      <c r="AC415" s="57" t="str">
        <f aca="false">IFERROR(__xludf.dummyfunction("""COMPUTED_VALUE"""),"thochi1981@gmail.com")</f>
        <v>thochi1981@gmail.com</v>
      </c>
      <c r="AD415" s="46"/>
      <c r="AE415" s="46"/>
      <c r="AF415" s="47"/>
      <c r="AG415" s="46"/>
      <c r="AH415" s="53" t="b">
        <f aca="false">IFERROR(__xludf.dummyfunction("""COMPUTED_VALUE"""),FALSE())</f>
        <v>0</v>
      </c>
      <c r="AI415" s="53" t="b">
        <f aca="false">IFERROR(__xludf.dummyfunction("""COMPUTED_VALUE"""),TRUE())</f>
        <v>1</v>
      </c>
      <c r="AJ415" s="53" t="b">
        <f aca="false">IFERROR(__xludf.dummyfunction("""COMPUTED_VALUE"""),FALSE())</f>
        <v>0</v>
      </c>
      <c r="AK415" s="53" t="b">
        <f aca="false">IFERROR(__xludf.dummyfunction("""COMPUTED_VALUE"""),FALSE())</f>
        <v>0</v>
      </c>
      <c r="AL415" s="53" t="b">
        <f aca="false">IFERROR(__xludf.dummyfunction("""COMPUTED_VALUE"""),FALSE())</f>
        <v>0</v>
      </c>
      <c r="AM415" s="53" t="b">
        <f aca="false">IFERROR(__xludf.dummyfunction("""COMPUTED_VALUE"""),FALSE())</f>
        <v>0</v>
      </c>
      <c r="AN415" s="53" t="b">
        <f aca="false">IFERROR(__xludf.dummyfunction("""COMPUTED_VALUE"""),FALSE())</f>
        <v>0</v>
      </c>
      <c r="AO415" s="46"/>
    </row>
    <row r="416" customFormat="false" ht="15.75" hidden="false" customHeight="true" outlineLevel="0" collapsed="false">
      <c r="A416" s="37" t="str">
        <f aca="false">IFERROR(__xludf.dummyfunction("""COMPUTED_VALUE"""),"Thực chiến Định lượng")</f>
        <v>Thực chiến Định lượng</v>
      </c>
      <c r="B416" s="37" t="str">
        <f aca="false">IFERROR(__xludf.dummyfunction("""COMPUTED_VALUE"""),"TC_HSA_ĐL_22")</f>
        <v>TC_HSA_ĐL_22</v>
      </c>
      <c r="C416" s="59" t="str">
        <f aca="false">IFERROR(__xludf.dummyfunction("""COMPUTED_VALUE"""),"[Bổ trợ]_Chữa bài tập _Tư duy Định lượng số 21")</f>
        <v>[Bổ trợ]_Chữa bài tập _Tư duy Định lượng số 21</v>
      </c>
      <c r="D416" s="39" t="str">
        <f aca="false">IFERROR(__xludf.dummyfunction("""COMPUTED_VALUE"""),"Vi Vũ Trí Đức")</f>
        <v>Vi Vũ Trí Đức</v>
      </c>
      <c r="E416" s="40" t="n">
        <f aca="false">IFERROR(__xludf.dummyfunction("""COMPUTED_VALUE"""),46270)</f>
        <v>46270</v>
      </c>
      <c r="F416" s="41" t="n">
        <f aca="false">IFERROR(__xludf.dummyfunction("""COMPUTED_VALUE"""),7)</f>
        <v>7</v>
      </c>
      <c r="G416" s="37" t="str">
        <f aca="false">IFERROR(__xludf.dummyfunction("""COMPUTED_VALUE"""),"21:00-22:00")</f>
        <v>21:00-22:00</v>
      </c>
      <c r="H416" s="37"/>
      <c r="I416" s="37"/>
      <c r="J416" s="37"/>
      <c r="K416" s="68" t="str">
        <f aca="false">IFERROR(__xludf.dummyfunction("""COMPUTED_VALUE"""),"Locdd")</f>
        <v>Locdd</v>
      </c>
      <c r="L416" s="68" t="str">
        <f aca="false">IFERROR(__xludf.dummyfunction("""COMPUTED_VALUE"""),"HOCMAI")</f>
        <v>HOCMAI</v>
      </c>
      <c r="M416" s="71"/>
      <c r="N416" s="77" t="str">
        <f aca="false">IFERROR(__xludf.dummyfunction("""COMPUTED_VALUE"""),"3117")</f>
        <v>3117</v>
      </c>
      <c r="O416" s="63" t="n">
        <f aca="false">IFERROR(__xludf.dummyfunction("""COMPUTED_VALUE"""),176134)</f>
        <v>176134</v>
      </c>
      <c r="P416" s="60" t="str">
        <f aca="false">IFERROR(__xludf.dummyfunction("""COMPUTED_VALUE"""),"https://hocmai.vn/bai-giang-truc-tuyen/176134/.html")</f>
        <v>https://hocmai.vn/bai-giang-truc-tuyen/176134/.html</v>
      </c>
      <c r="Q416" s="63"/>
      <c r="R416" s="41"/>
      <c r="S416" s="41"/>
      <c r="T416" s="63"/>
      <c r="U416" s="63"/>
      <c r="V416" s="70" t="n">
        <f aca="false">IFERROR(__xludf.dummyfunction("""COMPUTED_VALUE"""),46273)</f>
        <v>46273</v>
      </c>
      <c r="W416" s="39"/>
      <c r="X416" s="41" t="str">
        <f aca="false">IFERROR(__xludf.dummyfunction("""COMPUTED_VALUE"""),"Vuta")</f>
        <v>Vuta</v>
      </c>
      <c r="Y416" s="44"/>
      <c r="Z416" s="57"/>
      <c r="AA416" s="57"/>
      <c r="AB416" s="41" t="n">
        <f aca="false">IFERROR(__xludf.dummyfunction("""COMPUTED_VALUE"""),9)</f>
        <v>9</v>
      </c>
      <c r="AC416" s="57" t="str">
        <f aca="false">IFERROR(__xludf.dummyfunction("""COMPUTED_VALUE"""),"tdstawesome@gmail.com")</f>
        <v>tdstawesome@gmail.com</v>
      </c>
      <c r="AD416" s="46"/>
      <c r="AE416" s="46"/>
      <c r="AF416" s="47"/>
      <c r="AG416" s="46"/>
      <c r="AH416" s="53" t="b">
        <f aca="false">IFERROR(__xludf.dummyfunction("""COMPUTED_VALUE"""),FALSE())</f>
        <v>0</v>
      </c>
      <c r="AI416" s="53" t="b">
        <f aca="false">IFERROR(__xludf.dummyfunction("""COMPUTED_VALUE"""),FALSE())</f>
        <v>0</v>
      </c>
      <c r="AJ416" s="53" t="b">
        <f aca="false">IFERROR(__xludf.dummyfunction("""COMPUTED_VALUE"""),TRUE())</f>
        <v>1</v>
      </c>
      <c r="AK416" s="53" t="b">
        <f aca="false">IFERROR(__xludf.dummyfunction("""COMPUTED_VALUE"""),TRUE())</f>
        <v>1</v>
      </c>
      <c r="AL416" s="53" t="b">
        <f aca="false">IFERROR(__xludf.dummyfunction("""COMPUTED_VALUE"""),FALSE())</f>
        <v>0</v>
      </c>
      <c r="AM416" s="53" t="b">
        <f aca="false">IFERROR(__xludf.dummyfunction("""COMPUTED_VALUE"""),FALSE())</f>
        <v>0</v>
      </c>
      <c r="AN416" s="53" t="b">
        <f aca="false">IFERROR(__xludf.dummyfunction("""COMPUTED_VALUE"""),FALSE())</f>
        <v>0</v>
      </c>
      <c r="AO416" s="46"/>
    </row>
    <row r="417" customFormat="false" ht="15.75" hidden="false" customHeight="true" outlineLevel="0" collapsed="false">
      <c r="A417" s="37" t="str">
        <f aca="false">IFERROR(__xludf.dummyfunction("""COMPUTED_VALUE"""),"Thực chiến Tiếng Việt")</f>
        <v>Thực chiến Tiếng Việt</v>
      </c>
      <c r="B417" s="37" t="str">
        <f aca="false">IFERROR(__xludf.dummyfunction("""COMPUTED_VALUE"""),"TC_V-ACT_TV_16")</f>
        <v>TC_V-ACT_TV_16</v>
      </c>
      <c r="C417" s="59" t="str">
        <f aca="false">IFERROR(__xludf.dummyfunction("""COMPUTED_VALUE"""),"[Bổ trợ]_Chữa bài tập_V-ACT_Tiếng Việt số 15")</f>
        <v>[Bổ trợ]_Chữa bài tập_V-ACT_Tiếng Việt số 15</v>
      </c>
      <c r="D417" s="39" t="str">
        <f aca="false">IFERROR(__xludf.dummyfunction("""COMPUTED_VALUE"""),"Nguyễn Thị Khánh Ly")</f>
        <v>Nguyễn Thị Khánh Ly</v>
      </c>
      <c r="E417" s="40" t="n">
        <f aca="false">IFERROR(__xludf.dummyfunction("""COMPUTED_VALUE"""),46270)</f>
        <v>46270</v>
      </c>
      <c r="F417" s="41" t="n">
        <f aca="false">IFERROR(__xludf.dummyfunction("""COMPUTED_VALUE"""),7)</f>
        <v>7</v>
      </c>
      <c r="G417" s="37" t="str">
        <f aca="false">IFERROR(__xludf.dummyfunction("""COMPUTED_VALUE"""),"19:00-20:00")</f>
        <v>19:00-20:00</v>
      </c>
      <c r="H417" s="37"/>
      <c r="I417" s="37"/>
      <c r="J417" s="37"/>
      <c r="K417" s="68" t="str">
        <f aca="false">IFERROR(__xludf.dummyfunction("""COMPUTED_VALUE"""),"Hoantt")</f>
        <v>Hoantt</v>
      </c>
      <c r="L417" s="68" t="str">
        <f aca="false">IFERROR(__xludf.dummyfunction("""COMPUTED_VALUE"""),"HOCMAI")</f>
        <v>HOCMAI</v>
      </c>
      <c r="M417" s="71"/>
      <c r="N417" s="77" t="str">
        <f aca="false">IFERROR(__xludf.dummyfunction("""COMPUTED_VALUE"""),"3125")</f>
        <v>3125</v>
      </c>
      <c r="O417" s="63" t="n">
        <f aca="false">IFERROR(__xludf.dummyfunction("""COMPUTED_VALUE"""),176120)</f>
        <v>176120</v>
      </c>
      <c r="P417" s="60" t="str">
        <f aca="false">IFERROR(__xludf.dummyfunction("""COMPUTED_VALUE"""),"https://hocmai.vn/bai-giang-truc-tuyen/176120/.html")</f>
        <v>https://hocmai.vn/bai-giang-truc-tuyen/176120/.html</v>
      </c>
      <c r="Q417" s="63"/>
      <c r="R417" s="41"/>
      <c r="S417" s="41"/>
      <c r="T417" s="63"/>
      <c r="U417" s="63"/>
      <c r="V417" s="70" t="n">
        <f aca="false">IFERROR(__xludf.dummyfunction("""COMPUTED_VALUE"""),46273)</f>
        <v>46273</v>
      </c>
      <c r="W417" s="39"/>
      <c r="X417" s="41" t="str">
        <f aca="false">IFERROR(__xludf.dummyfunction("""COMPUTED_VALUE"""),"Vuta")</f>
        <v>Vuta</v>
      </c>
      <c r="Y417" s="44"/>
      <c r="Z417" s="57"/>
      <c r="AA417" s="57"/>
      <c r="AB417" s="41" t="n">
        <f aca="false">IFERROR(__xludf.dummyfunction("""COMPUTED_VALUE"""),9)</f>
        <v>9</v>
      </c>
      <c r="AC417" s="57" t="str">
        <f aca="false">IFERROR(__xludf.dummyfunction("""COMPUTED_VALUE"""),"khanhly16092003@gmail.com")</f>
        <v>khanhly16092003@gmail.com</v>
      </c>
      <c r="AD417" s="46"/>
      <c r="AE417" s="46"/>
      <c r="AF417" s="47"/>
      <c r="AG417" s="46"/>
      <c r="AH417" s="53" t="b">
        <f aca="false">IFERROR(__xludf.dummyfunction("""COMPUTED_VALUE"""),FALSE())</f>
        <v>0</v>
      </c>
      <c r="AI417" s="53" t="b">
        <f aca="false">IFERROR(__xludf.dummyfunction("""COMPUTED_VALUE"""),FALSE())</f>
        <v>0</v>
      </c>
      <c r="AJ417" s="53" t="b">
        <f aca="false">IFERROR(__xludf.dummyfunction("""COMPUTED_VALUE"""),FALSE())</f>
        <v>0</v>
      </c>
      <c r="AK417" s="53" t="b">
        <f aca="false">IFERROR(__xludf.dummyfunction("""COMPUTED_VALUE"""),FALSE())</f>
        <v>0</v>
      </c>
      <c r="AL417" s="53" t="b">
        <f aca="false">IFERROR(__xludf.dummyfunction("""COMPUTED_VALUE"""),FALSE())</f>
        <v>0</v>
      </c>
      <c r="AM417" s="53" t="b">
        <f aca="false">IFERROR(__xludf.dummyfunction("""COMPUTED_VALUE"""),TRUE())</f>
        <v>1</v>
      </c>
      <c r="AN417" s="53" t="b">
        <f aca="false">IFERROR(__xludf.dummyfunction("""COMPUTED_VALUE"""),TRUE())</f>
        <v>1</v>
      </c>
      <c r="AO417" s="46"/>
    </row>
    <row r="418" customFormat="false" ht="15.75" hidden="false" customHeight="true" outlineLevel="0" collapsed="false">
      <c r="A418" s="37" t="str">
        <f aca="false">IFERROR(__xludf.dummyfunction("""COMPUTED_VALUE"""),"Toán")</f>
        <v>Toán</v>
      </c>
      <c r="B418" s="37" t="str">
        <f aca="false">IFERROR(__xludf.dummyfunction("""COMPUTED_VALUE"""),"NT_N_21")</f>
        <v>NT_N_21</v>
      </c>
      <c r="C418" s="59" t="str">
        <f aca="false">IFERROR(__xludf.dummyfunction("""COMPUTED_VALUE"""),"Tích phân và phương pháp tính")</f>
        <v>Tích phân và phương pháp tính</v>
      </c>
      <c r="D418" s="39" t="str">
        <f aca="false">IFERROR(__xludf.dummyfunction("""COMPUTED_VALUE"""),"Nguyễn Hoài Nam")</f>
        <v>Nguyễn Hoài Nam</v>
      </c>
      <c r="E418" s="40" t="n">
        <f aca="false">IFERROR(__xludf.dummyfunction("""COMPUTED_VALUE"""),46271)</f>
        <v>46271</v>
      </c>
      <c r="F418" s="41" t="str">
        <f aca="false">IFERROR(__xludf.dummyfunction("""COMPUTED_VALUE"""),"CN")</f>
        <v>CN</v>
      </c>
      <c r="G418" s="37" t="str">
        <f aca="false">IFERROR(__xludf.dummyfunction("""COMPUTED_VALUE"""),"21:00-22:30")</f>
        <v>21:00-22:30</v>
      </c>
      <c r="H418" s="37"/>
      <c r="I418" s="37"/>
      <c r="J418" s="37"/>
      <c r="K418" s="68" t="str">
        <f aca="false">IFERROR(__xludf.dummyfunction("""COMPUTED_VALUE"""),"lent")</f>
        <v>lent</v>
      </c>
      <c r="L418" s="68" t="str">
        <f aca="false">IFERROR(__xludf.dummyfunction("""COMPUTED_VALUE"""),"Tưởng Thị Huyền Trang")</f>
        <v>Tưởng Thị Huyền Trang</v>
      </c>
      <c r="M418" s="69" t="str">
        <f aca="false">IFERROR(__xludf.dummyfunction("""COMPUTED_VALUE"""),"https://hocmai.sharepoint.com/Education_Development/Lists/San_xuat_video/DispForm.aspx?ID=12208")</f>
        <v>https://hocmai.sharepoint.com/Education_Development/Lists/San_xuat_video/DispForm.aspx?ID=12208</v>
      </c>
      <c r="N418" s="78" t="n">
        <f aca="false">IFERROR(__xludf.dummyfunction("""COMPUTED_VALUE"""),3313)</f>
        <v>3313</v>
      </c>
      <c r="O418" s="63" t="n">
        <f aca="false">IFERROR(__xludf.dummyfunction("""COMPUTED_VALUE"""),166645)</f>
        <v>166645</v>
      </c>
      <c r="P418" s="63"/>
      <c r="Q418" s="63" t="n">
        <f aca="false">IFERROR(__xludf.dummyfunction("""COMPUTED_VALUE"""),8041)</f>
        <v>8041</v>
      </c>
      <c r="R418" s="41"/>
      <c r="S418" s="41"/>
      <c r="T418" s="63" t="n">
        <f aca="false">IFERROR(__xludf.dummyfunction("""COMPUTED_VALUE"""),8042)</f>
        <v>8042</v>
      </c>
      <c r="U418" s="63"/>
      <c r="V418" s="70" t="n">
        <f aca="false">IFERROR(__xludf.dummyfunction("""COMPUTED_VALUE"""),46273)</f>
        <v>46273</v>
      </c>
      <c r="W418" s="39"/>
      <c r="X418" s="41" t="str">
        <f aca="false">IFERROR(__xludf.dummyfunction("""COMPUTED_VALUE"""),"Huent7")</f>
        <v>Huent7</v>
      </c>
      <c r="Y418" s="44"/>
      <c r="Z418" s="57"/>
      <c r="AA418" s="57"/>
      <c r="AB418" s="41" t="n">
        <f aca="false">IFERROR(__xludf.dummyfunction("""COMPUTED_VALUE"""),9)</f>
        <v>9</v>
      </c>
      <c r="AC418" s="57"/>
      <c r="AD418" s="46"/>
      <c r="AE418" s="46"/>
      <c r="AF418" s="47" t="str">
        <f aca="false">IFERROR(__xludf.dummyfunction("""COMPUTED_VALUE"""),"lophoctoan-946271")</f>
        <v>lophoctoan-946271</v>
      </c>
      <c r="AG418" s="46" t="str">
        <f aca="false">IFERROR(__xludf.dummyfunction("""COMPUTED_VALUE"""),"")</f>
        <v/>
      </c>
      <c r="AH418" s="53" t="b">
        <f aca="false">IFERROR(__xludf.dummyfunction("""COMPUTED_VALUE"""),TRUE())</f>
        <v>1</v>
      </c>
      <c r="AI418" s="35"/>
      <c r="AJ418" s="35"/>
      <c r="AK418" s="35"/>
      <c r="AL418" s="35"/>
      <c r="AM418" s="35"/>
      <c r="AN418" s="35"/>
      <c r="AO418" s="46"/>
    </row>
    <row r="419" customFormat="false" ht="15.75" hidden="false" customHeight="true" outlineLevel="0" collapsed="false">
      <c r="A419" s="37" t="str">
        <f aca="false">IFERROR(__xludf.dummyfunction("""COMPUTED_VALUE"""),"Toán")</f>
        <v>Toán</v>
      </c>
      <c r="B419" s="37" t="str">
        <f aca="false">IFERROR(__xludf.dummyfunction("""COMPUTED_VALUE"""),"NT_T_37")</f>
        <v>NT_T_37</v>
      </c>
      <c r="C419" s="59" t="str">
        <f aca="false">IFERROR(__xludf.dummyfunction("""COMPUTED_VALUE"""),"Vị trí tương đối giữa ĐT – MP – MC")</f>
        <v>Vị trí tương đối giữa ĐT – MP – MC</v>
      </c>
      <c r="D419" s="39" t="str">
        <f aca="false">IFERROR(__xludf.dummyfunction("""COMPUTED_VALUE"""),"Nguyễn Thanh Tùng")</f>
        <v>Nguyễn Thanh Tùng</v>
      </c>
      <c r="E419" s="40" t="n">
        <f aca="false">IFERROR(__xludf.dummyfunction("""COMPUTED_VALUE"""),46271)</f>
        <v>46271</v>
      </c>
      <c r="F419" s="41" t="str">
        <f aca="false">IFERROR(__xludf.dummyfunction("""COMPUTED_VALUE"""),"CN")</f>
        <v>CN</v>
      </c>
      <c r="G419" s="37" t="str">
        <f aca="false">IFERROR(__xludf.dummyfunction("""COMPUTED_VALUE"""),"18:00-20:00")</f>
        <v>18:00-20:00</v>
      </c>
      <c r="H419" s="37"/>
      <c r="I419" s="37"/>
      <c r="J419" s="62"/>
      <c r="K419" s="68" t="str">
        <f aca="false">IFERROR(__xludf.dummyfunction("""COMPUTED_VALUE"""),"Khanhnl")</f>
        <v>Khanhnl</v>
      </c>
      <c r="L419" s="68" t="str">
        <f aca="false">IFERROR(__xludf.dummyfunction("""COMPUTED_VALUE"""),"Tưởng Thị Huyền Trang")</f>
        <v>Tưởng Thị Huyền Trang</v>
      </c>
      <c r="M419" s="69" t="str">
        <f aca="false">IFERROR(__xludf.dummyfunction("""COMPUTED_VALUE"""),"https://hocmai.sharepoint.com/Education_Development/Lists/San_xuat_video/DispForm.aspx?ID=12176")</f>
        <v>https://hocmai.sharepoint.com/Education_Development/Lists/San_xuat_video/DispForm.aspx?ID=12176</v>
      </c>
      <c r="N419" s="63" t="n">
        <f aca="false">IFERROR(__xludf.dummyfunction("""COMPUTED_VALUE"""),3312)</f>
        <v>3312</v>
      </c>
      <c r="O419" s="63" t="n">
        <f aca="false">IFERROR(__xludf.dummyfunction("""COMPUTED_VALUE"""),166570)</f>
        <v>166570</v>
      </c>
      <c r="P419" s="63"/>
      <c r="Q419" s="63" t="n">
        <f aca="false">IFERROR(__xludf.dummyfunction("""COMPUTED_VALUE"""),7957)</f>
        <v>7957</v>
      </c>
      <c r="R419" s="41"/>
      <c r="S419" s="41"/>
      <c r="T419" s="63" t="n">
        <f aca="false">IFERROR(__xludf.dummyfunction("""COMPUTED_VALUE"""),7958)</f>
        <v>7958</v>
      </c>
      <c r="U419" s="63"/>
      <c r="V419" s="70" t="n">
        <f aca="false">IFERROR(__xludf.dummyfunction("""COMPUTED_VALUE"""),46281)</f>
        <v>46281</v>
      </c>
      <c r="W419" s="39"/>
      <c r="X419" s="41" t="str">
        <f aca="false">IFERROR(__xludf.dummyfunction("""COMPUTED_VALUE"""),"Huent7")</f>
        <v>Huent7</v>
      </c>
      <c r="Y419" s="44"/>
      <c r="Z419" s="57"/>
      <c r="AA419" s="57"/>
      <c r="AB419" s="41" t="n">
        <f aca="false">IFERROR(__xludf.dummyfunction("""COMPUTED_VALUE"""),9)</f>
        <v>9</v>
      </c>
      <c r="AC419" s="57"/>
      <c r="AD419" s="46"/>
      <c r="AE419" s="46"/>
      <c r="AF419" s="47" t="str">
        <f aca="false">IFERROR(__xludf.dummyfunction("""COMPUTED_VALUE"""),"lophoctoan-946271")</f>
        <v>lophoctoan-946271</v>
      </c>
      <c r="AG419" s="46" t="str">
        <f aca="false">IFERROR(__xludf.dummyfunction("""COMPUTED_VALUE"""),"")</f>
        <v/>
      </c>
      <c r="AH419" s="53" t="b">
        <f aca="false">IFERROR(__xludf.dummyfunction("""COMPUTED_VALUE"""),TRUE())</f>
        <v>1</v>
      </c>
      <c r="AI419" s="35"/>
      <c r="AJ419" s="35"/>
      <c r="AK419" s="35"/>
      <c r="AL419" s="35"/>
      <c r="AM419" s="35"/>
      <c r="AN419" s="35"/>
      <c r="AO419" s="46"/>
    </row>
    <row r="420" customFormat="false" ht="15.75" hidden="false" customHeight="true" outlineLevel="0" collapsed="false">
      <c r="A420" s="37" t="str">
        <f aca="false">IFERROR(__xludf.dummyfunction("""COMPUTED_VALUE"""),"Thực chiến Toán")</f>
        <v>Thực chiến Toán</v>
      </c>
      <c r="B420" s="37" t="str">
        <f aca="false">IFERROR(__xludf.dummyfunction("""COMPUTED_VALUE"""),"TC_TSA_T_26")</f>
        <v>TC_TSA_T_26</v>
      </c>
      <c r="C420" s="59" t="str">
        <f aca="false">IFERROR(__xludf.dummyfunction("""COMPUTED_VALUE"""),"[Bổ trợ]_Chữa bài tập TSA_Tư duy Toán học số 25")</f>
        <v>[Bổ trợ]_Chữa bài tập TSA_Tư duy Toán học số 25</v>
      </c>
      <c r="D420" s="39" t="str">
        <f aca="false">IFERROR(__xludf.dummyfunction("""COMPUTED_VALUE"""),"Phạm Huy Hoàng")</f>
        <v>Phạm Huy Hoàng</v>
      </c>
      <c r="E420" s="40" t="n">
        <f aca="false">IFERROR(__xludf.dummyfunction("""COMPUTED_VALUE"""),46271)</f>
        <v>46271</v>
      </c>
      <c r="F420" s="41" t="str">
        <f aca="false">IFERROR(__xludf.dummyfunction("""COMPUTED_VALUE"""),"CN")</f>
        <v>CN</v>
      </c>
      <c r="G420" s="37" t="str">
        <f aca="false">IFERROR(__xludf.dummyfunction("""COMPUTED_VALUE"""),"15:00-16:00")</f>
        <v>15:00-16:00</v>
      </c>
      <c r="H420" s="37"/>
      <c r="I420" s="37"/>
      <c r="J420" s="37"/>
      <c r="K420" s="68" t="str">
        <f aca="false">IFERROR(__xludf.dummyfunction("""COMPUTED_VALUE"""),"Locdd")</f>
        <v>Locdd</v>
      </c>
      <c r="L420" s="68" t="str">
        <f aca="false">IFERROR(__xludf.dummyfunction("""COMPUTED_VALUE"""),"HOCMAI")</f>
        <v>HOCMAI</v>
      </c>
      <c r="M420" s="71"/>
      <c r="N420" s="77" t="str">
        <f aca="false">IFERROR(__xludf.dummyfunction("""COMPUTED_VALUE"""),"3108")</f>
        <v>3108</v>
      </c>
      <c r="O420" s="63" t="n">
        <f aca="false">IFERROR(__xludf.dummyfunction("""COMPUTED_VALUE"""),176057)</f>
        <v>176057</v>
      </c>
      <c r="P420" s="60" t="str">
        <f aca="false">IFERROR(__xludf.dummyfunction("""COMPUTED_VALUE"""),"https://hocmai.vn/bai-giang-truc-tuyen/176057/.html")</f>
        <v>https://hocmai.vn/bai-giang-truc-tuyen/176057/.html</v>
      </c>
      <c r="Q420" s="63"/>
      <c r="R420" s="41"/>
      <c r="S420" s="41"/>
      <c r="T420" s="63"/>
      <c r="U420" s="63"/>
      <c r="V420" s="70" t="n">
        <f aca="false">IFERROR(__xludf.dummyfunction("""COMPUTED_VALUE"""),46274)</f>
        <v>46274</v>
      </c>
      <c r="W420" s="39"/>
      <c r="X420" s="41" t="str">
        <f aca="false">IFERROR(__xludf.dummyfunction("""COMPUTED_VALUE"""),"Vuta")</f>
        <v>Vuta</v>
      </c>
      <c r="Y420" s="44"/>
      <c r="Z420" s="57"/>
      <c r="AA420" s="57"/>
      <c r="AB420" s="41" t="n">
        <f aca="false">IFERROR(__xludf.dummyfunction("""COMPUTED_VALUE"""),9)</f>
        <v>9</v>
      </c>
      <c r="AC420" s="57" t="str">
        <f aca="false">IFERROR(__xludf.dummyfunction("""COMPUTED_VALUE"""),"0376611308")</f>
        <v>0376611308</v>
      </c>
      <c r="AD420" s="46"/>
      <c r="AE420" s="46"/>
      <c r="AF420" s="47"/>
      <c r="AG420" s="46"/>
      <c r="AH420" s="53" t="b">
        <f aca="false">IFERROR(__xludf.dummyfunction("""COMPUTED_VALUE"""),FALSE())</f>
        <v>0</v>
      </c>
      <c r="AI420" s="53" t="b">
        <f aca="false">IFERROR(__xludf.dummyfunction("""COMPUTED_VALUE"""),TRUE())</f>
        <v>1</v>
      </c>
      <c r="AJ420" s="53" t="b">
        <f aca="false">IFERROR(__xludf.dummyfunction("""COMPUTED_VALUE"""),FALSE())</f>
        <v>0</v>
      </c>
      <c r="AK420" s="53" t="b">
        <f aca="false">IFERROR(__xludf.dummyfunction("""COMPUTED_VALUE"""),FALSE())</f>
        <v>0</v>
      </c>
      <c r="AL420" s="53" t="b">
        <f aca="false">IFERROR(__xludf.dummyfunction("""COMPUTED_VALUE"""),FALSE())</f>
        <v>0</v>
      </c>
      <c r="AM420" s="53" t="b">
        <f aca="false">IFERROR(__xludf.dummyfunction("""COMPUTED_VALUE"""),FALSE())</f>
        <v>0</v>
      </c>
      <c r="AN420" s="53" t="b">
        <f aca="false">IFERROR(__xludf.dummyfunction("""COMPUTED_VALUE"""),FALSE())</f>
        <v>0</v>
      </c>
      <c r="AO420" s="46"/>
    </row>
    <row r="421" customFormat="false" ht="15.75" hidden="false" customHeight="true" outlineLevel="0" collapsed="false">
      <c r="A421" s="37" t="str">
        <f aca="false">IFERROR(__xludf.dummyfunction("""COMPUTED_VALUE"""),"Thực chiến Đọc hiểu")</f>
        <v>Thực chiến Đọc hiểu</v>
      </c>
      <c r="B421" s="37" t="str">
        <f aca="false">IFERROR(__xludf.dummyfunction("""COMPUTED_VALUE"""),"TC_TSA_DH_09")</f>
        <v>TC_TSA_DH_09</v>
      </c>
      <c r="C421" s="59" t="str">
        <f aca="false">IFERROR(__xludf.dummyfunction("""COMPUTED_VALUE"""),"[Bổ trợ]_Chữa bài tập TSA_Tư duy Đọc hiểu số 09")</f>
        <v>[Bổ trợ]_Chữa bài tập TSA_Tư duy Đọc hiểu số 09</v>
      </c>
      <c r="D421" s="39" t="str">
        <f aca="false">IFERROR(__xludf.dummyfunction("""COMPUTED_VALUE"""),"Đào Hồng Phúc")</f>
        <v>Đào Hồng Phúc</v>
      </c>
      <c r="E421" s="40" t="n">
        <f aca="false">IFERROR(__xludf.dummyfunction("""COMPUTED_VALUE"""),46271)</f>
        <v>46271</v>
      </c>
      <c r="F421" s="41" t="str">
        <f aca="false">IFERROR(__xludf.dummyfunction("""COMPUTED_VALUE"""),"CN")</f>
        <v>CN</v>
      </c>
      <c r="G421" s="37" t="str">
        <f aca="false">IFERROR(__xludf.dummyfunction("""COMPUTED_VALUE"""),"10:00-11:00")</f>
        <v>10:00-11:00</v>
      </c>
      <c r="H421" s="37"/>
      <c r="I421" s="37"/>
      <c r="J421" s="42" t="str">
        <f aca="false">IFERROR(__xludf.dummyfunction("""COMPUTED_VALUE"""),"https://drive.google.com/drive/folders/1Lr7ZNHdML4P3sBNpoPa6pc1r97B6jqVs?usp=drive_link")</f>
        <v>https://drive.google.com/drive/folders/1Lr7ZNHdML4P3sBNpoPa6pc1r97B6jqVs?usp=drive_link</v>
      </c>
      <c r="K421" s="68" t="str">
        <f aca="false">IFERROR(__xludf.dummyfunction("""COMPUTED_VALUE"""),"Hangvt3")</f>
        <v>Hangvt3</v>
      </c>
      <c r="L421" s="68" t="str">
        <f aca="false">IFERROR(__xludf.dummyfunction("""COMPUTED_VALUE"""),"HOCMAI")</f>
        <v>HOCMAI</v>
      </c>
      <c r="M421" s="71"/>
      <c r="N421" s="77" t="str">
        <f aca="false">IFERROR(__xludf.dummyfunction("""COMPUTED_VALUE"""),"3109")</f>
        <v>3109</v>
      </c>
      <c r="O421" s="63" t="n">
        <f aca="false">IFERROR(__xludf.dummyfunction("""COMPUTED_VALUE"""),176064)</f>
        <v>176064</v>
      </c>
      <c r="P421" s="60" t="str">
        <f aca="false">IFERROR(__xludf.dummyfunction("""COMPUTED_VALUE"""),"https://hocmai.vn/bai-giang-truc-tuyen/176064/.html")</f>
        <v>https://hocmai.vn/bai-giang-truc-tuyen/176064/.html</v>
      </c>
      <c r="Q421" s="63"/>
      <c r="R421" s="41"/>
      <c r="S421" s="41"/>
      <c r="T421" s="63"/>
      <c r="U421" s="63"/>
      <c r="V421" s="70" t="n">
        <f aca="false">IFERROR(__xludf.dummyfunction("""COMPUTED_VALUE"""),46274)</f>
        <v>46274</v>
      </c>
      <c r="W421" s="39" t="str">
        <f aca="false">IFERROR(__xludf.dummyfunction("""COMPUTED_VALUE"""),"Hoàn thành TL live")</f>
        <v>Hoàn thành TL live</v>
      </c>
      <c r="X421" s="41" t="str">
        <f aca="false">IFERROR(__xludf.dummyfunction("""COMPUTED_VALUE"""),"Vuta")</f>
        <v>Vuta</v>
      </c>
      <c r="Y421" s="44"/>
      <c r="Z421" s="57"/>
      <c r="AA421" s="57"/>
      <c r="AB421" s="41" t="n">
        <f aca="false">IFERROR(__xludf.dummyfunction("""COMPUTED_VALUE"""),9)</f>
        <v>9</v>
      </c>
      <c r="AC421" s="57" t="str">
        <f aca="false">IFERROR(__xludf.dummyfunction("""COMPUTED_VALUE"""),"0987781413")</f>
        <v>0987781413</v>
      </c>
      <c r="AD421" s="46"/>
      <c r="AE421" s="46"/>
      <c r="AF421" s="47"/>
      <c r="AG421" s="46"/>
      <c r="AH421" s="53" t="b">
        <f aca="false">IFERROR(__xludf.dummyfunction("""COMPUTED_VALUE"""),FALSE())</f>
        <v>0</v>
      </c>
      <c r="AI421" s="53" t="b">
        <f aca="false">IFERROR(__xludf.dummyfunction("""COMPUTED_VALUE"""),TRUE())</f>
        <v>1</v>
      </c>
      <c r="AJ421" s="53" t="b">
        <f aca="false">IFERROR(__xludf.dummyfunction("""COMPUTED_VALUE"""),FALSE())</f>
        <v>0</v>
      </c>
      <c r="AK421" s="53" t="b">
        <f aca="false">IFERROR(__xludf.dummyfunction("""COMPUTED_VALUE"""),FALSE())</f>
        <v>0</v>
      </c>
      <c r="AL421" s="53" t="b">
        <f aca="false">IFERROR(__xludf.dummyfunction("""COMPUTED_VALUE"""),FALSE())</f>
        <v>0</v>
      </c>
      <c r="AM421" s="53" t="b">
        <f aca="false">IFERROR(__xludf.dummyfunction("""COMPUTED_VALUE"""),FALSE())</f>
        <v>0</v>
      </c>
      <c r="AN421" s="53" t="b">
        <f aca="false">IFERROR(__xludf.dummyfunction("""COMPUTED_VALUE"""),FALSE())</f>
        <v>0</v>
      </c>
      <c r="AO421" s="46"/>
    </row>
    <row r="422" customFormat="false" ht="15.75" hidden="false" customHeight="true" outlineLevel="0" collapsed="false">
      <c r="A422" s="37" t="str">
        <f aca="false">IFERROR(__xludf.dummyfunction("""COMPUTED_VALUE"""),"Thực chiến Định tính")</f>
        <v>Thực chiến Định tính</v>
      </c>
      <c r="B422" s="37" t="str">
        <f aca="false">IFERROR(__xludf.dummyfunction("""COMPUTED_VALUE"""),"TC_HSA_ĐT_08")</f>
        <v>TC_HSA_ĐT_08</v>
      </c>
      <c r="C422" s="59" t="str">
        <f aca="false">IFERROR(__xludf.dummyfunction("""COMPUTED_VALUE"""),"[Bổ trợ]_Chữa bài tập _Tư duy Định tính số 08")</f>
        <v>[Bổ trợ]_Chữa bài tập _Tư duy Định tính số 08</v>
      </c>
      <c r="D422" s="39" t="str">
        <f aca="false">IFERROR(__xludf.dummyfunction("""COMPUTED_VALUE"""),"Nguyễn Thị Thanh Hoa")</f>
        <v>Nguyễn Thị Thanh Hoa</v>
      </c>
      <c r="E422" s="40" t="n">
        <f aca="false">IFERROR(__xludf.dummyfunction("""COMPUTED_VALUE"""),46271)</f>
        <v>46271</v>
      </c>
      <c r="F422" s="41" t="str">
        <f aca="false">IFERROR(__xludf.dummyfunction("""COMPUTED_VALUE"""),"CN")</f>
        <v>CN</v>
      </c>
      <c r="G422" s="37" t="str">
        <f aca="false">IFERROR(__xludf.dummyfunction("""COMPUTED_VALUE"""),"17:00-18:00")</f>
        <v>17:00-18:00</v>
      </c>
      <c r="H422" s="37"/>
      <c r="I422" s="37"/>
      <c r="J422" s="37"/>
      <c r="K422" s="68" t="str">
        <f aca="false">IFERROR(__xludf.dummyfunction("""COMPUTED_VALUE"""),"Hoantt")</f>
        <v>Hoantt</v>
      </c>
      <c r="L422" s="68" t="str">
        <f aca="false">IFERROR(__xludf.dummyfunction("""COMPUTED_VALUE"""),"HOCMAI")</f>
        <v>HOCMAI</v>
      </c>
      <c r="M422" s="71"/>
      <c r="N422" s="77" t="str">
        <f aca="false">IFERROR(__xludf.dummyfunction("""COMPUTED_VALUE"""),"3118")</f>
        <v>3118</v>
      </c>
      <c r="O422" s="63" t="n">
        <f aca="false">IFERROR(__xludf.dummyfunction("""COMPUTED_VALUE"""),176141)</f>
        <v>176141</v>
      </c>
      <c r="P422" s="60" t="str">
        <f aca="false">IFERROR(__xludf.dummyfunction("""COMPUTED_VALUE"""),"https://hocmai.vn/bai-giang-truc-tuyen/176141/.html")</f>
        <v>https://hocmai.vn/bai-giang-truc-tuyen/176141/.html</v>
      </c>
      <c r="Q422" s="63"/>
      <c r="R422" s="41"/>
      <c r="S422" s="41"/>
      <c r="T422" s="63"/>
      <c r="U422" s="63"/>
      <c r="V422" s="70" t="n">
        <f aca="false">IFERROR(__xludf.dummyfunction("""COMPUTED_VALUE"""),46274)</f>
        <v>46274</v>
      </c>
      <c r="W422" s="39"/>
      <c r="X422" s="41" t="str">
        <f aca="false">IFERROR(__xludf.dummyfunction("""COMPUTED_VALUE"""),"Vuta")</f>
        <v>Vuta</v>
      </c>
      <c r="Y422" s="44"/>
      <c r="Z422" s="57"/>
      <c r="AA422" s="57"/>
      <c r="AB422" s="41" t="n">
        <f aca="false">IFERROR(__xludf.dummyfunction("""COMPUTED_VALUE"""),9)</f>
        <v>9</v>
      </c>
      <c r="AC422" s="57" t="str">
        <f aca="false">IFERROR(__xludf.dummyfunction("""COMPUTED_VALUE"""),"hoantt@hocmai.vn")</f>
        <v>hoantt@hocmai.vn</v>
      </c>
      <c r="AD422" s="46"/>
      <c r="AE422" s="46"/>
      <c r="AF422" s="47"/>
      <c r="AG422" s="46"/>
      <c r="AH422" s="53" t="b">
        <f aca="false">IFERROR(__xludf.dummyfunction("""COMPUTED_VALUE"""),FALSE())</f>
        <v>0</v>
      </c>
      <c r="AI422" s="53" t="b">
        <f aca="false">IFERROR(__xludf.dummyfunction("""COMPUTED_VALUE"""),FALSE())</f>
        <v>0</v>
      </c>
      <c r="AJ422" s="53" t="b">
        <f aca="false">IFERROR(__xludf.dummyfunction("""COMPUTED_VALUE"""),TRUE())</f>
        <v>1</v>
      </c>
      <c r="AK422" s="53" t="b">
        <f aca="false">IFERROR(__xludf.dummyfunction("""COMPUTED_VALUE"""),TRUE())</f>
        <v>1</v>
      </c>
      <c r="AL422" s="53" t="b">
        <f aca="false">IFERROR(__xludf.dummyfunction("""COMPUTED_VALUE"""),FALSE())</f>
        <v>0</v>
      </c>
      <c r="AM422" s="53" t="b">
        <f aca="false">IFERROR(__xludf.dummyfunction("""COMPUTED_VALUE"""),FALSE())</f>
        <v>0</v>
      </c>
      <c r="AN422" s="53" t="b">
        <f aca="false">IFERROR(__xludf.dummyfunction("""COMPUTED_VALUE"""),FALSE())</f>
        <v>0</v>
      </c>
      <c r="AO422" s="46"/>
    </row>
    <row r="423" customFormat="false" ht="15.75" hidden="false" customHeight="true" outlineLevel="0" collapsed="false">
      <c r="A423" s="37" t="str">
        <f aca="false">IFERROR(__xludf.dummyfunction("""COMPUTED_VALUE"""),"Thực chiến Định lượng")</f>
        <v>Thực chiến Định lượng</v>
      </c>
      <c r="B423" s="37" t="str">
        <f aca="false">IFERROR(__xludf.dummyfunction("""COMPUTED_VALUE"""),"TC_HSA_ĐL_23")</f>
        <v>TC_HSA_ĐL_23</v>
      </c>
      <c r="C423" s="59" t="str">
        <f aca="false">IFERROR(__xludf.dummyfunction("""COMPUTED_VALUE"""),"[Bổ trợ]_Chữa bài tập _Tư duy Định lượng số 22")</f>
        <v>[Bổ trợ]_Chữa bài tập _Tư duy Định lượng số 22</v>
      </c>
      <c r="D423" s="39" t="str">
        <f aca="false">IFERROR(__xludf.dummyfunction("""COMPUTED_VALUE"""),"Nguyễn Trọng Trường Anh")</f>
        <v>Nguyễn Trọng Trường Anh</v>
      </c>
      <c r="E423" s="40" t="n">
        <f aca="false">IFERROR(__xludf.dummyfunction("""COMPUTED_VALUE"""),46271)</f>
        <v>46271</v>
      </c>
      <c r="F423" s="41" t="str">
        <f aca="false">IFERROR(__xludf.dummyfunction("""COMPUTED_VALUE"""),"CN")</f>
        <v>CN</v>
      </c>
      <c r="G423" s="37" t="str">
        <f aca="false">IFERROR(__xludf.dummyfunction("""COMPUTED_VALUE"""),"10:00-11:00")</f>
        <v>10:00-11:00</v>
      </c>
      <c r="H423" s="37"/>
      <c r="I423" s="37"/>
      <c r="J423" s="37"/>
      <c r="K423" s="68" t="str">
        <f aca="false">IFERROR(__xludf.dummyfunction("""COMPUTED_VALUE"""),"Locdd")</f>
        <v>Locdd</v>
      </c>
      <c r="L423" s="68" t="str">
        <f aca="false">IFERROR(__xludf.dummyfunction("""COMPUTED_VALUE"""),"HOCMAI")</f>
        <v>HOCMAI</v>
      </c>
      <c r="M423" s="71"/>
      <c r="N423" s="77" t="str">
        <f aca="false">IFERROR(__xludf.dummyfunction("""COMPUTED_VALUE"""),"3117")</f>
        <v>3117</v>
      </c>
      <c r="O423" s="63" t="n">
        <f aca="false">IFERROR(__xludf.dummyfunction("""COMPUTED_VALUE"""),176135)</f>
        <v>176135</v>
      </c>
      <c r="P423" s="60" t="str">
        <f aca="false">IFERROR(__xludf.dummyfunction("""COMPUTED_VALUE"""),"https://hocmai.vn/bai-giang-truc-tuyen/176135/.html")</f>
        <v>https://hocmai.vn/bai-giang-truc-tuyen/176135/.html</v>
      </c>
      <c r="Q423" s="63"/>
      <c r="R423" s="41"/>
      <c r="S423" s="41"/>
      <c r="T423" s="63"/>
      <c r="U423" s="63"/>
      <c r="V423" s="70" t="n">
        <f aca="false">IFERROR(__xludf.dummyfunction("""COMPUTED_VALUE"""),46274)</f>
        <v>46274</v>
      </c>
      <c r="W423" s="39"/>
      <c r="X423" s="41" t="str">
        <f aca="false">IFERROR(__xludf.dummyfunction("""COMPUTED_VALUE"""),"Vuta")</f>
        <v>Vuta</v>
      </c>
      <c r="Y423" s="44"/>
      <c r="Z423" s="57"/>
      <c r="AA423" s="57"/>
      <c r="AB423" s="41" t="n">
        <f aca="false">IFERROR(__xludf.dummyfunction("""COMPUTED_VALUE"""),9)</f>
        <v>9</v>
      </c>
      <c r="AC423" s="57" t="str">
        <f aca="false">IFERROR(__xludf.dummyfunction("""COMPUTED_VALUE"""),"thochi1981@gmail.com")</f>
        <v>thochi1981@gmail.com</v>
      </c>
      <c r="AD423" s="46"/>
      <c r="AE423" s="46"/>
      <c r="AF423" s="47"/>
      <c r="AG423" s="46"/>
      <c r="AH423" s="53" t="b">
        <f aca="false">IFERROR(__xludf.dummyfunction("""COMPUTED_VALUE"""),FALSE())</f>
        <v>0</v>
      </c>
      <c r="AI423" s="53" t="b">
        <f aca="false">IFERROR(__xludf.dummyfunction("""COMPUTED_VALUE"""),FALSE())</f>
        <v>0</v>
      </c>
      <c r="AJ423" s="53" t="b">
        <f aca="false">IFERROR(__xludf.dummyfunction("""COMPUTED_VALUE"""),TRUE())</f>
        <v>1</v>
      </c>
      <c r="AK423" s="53" t="b">
        <f aca="false">IFERROR(__xludf.dummyfunction("""COMPUTED_VALUE"""),TRUE())</f>
        <v>1</v>
      </c>
      <c r="AL423" s="53" t="b">
        <f aca="false">IFERROR(__xludf.dummyfunction("""COMPUTED_VALUE"""),FALSE())</f>
        <v>0</v>
      </c>
      <c r="AM423" s="53" t="b">
        <f aca="false">IFERROR(__xludf.dummyfunction("""COMPUTED_VALUE"""),FALSE())</f>
        <v>0</v>
      </c>
      <c r="AN423" s="53" t="b">
        <f aca="false">IFERROR(__xludf.dummyfunction("""COMPUTED_VALUE"""),FALSE())</f>
        <v>0</v>
      </c>
      <c r="AO423" s="46"/>
    </row>
    <row r="424" customFormat="false" ht="15.75" hidden="false" customHeight="true" outlineLevel="0" collapsed="false">
      <c r="A424" s="37" t="str">
        <f aca="false">IFERROR(__xludf.dummyfunction("""COMPUTED_VALUE"""),"Thực chiến Toán")</f>
        <v>Thực chiến Toán</v>
      </c>
      <c r="B424" s="37" t="str">
        <f aca="false">IFERROR(__xludf.dummyfunction("""COMPUTED_VALUE"""),"TC_V-ACT_T_23")</f>
        <v>TC_V-ACT_T_23</v>
      </c>
      <c r="C424" s="59" t="str">
        <f aca="false">IFERROR(__xludf.dummyfunction("""COMPUTED_VALUE"""),"[Bổ trợ]_Chữa bài tập_V-ACT_Toán số 23")</f>
        <v>[Bổ trợ]_Chữa bài tập_V-ACT_Toán số 23</v>
      </c>
      <c r="D424" s="39" t="str">
        <f aca="false">IFERROR(__xludf.dummyfunction("""COMPUTED_VALUE"""),"Lê Thế Anh")</f>
        <v>Lê Thế Anh</v>
      </c>
      <c r="E424" s="40" t="n">
        <f aca="false">IFERROR(__xludf.dummyfunction("""COMPUTED_VALUE"""),46271)</f>
        <v>46271</v>
      </c>
      <c r="F424" s="41" t="str">
        <f aca="false">IFERROR(__xludf.dummyfunction("""COMPUTED_VALUE"""),"CN")</f>
        <v>CN</v>
      </c>
      <c r="G424" s="37" t="str">
        <f aca="false">IFERROR(__xludf.dummyfunction("""COMPUTED_VALUE"""),"10:00-11:00")</f>
        <v>10:00-11:00</v>
      </c>
      <c r="H424" s="37"/>
      <c r="I424" s="37"/>
      <c r="J424" s="37"/>
      <c r="K424" s="68" t="str">
        <f aca="false">IFERROR(__xludf.dummyfunction("""COMPUTED_VALUE"""),"lent")</f>
        <v>lent</v>
      </c>
      <c r="L424" s="68" t="str">
        <f aca="false">IFERROR(__xludf.dummyfunction("""COMPUTED_VALUE"""),"HOCMAI")</f>
        <v>HOCMAI</v>
      </c>
      <c r="M424" s="71"/>
      <c r="N424" s="77" t="str">
        <f aca="false">IFERROR(__xludf.dummyfunction("""COMPUTED_VALUE"""),"3124")</f>
        <v>3124</v>
      </c>
      <c r="O424" s="63" t="n">
        <f aca="false">IFERROR(__xludf.dummyfunction("""COMPUTED_VALUE"""),176100)</f>
        <v>176100</v>
      </c>
      <c r="P424" s="60" t="str">
        <f aca="false">IFERROR(__xludf.dummyfunction("""COMPUTED_VALUE"""),"https://hocmai.vn/bai-giang-truc-tuyen/176100/.html")</f>
        <v>https://hocmai.vn/bai-giang-truc-tuyen/176100/.html</v>
      </c>
      <c r="Q424" s="63"/>
      <c r="R424" s="41"/>
      <c r="S424" s="41"/>
      <c r="T424" s="63"/>
      <c r="U424" s="63"/>
      <c r="V424" s="70" t="n">
        <f aca="false">IFERROR(__xludf.dummyfunction("""COMPUTED_VALUE"""),46274)</f>
        <v>46274</v>
      </c>
      <c r="W424" s="39"/>
      <c r="X424" s="41" t="str">
        <f aca="false">IFERROR(__xludf.dummyfunction("""COMPUTED_VALUE"""),"Vuta")</f>
        <v>Vuta</v>
      </c>
      <c r="Y424" s="44"/>
      <c r="Z424" s="57"/>
      <c r="AA424" s="57"/>
      <c r="AB424" s="41" t="n">
        <f aca="false">IFERROR(__xludf.dummyfunction("""COMPUTED_VALUE"""),9)</f>
        <v>9</v>
      </c>
      <c r="AC424" s="57" t="str">
        <f aca="false">IFERROR(__xludf.dummyfunction("""COMPUTED_VALUE"""),"ss.vact01@ctv.hocmai.vn")</f>
        <v>ss.vact01@ctv.hocmai.vn</v>
      </c>
      <c r="AD424" s="46"/>
      <c r="AE424" s="46"/>
      <c r="AF424" s="47"/>
      <c r="AG424" s="46"/>
      <c r="AH424" s="53" t="b">
        <f aca="false">IFERROR(__xludf.dummyfunction("""COMPUTED_VALUE"""),FALSE())</f>
        <v>0</v>
      </c>
      <c r="AI424" s="53" t="b">
        <f aca="false">IFERROR(__xludf.dummyfunction("""COMPUTED_VALUE"""),FALSE())</f>
        <v>0</v>
      </c>
      <c r="AJ424" s="53" t="b">
        <f aca="false">IFERROR(__xludf.dummyfunction("""COMPUTED_VALUE"""),FALSE())</f>
        <v>0</v>
      </c>
      <c r="AK424" s="53" t="b">
        <f aca="false">IFERROR(__xludf.dummyfunction("""COMPUTED_VALUE"""),FALSE())</f>
        <v>0</v>
      </c>
      <c r="AL424" s="53" t="b">
        <f aca="false">IFERROR(__xludf.dummyfunction("""COMPUTED_VALUE"""),FALSE())</f>
        <v>0</v>
      </c>
      <c r="AM424" s="53" t="b">
        <f aca="false">IFERROR(__xludf.dummyfunction("""COMPUTED_VALUE"""),TRUE())</f>
        <v>1</v>
      </c>
      <c r="AN424" s="53" t="b">
        <f aca="false">IFERROR(__xludf.dummyfunction("""COMPUTED_VALUE"""),TRUE())</f>
        <v>1</v>
      </c>
      <c r="AO424" s="46"/>
    </row>
    <row r="425" customFormat="false" ht="15.75" hidden="false" customHeight="true" outlineLevel="0" collapsed="false">
      <c r="A425" s="37" t="str">
        <f aca="false">IFERROR(__xludf.dummyfunction("""COMPUTED_VALUE"""),"Đọc hiểu")</f>
        <v>Đọc hiểu</v>
      </c>
      <c r="B425" s="37" t="str">
        <f aca="false">IFERROR(__xludf.dummyfunction("""COMPUTED_VALUE"""),"TOV_TSA_DH13")</f>
        <v>TOV_TSA_DH13</v>
      </c>
      <c r="C425" s="59" t="str">
        <f aca="false">IFERROR(__xludf.dummyfunction("""COMPUTED_VALUE"""),"Câu hỏi một/nhiều lựa chọn và đúng/sai trong văn bản")</f>
        <v>Câu hỏi một/nhiều lựa chọn và đúng/sai trong văn bản</v>
      </c>
      <c r="D425" s="39" t="str">
        <f aca="false">IFERROR(__xludf.dummyfunction("""COMPUTED_VALUE"""),"Vũ Khắc Ngọc")</f>
        <v>Vũ Khắc Ngọc</v>
      </c>
      <c r="E425" s="40" t="n">
        <f aca="false">IFERROR(__xludf.dummyfunction("""COMPUTED_VALUE"""),46272)</f>
        <v>46272</v>
      </c>
      <c r="F425" s="41" t="n">
        <f aca="false">IFERROR(__xludf.dummyfunction("""COMPUTED_VALUE"""),2)</f>
        <v>2</v>
      </c>
      <c r="G425" s="37" t="str">
        <f aca="false">IFERROR(__xludf.dummyfunction("""COMPUTED_VALUE"""),"21:30-23:30")</f>
        <v>21:30-23:30</v>
      </c>
      <c r="H425" s="37"/>
      <c r="I425" s="37"/>
      <c r="J425" s="37"/>
      <c r="K425" s="68" t="str">
        <f aca="false">IFERROR(__xludf.dummyfunction("""COMPUTED_VALUE"""),"Hangvt3")</f>
        <v>Hangvt3</v>
      </c>
      <c r="L425" s="68" t="str">
        <f aca="false">IFERROR(__xludf.dummyfunction("""COMPUTED_VALUE"""),"Phan Đức Kiên")</f>
        <v>Phan Đức Kiên</v>
      </c>
      <c r="M425" s="71"/>
      <c r="N425" s="77" t="str">
        <f aca="false">IFERROR(__xludf.dummyfunction("""COMPUTED_VALUE"""),"3109")</f>
        <v>3109</v>
      </c>
      <c r="O425" s="63" t="n">
        <f aca="false">IFERROR(__xludf.dummyfunction("""COMPUTED_VALUE"""),167236)</f>
        <v>167236</v>
      </c>
      <c r="P425" s="63"/>
      <c r="Q425" s="63"/>
      <c r="R425" s="41"/>
      <c r="S425" s="41"/>
      <c r="T425" s="63"/>
      <c r="U425" s="63"/>
      <c r="V425" s="70" t="n">
        <f aca="false">IFERROR(__xludf.dummyfunction("""COMPUTED_VALUE"""),46275)</f>
        <v>46275</v>
      </c>
      <c r="W425" s="39"/>
      <c r="X425" s="41" t="str">
        <f aca="false">IFERROR(__xludf.dummyfunction("""COMPUTED_VALUE"""),"Huent7")</f>
        <v>Huent7</v>
      </c>
      <c r="Y425" s="44" t="str">
        <f aca="false">IFERROR(__xludf.dummyfunction("""COMPUTED_VALUE"""),"done")</f>
        <v>done</v>
      </c>
      <c r="Z425" s="57" t="str">
        <f aca="false">IFERROR(__xludf.dummyfunction("""COMPUTED_VALUE"""),"#N/A")</f>
        <v>#N/A</v>
      </c>
      <c r="AA425" s="57"/>
      <c r="AB425" s="41" t="n">
        <f aca="false">IFERROR(__xludf.dummyfunction("""COMPUTED_VALUE"""),9)</f>
        <v>9</v>
      </c>
      <c r="AC425" s="57" t="str">
        <f aca="false">IFERROR(__xludf.dummyfunction("""COMPUTED_VALUE"""),"gv.ngocvk@hocmai.edu.vn")</f>
        <v>gv.ngocvk@hocmai.edu.vn</v>
      </c>
      <c r="AD425" s="46" t="str">
        <f aca="false">IFERROR(__xludf.dummyfunction("""COMPUTED_VALUE"""),"duckien010607@gmail.com")</f>
        <v>duckien010607@gmail.com</v>
      </c>
      <c r="AE425" s="46"/>
      <c r="AF425" s="47" t="str">
        <f aca="false">IFERROR(__xludf.dummyfunction("""COMPUTED_VALUE"""),"lophoctoan-946272")</f>
        <v>lophoctoan-946272</v>
      </c>
      <c r="AG425" s="46" t="str">
        <f aca="false">IFERROR(__xludf.dummyfunction("""COMPUTED_VALUE"""),"")</f>
        <v/>
      </c>
      <c r="AH425" s="35"/>
      <c r="AI425" s="53" t="b">
        <f aca="false">IFERROR(__xludf.dummyfunction("""COMPUTED_VALUE"""),TRUE())</f>
        <v>1</v>
      </c>
      <c r="AJ425" s="35"/>
      <c r="AK425" s="35"/>
      <c r="AL425" s="35"/>
      <c r="AM425" s="35"/>
      <c r="AN425" s="35"/>
      <c r="AO425" s="46"/>
    </row>
    <row r="426" customFormat="false" ht="15.75" hidden="false" customHeight="true" outlineLevel="0" collapsed="false">
      <c r="A426" s="37" t="str">
        <f aca="false">IFERROR(__xludf.dummyfunction("""COMPUTED_VALUE"""),"Tiếng Anh")</f>
        <v>Tiếng Anh</v>
      </c>
      <c r="B426" s="37" t="str">
        <f aca="false">IFERROR(__xludf.dummyfunction("""COMPUTED_VALUE"""),"TOV_HV_TA13")</f>
        <v>TOV_HV_TA13</v>
      </c>
      <c r="C426" s="59" t="str">
        <f aca="false">IFERROR(__xludf.dummyfunction("""COMPUTED_VALUE"""),"Phương pháp xử lý dạng bài đọc hiểu: Câu hỏi quy chiếu / từ vựng")</f>
        <v>Phương pháp xử lý dạng bài đọc hiểu: Câu hỏi quy chiếu / từ vựng</v>
      </c>
      <c r="D426" s="39" t="str">
        <f aca="false">IFERROR(__xludf.dummyfunction("""COMPUTED_VALUE"""),"Nguyễn Thanh Hương")</f>
        <v>Nguyễn Thanh Hương</v>
      </c>
      <c r="E426" s="40" t="n">
        <f aca="false">IFERROR(__xludf.dummyfunction("""COMPUTED_VALUE"""),46272)</f>
        <v>46272</v>
      </c>
      <c r="F426" s="41" t="n">
        <f aca="false">IFERROR(__xludf.dummyfunction("""COMPUTED_VALUE"""),2)</f>
        <v>2</v>
      </c>
      <c r="G426" s="37" t="str">
        <f aca="false">IFERROR(__xludf.dummyfunction("""COMPUTED_VALUE"""),"20:00-22:00")</f>
        <v>20:00-22:00</v>
      </c>
      <c r="H426" s="37"/>
      <c r="I426" s="37"/>
      <c r="J426" s="37"/>
      <c r="K426" s="68" t="str">
        <f aca="false">IFERROR(__xludf.dummyfunction("""COMPUTED_VALUE"""),"huyennn2")</f>
        <v>huyennn2</v>
      </c>
      <c r="L426" s="68" t="str">
        <f aca="false">IFERROR(__xludf.dummyfunction("""COMPUTED_VALUE"""),"Nguyễn Lê Thụy Quyên ")</f>
        <v>Nguyễn Lê Thụy Quyên </v>
      </c>
      <c r="M426" s="71"/>
      <c r="N426" s="77" t="str">
        <f aca="false">IFERROR(__xludf.dummyfunction("""COMPUTED_VALUE"""),"3140,3165,3339")</f>
        <v>3140,3165,3339</v>
      </c>
      <c r="O426" s="73" t="str">
        <f aca="false">IFERROR(__xludf.dummyfunction("""COMPUTED_VALUE"""),"167549,167617,167641")</f>
        <v>167549,167617,167641</v>
      </c>
      <c r="P426" s="63" t="str">
        <f aca="false">IFERROR(__xludf.dummyfunction("""COMPUTED_VALUE"""),"9030,9038,9047,9119")</f>
        <v>9030,9038,9047,9119</v>
      </c>
      <c r="Q426" s="63"/>
      <c r="R426" s="41"/>
      <c r="S426" s="41"/>
      <c r="T426" s="63"/>
      <c r="U426" s="63"/>
      <c r="V426" s="70" t="n">
        <f aca="false">IFERROR(__xludf.dummyfunction("""COMPUTED_VALUE"""),46275)</f>
        <v>46275</v>
      </c>
      <c r="W426" s="39"/>
      <c r="X426" s="41" t="str">
        <f aca="false">IFERROR(__xludf.dummyfunction("""COMPUTED_VALUE"""),"huyennn2")</f>
        <v>huyennn2</v>
      </c>
      <c r="Y426" s="44" t="str">
        <f aca="false">IFERROR(__xludf.dummyfunction("""COMPUTED_VALUE"""),"done")</f>
        <v>done</v>
      </c>
      <c r="Z426" s="57" t="str">
        <f aca="false">IFERROR(__xludf.dummyfunction("""COMPUTED_VALUE"""),"#N/A")</f>
        <v>#N/A</v>
      </c>
      <c r="AA426" s="57"/>
      <c r="AB426" s="41" t="n">
        <f aca="false">IFERROR(__xludf.dummyfunction("""COMPUTED_VALUE"""),9)</f>
        <v>9</v>
      </c>
      <c r="AC426" s="57" t="str">
        <f aca="false">IFERROR(__xludf.dummyfunction("""COMPUTED_VALUE"""),"gv.huongnt@hocmai.edu.vn ")</f>
        <v>gv.huongnt@hocmai.edu.vn </v>
      </c>
      <c r="AD426" s="46" t="str">
        <f aca="false">IFERROR(__xludf.dummyfunction("""COMPUTED_VALUE"""),"nguyenlethuyquyencp@gmail.com")</f>
        <v>nguyenlethuyquyencp@gmail.com</v>
      </c>
      <c r="AE426" s="46"/>
      <c r="AF426" s="47" t="str">
        <f aca="false">IFERROR(__xludf.dummyfunction("""COMPUTED_VALUE"""),"lophoctienganh46272")</f>
        <v>lophoctienganh46272</v>
      </c>
      <c r="AG426" s="46" t="str">
        <f aca="false">IFERROR(__xludf.dummyfunction("""COMPUTED_VALUE"""),"")</f>
        <v/>
      </c>
      <c r="AH426" s="35"/>
      <c r="AI426" s="35"/>
      <c r="AJ426" s="53" t="b">
        <f aca="false">IFERROR(__xludf.dummyfunction("""COMPUTED_VALUE"""),TRUE())</f>
        <v>1</v>
      </c>
      <c r="AK426" s="53" t="b">
        <f aca="false">IFERROR(__xludf.dummyfunction("""COMPUTED_VALUE"""),TRUE())</f>
        <v>1</v>
      </c>
      <c r="AL426" s="35"/>
      <c r="AM426" s="53" t="b">
        <f aca="false">IFERROR(__xludf.dummyfunction("""COMPUTED_VALUE"""),TRUE())</f>
        <v>1</v>
      </c>
      <c r="AN426" s="53" t="b">
        <f aca="false">IFERROR(__xludf.dummyfunction("""COMPUTED_VALUE"""),TRUE())</f>
        <v>1</v>
      </c>
      <c r="AO426" s="46"/>
    </row>
    <row r="427" customFormat="false" ht="15.75" hidden="false" customHeight="true" outlineLevel="0" collapsed="false">
      <c r="A427" s="37" t="str">
        <f aca="false">IFERROR(__xludf.dummyfunction("""COMPUTED_VALUE"""),"Hóa học")</f>
        <v>Hóa học</v>
      </c>
      <c r="B427" s="37" t="str">
        <f aca="false">IFERROR(__xludf.dummyfunction("""COMPUTED_VALUE"""),"TOV_HT_HH13")</f>
        <v>TOV_HT_HH13</v>
      </c>
      <c r="C427" s="59" t="str">
        <f aca="false">IFERROR(__xludf.dummyfunction("""COMPUTED_VALUE"""),"Ester – lipid – chất béo –xà phòng")</f>
        <v>Ester – lipid – chất béo –xà phòng</v>
      </c>
      <c r="D427" s="39" t="str">
        <f aca="false">IFERROR(__xludf.dummyfunction("""COMPUTED_VALUE"""),"Chu Hải Long")</f>
        <v>Chu Hải Long</v>
      </c>
      <c r="E427" s="40" t="n">
        <f aca="false">IFERROR(__xludf.dummyfunction("""COMPUTED_VALUE"""),46272)</f>
        <v>46272</v>
      </c>
      <c r="F427" s="41" t="n">
        <f aca="false">IFERROR(__xludf.dummyfunction("""COMPUTED_VALUE"""),2)</f>
        <v>2</v>
      </c>
      <c r="G427" s="37" t="str">
        <f aca="false">IFERROR(__xludf.dummyfunction("""COMPUTED_VALUE"""),"19:45-21:45")</f>
        <v>19:45-21:45</v>
      </c>
      <c r="H427" s="37"/>
      <c r="I427" s="37"/>
      <c r="J427" s="37"/>
      <c r="K427" s="68" t="str">
        <f aca="false">IFERROR(__xludf.dummyfunction("""COMPUTED_VALUE"""),"Huebt")</f>
        <v>Huebt</v>
      </c>
      <c r="L427" s="68" t="str">
        <f aca="false">IFERROR(__xludf.dummyfunction("""COMPUTED_VALUE"""),"Võ Hương Giang")</f>
        <v>Võ Hương Giang</v>
      </c>
      <c r="M427" s="71"/>
      <c r="N427" s="77" t="str">
        <f aca="false">IFERROR(__xludf.dummyfunction("""COMPUTED_VALUE"""),"3120,3131")</f>
        <v>3120,3131</v>
      </c>
      <c r="O427" s="63" t="str">
        <f aca="false">IFERROR(__xludf.dummyfunction("""COMPUTED_VALUE"""),"167437,167449")</f>
        <v>167437,167449</v>
      </c>
      <c r="P427" s="63" t="str">
        <f aca="false">IFERROR(__xludf.dummyfunction("""COMPUTED_VALUE"""),"9032,9040,9021")</f>
        <v>9032,9040,9021</v>
      </c>
      <c r="Q427" s="63"/>
      <c r="R427" s="41"/>
      <c r="S427" s="41"/>
      <c r="T427" s="63"/>
      <c r="U427" s="63" t="n">
        <f aca="false">IFERROR(__xludf.dummyfunction("""COMPUTED_VALUE"""),10490)</f>
        <v>10490</v>
      </c>
      <c r="V427" s="70" t="n">
        <f aca="false">IFERROR(__xludf.dummyfunction("""COMPUTED_VALUE"""),46275)</f>
        <v>46275</v>
      </c>
      <c r="W427" s="39"/>
      <c r="X427" s="41" t="str">
        <f aca="false">IFERROR(__xludf.dummyfunction("""COMPUTED_VALUE"""),"Huebt")</f>
        <v>Huebt</v>
      </c>
      <c r="Y427" s="44"/>
      <c r="Z427" s="57" t="str">
        <f aca="false">IFERROR(__xludf.dummyfunction("""COMPUTED_VALUE"""),"#N/A")</f>
        <v>#N/A</v>
      </c>
      <c r="AA427" s="57"/>
      <c r="AB427" s="41" t="n">
        <f aca="false">IFERROR(__xludf.dummyfunction("""COMPUTED_VALUE"""),9)</f>
        <v>9</v>
      </c>
      <c r="AC427" s="57" t="str">
        <f aca="false">IFERROR(__xludf.dummyfunction("""COMPUTED_VALUE"""),"gv.longch@hocmai.edu.vn")</f>
        <v>gv.longch@hocmai.edu.vn</v>
      </c>
      <c r="AD427" s="46" t="str">
        <f aca="false">IFERROR(__xludf.dummyfunction("""COMPUTED_VALUE"""),"giangvh@ctv.hocmai.vn")</f>
        <v>giangvh@ctv.hocmai.vn</v>
      </c>
      <c r="AE427" s="46"/>
      <c r="AF427" s="74" t="b">
        <f aca="false">IFERROR(__xludf.dummyfunction("""COMPUTED_VALUE"""),FALSE())</f>
        <v>0</v>
      </c>
      <c r="AG427" s="46" t="str">
        <f aca="false">IFERROR(__xludf.dummyfunction("""COMPUTED_VALUE"""),"")</f>
        <v/>
      </c>
      <c r="AH427" s="35"/>
      <c r="AI427" s="35"/>
      <c r="AJ427" s="53" t="b">
        <f aca="false">IFERROR(__xludf.dummyfunction("""COMPUTED_VALUE"""),TRUE())</f>
        <v>1</v>
      </c>
      <c r="AK427" s="53" t="b">
        <f aca="false">IFERROR(__xludf.dummyfunction("""COMPUTED_VALUE"""),TRUE())</f>
        <v>1</v>
      </c>
      <c r="AL427" s="53" t="b">
        <f aca="false">IFERROR(__xludf.dummyfunction("""COMPUTED_VALUE"""),TRUE())</f>
        <v>1</v>
      </c>
      <c r="AM427" s="35"/>
      <c r="AN427" s="35"/>
      <c r="AO427" s="46"/>
    </row>
    <row r="428" customFormat="false" ht="15.75" hidden="false" customHeight="true" outlineLevel="0" collapsed="false">
      <c r="A428" s="37" t="str">
        <f aca="false">IFERROR(__xludf.dummyfunction("""COMPUTED_VALUE"""),"Thực chiến Toán")</f>
        <v>Thực chiến Toán</v>
      </c>
      <c r="B428" s="37" t="str">
        <f aca="false">IFERROR(__xludf.dummyfunction("""COMPUTED_VALUE"""),"TC_TSA_T_26")</f>
        <v>TC_TSA_T_26</v>
      </c>
      <c r="C428" s="59" t="str">
        <f aca="false">IFERROR(__xludf.dummyfunction("""COMPUTED_VALUE"""),"[Bổ trợ]_Chữa bài tập TSA_Tư duy Toán học số 26")</f>
        <v>[Bổ trợ]_Chữa bài tập TSA_Tư duy Toán học số 26</v>
      </c>
      <c r="D428" s="39" t="str">
        <f aca="false">IFERROR(__xludf.dummyfunction("""COMPUTED_VALUE"""),"Phạm Huy Hoàng")</f>
        <v>Phạm Huy Hoàng</v>
      </c>
      <c r="E428" s="40" t="n">
        <f aca="false">IFERROR(__xludf.dummyfunction("""COMPUTED_VALUE"""),46272)</f>
        <v>46272</v>
      </c>
      <c r="F428" s="41" t="n">
        <f aca="false">IFERROR(__xludf.dummyfunction("""COMPUTED_VALUE"""),2)</f>
        <v>2</v>
      </c>
      <c r="G428" s="37" t="str">
        <f aca="false">IFERROR(__xludf.dummyfunction("""COMPUTED_VALUE"""),"19:00-20:00")</f>
        <v>19:00-20:00</v>
      </c>
      <c r="H428" s="37"/>
      <c r="I428" s="37"/>
      <c r="J428" s="37"/>
      <c r="K428" s="68" t="str">
        <f aca="false">IFERROR(__xludf.dummyfunction("""COMPUTED_VALUE"""),"Locdd")</f>
        <v>Locdd</v>
      </c>
      <c r="L428" s="68" t="str">
        <f aca="false">IFERROR(__xludf.dummyfunction("""COMPUTED_VALUE"""),"HOCMAI")</f>
        <v>HOCMAI</v>
      </c>
      <c r="M428" s="71"/>
      <c r="N428" s="77" t="str">
        <f aca="false">IFERROR(__xludf.dummyfunction("""COMPUTED_VALUE"""),"3108")</f>
        <v>3108</v>
      </c>
      <c r="O428" s="63" t="n">
        <f aca="false">IFERROR(__xludf.dummyfunction("""COMPUTED_VALUE"""),176058)</f>
        <v>176058</v>
      </c>
      <c r="P428" s="60" t="str">
        <f aca="false">IFERROR(__xludf.dummyfunction("""COMPUTED_VALUE"""),"https://hocmai.vn/bai-giang-truc-tuyen/176058/.html")</f>
        <v>https://hocmai.vn/bai-giang-truc-tuyen/176058/.html</v>
      </c>
      <c r="Q428" s="63"/>
      <c r="R428" s="41"/>
      <c r="S428" s="41"/>
      <c r="T428" s="63"/>
      <c r="U428" s="63"/>
      <c r="V428" s="70" t="n">
        <f aca="false">IFERROR(__xludf.dummyfunction("""COMPUTED_VALUE"""),46275)</f>
        <v>46275</v>
      </c>
      <c r="W428" s="39"/>
      <c r="X428" s="41" t="str">
        <f aca="false">IFERROR(__xludf.dummyfunction("""COMPUTED_VALUE"""),"Vuta")</f>
        <v>Vuta</v>
      </c>
      <c r="Y428" s="44"/>
      <c r="Z428" s="57"/>
      <c r="AA428" s="57"/>
      <c r="AB428" s="41" t="n">
        <f aca="false">IFERROR(__xludf.dummyfunction("""COMPUTED_VALUE"""),9)</f>
        <v>9</v>
      </c>
      <c r="AC428" s="57" t="str">
        <f aca="false">IFERROR(__xludf.dummyfunction("""COMPUTED_VALUE"""),"0376611308")</f>
        <v>0376611308</v>
      </c>
      <c r="AD428" s="46"/>
      <c r="AE428" s="46"/>
      <c r="AF428" s="47"/>
      <c r="AG428" s="46"/>
      <c r="AH428" s="53" t="b">
        <f aca="false">IFERROR(__xludf.dummyfunction("""COMPUTED_VALUE"""),FALSE())</f>
        <v>0</v>
      </c>
      <c r="AI428" s="53" t="b">
        <f aca="false">IFERROR(__xludf.dummyfunction("""COMPUTED_VALUE"""),TRUE())</f>
        <v>1</v>
      </c>
      <c r="AJ428" s="53" t="b">
        <f aca="false">IFERROR(__xludf.dummyfunction("""COMPUTED_VALUE"""),FALSE())</f>
        <v>0</v>
      </c>
      <c r="AK428" s="53" t="b">
        <f aca="false">IFERROR(__xludf.dummyfunction("""COMPUTED_VALUE"""),FALSE())</f>
        <v>0</v>
      </c>
      <c r="AL428" s="53" t="b">
        <f aca="false">IFERROR(__xludf.dummyfunction("""COMPUTED_VALUE"""),FALSE())</f>
        <v>0</v>
      </c>
      <c r="AM428" s="53" t="b">
        <f aca="false">IFERROR(__xludf.dummyfunction("""COMPUTED_VALUE"""),FALSE())</f>
        <v>0</v>
      </c>
      <c r="AN428" s="53" t="b">
        <f aca="false">IFERROR(__xludf.dummyfunction("""COMPUTED_VALUE"""),FALSE())</f>
        <v>0</v>
      </c>
      <c r="AO428" s="46"/>
    </row>
    <row r="429" customFormat="false" ht="15.75" hidden="false" customHeight="true" outlineLevel="0" collapsed="false">
      <c r="A429" s="37" t="str">
        <f aca="false">IFERROR(__xludf.dummyfunction("""COMPUTED_VALUE"""),"Toán")</f>
        <v>Toán</v>
      </c>
      <c r="B429" s="37" t="str">
        <f aca="false">IFERROR(__xludf.dummyfunction("""COMPUTED_VALUE"""),"TOV_TC_T12")</f>
        <v>TOV_TC_T12</v>
      </c>
      <c r="C429" s="59" t="str">
        <f aca="false">IFERROR(__xludf.dummyfunction("""COMPUTED_VALUE"""),"Dãy số, cấp số cộng, cấp số nhân")</f>
        <v>Dãy số, cấp số cộng, cấp số nhân</v>
      </c>
      <c r="D429" s="39" t="str">
        <f aca="false">IFERROR(__xludf.dummyfunction("""COMPUTED_VALUE"""),"Nguyễn Thanh Tùng")</f>
        <v>Nguyễn Thanh Tùng</v>
      </c>
      <c r="E429" s="40" t="n">
        <f aca="false">IFERROR(__xludf.dummyfunction("""COMPUTED_VALUE"""),46273)</f>
        <v>46273</v>
      </c>
      <c r="F429" s="41" t="n">
        <f aca="false">IFERROR(__xludf.dummyfunction("""COMPUTED_VALUE"""),3)</f>
        <v>3</v>
      </c>
      <c r="G429" s="37" t="str">
        <f aca="false">IFERROR(__xludf.dummyfunction("""COMPUTED_VALUE"""),"21:00-23:00")</f>
        <v>21:00-23:00</v>
      </c>
      <c r="H429" s="37"/>
      <c r="I429" s="37"/>
      <c r="J429" s="62"/>
      <c r="K429" s="68" t="str">
        <f aca="false">IFERROR(__xludf.dummyfunction("""COMPUTED_VALUE"""),"Lent")</f>
        <v>Lent</v>
      </c>
      <c r="L429" s="68" t="str">
        <f aca="false">IFERROR(__xludf.dummyfunction("""COMPUTED_VALUE"""),"Tưởng Thị Huyền Trang")</f>
        <v>Tưởng Thị Huyền Trang</v>
      </c>
      <c r="M429" s="71"/>
      <c r="N429" s="77" t="str">
        <f aca="false">IFERROR(__xludf.dummyfunction("""COMPUTED_VALUE"""),"3108,3117,3315,3127,3314")</f>
        <v>3108,3117,3315,3127,3314</v>
      </c>
      <c r="O429" s="63" t="str">
        <f aca="false">IFERROR(__xludf.dummyfunction("""COMPUTED_VALUE"""),"168378, 168593, 168334, 167470, 167070")</f>
        <v>168378, 168593, 168334, 167470, 167070</v>
      </c>
      <c r="P429" s="63" t="str">
        <f aca="false">IFERROR(__xludf.dummyfunction("""COMPUTED_VALUE"""),"9025,9028,9036,9104,9106,9017,9102")</f>
        <v>9025,9028,9036,9104,9106,9017,9102</v>
      </c>
      <c r="Q429" s="63" t="n">
        <f aca="false">IFERROR(__xludf.dummyfunction("""COMPUTED_VALUE"""),167070)</f>
        <v>167070</v>
      </c>
      <c r="R429" s="41"/>
      <c r="S429" s="41"/>
      <c r="T429" s="63"/>
      <c r="U429" s="63"/>
      <c r="V429" s="70" t="n">
        <f aca="false">IFERROR(__xludf.dummyfunction("""COMPUTED_VALUE"""),46276)</f>
        <v>46276</v>
      </c>
      <c r="W429" s="39"/>
      <c r="X429" s="41" t="str">
        <f aca="false">IFERROR(__xludf.dummyfunction("""COMPUTED_VALUE"""),"Lent")</f>
        <v>Lent</v>
      </c>
      <c r="Y429" s="44" t="str">
        <f aca="false">IFERROR(__xludf.dummyfunction("""COMPUTED_VALUE"""),"done")</f>
        <v>done</v>
      </c>
      <c r="Z429" s="57" t="str">
        <f aca="false">IFERROR(__xludf.dummyfunction("""COMPUTED_VALUE"""),"#N/A")</f>
        <v>#N/A</v>
      </c>
      <c r="AA429" s="57"/>
      <c r="AB429" s="41" t="n">
        <f aca="false">IFERROR(__xludf.dummyfunction("""COMPUTED_VALUE"""),9)</f>
        <v>9</v>
      </c>
      <c r="AC429" s="57" t="str">
        <f aca="false">IFERROR(__xludf.dummyfunction("""COMPUTED_VALUE"""),"gv.tungnt@hocmai.edu.vn ")</f>
        <v>gv.tungnt@hocmai.edu.vn </v>
      </c>
      <c r="AD429" s="46" t="str">
        <f aca="false">IFERROR(__xludf.dummyfunction("""COMPUTED_VALUE"""),"trangcrazy699@gmail.com")</f>
        <v>trangcrazy699@gmail.com</v>
      </c>
      <c r="AE429" s="46"/>
      <c r="AF429" s="47" t="str">
        <f aca="false">IFERROR(__xludf.dummyfunction("""COMPUTED_VALUE"""),"lophoctoan-946273")</f>
        <v>lophoctoan-946273</v>
      </c>
      <c r="AG429" s="46" t="str">
        <f aca="false">IFERROR(__xludf.dummyfunction("""COMPUTED_VALUE"""),"")</f>
        <v/>
      </c>
      <c r="AH429" s="35"/>
      <c r="AI429" s="53" t="b">
        <f aca="false">IFERROR(__xludf.dummyfunction("""COMPUTED_VALUE"""),TRUE())</f>
        <v>1</v>
      </c>
      <c r="AJ429" s="53" t="b">
        <f aca="false">IFERROR(__xludf.dummyfunction("""COMPUTED_VALUE"""),TRUE())</f>
        <v>1</v>
      </c>
      <c r="AK429" s="53" t="b">
        <f aca="false">IFERROR(__xludf.dummyfunction("""COMPUTED_VALUE"""),TRUE())</f>
        <v>1</v>
      </c>
      <c r="AL429" s="53" t="b">
        <f aca="false">IFERROR(__xludf.dummyfunction("""COMPUTED_VALUE"""),TRUE())</f>
        <v>1</v>
      </c>
      <c r="AM429" s="35"/>
      <c r="AN429" s="35"/>
      <c r="AO429" s="46"/>
    </row>
    <row r="430" customFormat="false" ht="15.75" hidden="false" customHeight="true" outlineLevel="0" collapsed="false">
      <c r="A430" s="37" t="str">
        <f aca="false">IFERROR(__xludf.dummyfunction("""COMPUTED_VALUE"""),"Tiếng Việt")</f>
        <v>Tiếng Việt</v>
      </c>
      <c r="B430" s="37" t="str">
        <f aca="false">IFERROR(__xludf.dummyfunction("""COMPUTED_VALUE"""),"TOV_V-ACT_TV10")</f>
        <v>TOV_V-ACT_TV10</v>
      </c>
      <c r="C430" s="59" t="str">
        <f aca="false">IFERROR(__xludf.dummyfunction("""COMPUTED_VALUE"""),"Truyện và phương pháp đọc hiểu theo từng thể loại")</f>
        <v>Truyện và phương pháp đọc hiểu theo từng thể loại</v>
      </c>
      <c r="D430" s="39" t="str">
        <f aca="false">IFERROR(__xludf.dummyfunction("""COMPUTED_VALUE"""),"Văn Trịnh Quỳnh An")</f>
        <v>Văn Trịnh Quỳnh An</v>
      </c>
      <c r="E430" s="40" t="n">
        <f aca="false">IFERROR(__xludf.dummyfunction("""COMPUTED_VALUE"""),46273)</f>
        <v>46273</v>
      </c>
      <c r="F430" s="41" t="n">
        <f aca="false">IFERROR(__xludf.dummyfunction("""COMPUTED_VALUE"""),3)</f>
        <v>3</v>
      </c>
      <c r="G430" s="37" t="str">
        <f aca="false">IFERROR(__xludf.dummyfunction("""COMPUTED_VALUE"""),"20:00-21:30")</f>
        <v>20:00-21:30</v>
      </c>
      <c r="H430" s="37"/>
      <c r="I430" s="37"/>
      <c r="J430" s="37"/>
      <c r="K430" s="68" t="str">
        <f aca="false">IFERROR(__xludf.dummyfunction("""COMPUTED_VALUE"""),"Hangvt3")</f>
        <v>Hangvt3</v>
      </c>
      <c r="L430" s="68" t="str">
        <f aca="false">IFERROR(__xludf.dummyfunction("""COMPUTED_VALUE"""),"Bùi Vĩnh Thọ")</f>
        <v>Bùi Vĩnh Thọ</v>
      </c>
      <c r="M430" s="71"/>
      <c r="N430" s="77" t="str">
        <f aca="false">IFERROR(__xludf.dummyfunction("""COMPUTED_VALUE"""),"3125,3338")</f>
        <v>3125,3338</v>
      </c>
      <c r="O430" s="73" t="n">
        <f aca="false">IFERROR(__xludf.dummyfunction("""COMPUTED_VALUE"""),167362.174777)</f>
        <v>167362.174777</v>
      </c>
      <c r="P430" s="63" t="n">
        <f aca="false">IFERROR(__xludf.dummyfunction("""COMPUTED_VALUE"""),174777)</f>
        <v>174777</v>
      </c>
      <c r="Q430" s="63"/>
      <c r="R430" s="41"/>
      <c r="S430" s="41"/>
      <c r="T430" s="63"/>
      <c r="U430" s="63"/>
      <c r="V430" s="70" t="n">
        <f aca="false">IFERROR(__xludf.dummyfunction("""COMPUTED_VALUE"""),46276)</f>
        <v>46276</v>
      </c>
      <c r="W430" s="39"/>
      <c r="X430" s="41" t="str">
        <f aca="false">IFERROR(__xludf.dummyfunction("""COMPUTED_VALUE"""),"Phuongdt")</f>
        <v>Phuongdt</v>
      </c>
      <c r="Y430" s="44" t="str">
        <f aca="false">IFERROR(__xludf.dummyfunction("""COMPUTED_VALUE"""),"done")</f>
        <v>done</v>
      </c>
      <c r="Z430" s="57" t="str">
        <f aca="false">IFERROR(__xludf.dummyfunction("""COMPUTED_VALUE"""),"#N/A")</f>
        <v>#N/A</v>
      </c>
      <c r="AA430" s="57"/>
      <c r="AB430" s="41" t="n">
        <f aca="false">IFERROR(__xludf.dummyfunction("""COMPUTED_VALUE"""),9)</f>
        <v>9</v>
      </c>
      <c r="AC430" s="57" t="str">
        <f aca="false">IFERROR(__xludf.dummyfunction("""COMPUTED_VALUE"""),"gv.anvtq@hocmai.edu.vn ")</f>
        <v>gv.anvtq@hocmai.edu.vn </v>
      </c>
      <c r="AD430" s="46" t="str">
        <f aca="false">IFERROR(__xludf.dummyfunction("""COMPUTED_VALUE"""),"vinhtho0704@gmail.com")</f>
        <v>vinhtho0704@gmail.com</v>
      </c>
      <c r="AE430" s="46"/>
      <c r="AF430" s="74" t="b">
        <f aca="false">IFERROR(__xludf.dummyfunction("""COMPUTED_VALUE"""),FALSE())</f>
        <v>0</v>
      </c>
      <c r="AG430" s="46" t="str">
        <f aca="false">IFERROR(__xludf.dummyfunction("""COMPUTED_VALUE"""),"")</f>
        <v/>
      </c>
      <c r="AH430" s="35"/>
      <c r="AI430" s="35"/>
      <c r="AJ430" s="35"/>
      <c r="AK430" s="35"/>
      <c r="AL430" s="35"/>
      <c r="AM430" s="53" t="b">
        <f aca="false">IFERROR(__xludf.dummyfunction("""COMPUTED_VALUE"""),TRUE())</f>
        <v>1</v>
      </c>
      <c r="AN430" s="53" t="b">
        <f aca="false">IFERROR(__xludf.dummyfunction("""COMPUTED_VALUE"""),TRUE())</f>
        <v>1</v>
      </c>
      <c r="AO430" s="46"/>
    </row>
    <row r="431" customFormat="false" ht="15.75" hidden="false" customHeight="true" outlineLevel="0" collapsed="false">
      <c r="A431" s="37" t="str">
        <f aca="false">IFERROR(__xludf.dummyfunction("""COMPUTED_VALUE"""),"Địa lí")</f>
        <v>Địa lí</v>
      </c>
      <c r="B431" s="37" t="str">
        <f aca="false">IFERROR(__xludf.dummyfunction("""COMPUTED_VALUE"""),"TOV_HSA_ĐL09")</f>
        <v>TOV_HSA_ĐL09</v>
      </c>
      <c r="C431" s="59" t="str">
        <f aca="false">IFERROR(__xludf.dummyfunction("""COMPUTED_VALUE"""),"Địa lí một số quốc gia (phần 2)")</f>
        <v>Địa lí một số quốc gia (phần 2)</v>
      </c>
      <c r="D431" s="39" t="str">
        <f aca="false">IFERROR(__xludf.dummyfunction("""COMPUTED_VALUE"""),"Nguyễn Văn Vinh")</f>
        <v>Nguyễn Văn Vinh</v>
      </c>
      <c r="E431" s="40" t="n">
        <f aca="false">IFERROR(__xludf.dummyfunction("""COMPUTED_VALUE"""),46273)</f>
        <v>46273</v>
      </c>
      <c r="F431" s="41" t="n">
        <f aca="false">IFERROR(__xludf.dummyfunction("""COMPUTED_VALUE"""),3)</f>
        <v>3</v>
      </c>
      <c r="G431" s="37" t="str">
        <f aca="false">IFERROR(__xludf.dummyfunction("""COMPUTED_VALUE"""),"18:30-20:30")</f>
        <v>18:30-20:30</v>
      </c>
      <c r="H431" s="37"/>
      <c r="I431" s="37"/>
      <c r="J431" s="37"/>
      <c r="K431" s="68" t="str">
        <f aca="false">IFERROR(__xludf.dummyfunction("""COMPUTED_VALUE"""),"Trinhntt")</f>
        <v>Trinhntt</v>
      </c>
      <c r="L431" s="68" t="str">
        <f aca="false">IFERROR(__xludf.dummyfunction("""COMPUTED_VALUE"""),"Phan Đức Kiên")</f>
        <v>Phan Đức Kiên</v>
      </c>
      <c r="M431" s="71"/>
      <c r="N431" s="77" t="str">
        <f aca="false">IFERROR(__xludf.dummyfunction("""COMPUTED_VALUE"""),"3123")</f>
        <v>3123</v>
      </c>
      <c r="O431" s="63" t="n">
        <f aca="false">IFERROR(__xludf.dummyfunction("""COMPUTED_VALUE"""),174755)</f>
        <v>174755</v>
      </c>
      <c r="P431" s="63"/>
      <c r="Q431" s="63" t="n">
        <f aca="false">IFERROR(__xludf.dummyfunction("""COMPUTED_VALUE"""),174755)</f>
        <v>174755</v>
      </c>
      <c r="R431" s="41"/>
      <c r="S431" s="41"/>
      <c r="T431" s="63"/>
      <c r="U431" s="63"/>
      <c r="V431" s="70" t="n">
        <f aca="false">IFERROR(__xludf.dummyfunction("""COMPUTED_VALUE"""),46276)</f>
        <v>46276</v>
      </c>
      <c r="W431" s="39"/>
      <c r="X431" s="41" t="str">
        <f aca="false">IFERROR(__xludf.dummyfunction("""COMPUTED_VALUE"""),"Huent7")</f>
        <v>Huent7</v>
      </c>
      <c r="Y431" s="44"/>
      <c r="Z431" s="57" t="str">
        <f aca="false">IFERROR(__xludf.dummyfunction("""COMPUTED_VALUE"""),"#N/A")</f>
        <v>#N/A</v>
      </c>
      <c r="AA431" s="57"/>
      <c r="AB431" s="41"/>
      <c r="AC431" s="57" t="str">
        <f aca="false">IFERROR(__xludf.dummyfunction("""COMPUTED_VALUE"""),"gv.vinhnv@hocmai.edu.vn")</f>
        <v>gv.vinhnv@hocmai.edu.vn</v>
      </c>
      <c r="AD431" s="46" t="str">
        <f aca="false">IFERROR(__xludf.dummyfunction("""COMPUTED_VALUE"""),"duckien010607@gmail.com")</f>
        <v>duckien010607@gmail.com</v>
      </c>
      <c r="AE431" s="46"/>
      <c r="AF431" s="74" t="b">
        <f aca="false">IFERROR(__xludf.dummyfunction("""COMPUTED_VALUE"""),FALSE())</f>
        <v>0</v>
      </c>
      <c r="AG431" s="46" t="str">
        <f aca="false">IFERROR(__xludf.dummyfunction("""COMPUTED_VALUE"""),"")</f>
        <v/>
      </c>
      <c r="AH431" s="35"/>
      <c r="AI431" s="35"/>
      <c r="AJ431" s="53" t="b">
        <f aca="false">IFERROR(__xludf.dummyfunction("""COMPUTED_VALUE"""),TRUE())</f>
        <v>1</v>
      </c>
      <c r="AK431" s="53" t="b">
        <f aca="false">IFERROR(__xludf.dummyfunction("""COMPUTED_VALUE"""),TRUE())</f>
        <v>1</v>
      </c>
      <c r="AL431" s="35"/>
      <c r="AM431" s="35"/>
      <c r="AN431" s="35"/>
      <c r="AO431" s="46"/>
    </row>
    <row r="432" customFormat="false" ht="15.75" hidden="false" customHeight="true" outlineLevel="0" collapsed="false">
      <c r="A432" s="37" t="str">
        <f aca="false">IFERROR(__xludf.dummyfunction("""COMPUTED_VALUE"""),"Thực chiến Khoa học")</f>
        <v>Thực chiến Khoa học</v>
      </c>
      <c r="B432" s="37" t="str">
        <f aca="false">IFERROR(__xludf.dummyfunction("""COMPUTED_VALUE"""),"TC_TSA_KH_27")</f>
        <v>TC_TSA_KH_27</v>
      </c>
      <c r="C432" s="59" t="str">
        <f aca="false">IFERROR(__xludf.dummyfunction("""COMPUTED_VALUE"""),"[Bổ trợ]_Chữa bài tập TSA_Tư duy Khoa học số 27")</f>
        <v>[Bổ trợ]_Chữa bài tập TSA_Tư duy Khoa học số 27</v>
      </c>
      <c r="D432" s="39" t="str">
        <f aca="false">IFERROR(__xludf.dummyfunction("""COMPUTED_VALUE"""),"Nguyễn Trọng Trường Anh")</f>
        <v>Nguyễn Trọng Trường Anh</v>
      </c>
      <c r="E432" s="40" t="n">
        <f aca="false">IFERROR(__xludf.dummyfunction("""COMPUTED_VALUE"""),46273)</f>
        <v>46273</v>
      </c>
      <c r="F432" s="41" t="n">
        <f aca="false">IFERROR(__xludf.dummyfunction("""COMPUTED_VALUE"""),3)</f>
        <v>3</v>
      </c>
      <c r="G432" s="37" t="str">
        <f aca="false">IFERROR(__xludf.dummyfunction("""COMPUTED_VALUE"""),"19:00-20:00")</f>
        <v>19:00-20:00</v>
      </c>
      <c r="H432" s="37"/>
      <c r="I432" s="37"/>
      <c r="J432" s="37"/>
      <c r="K432" s="68" t="str">
        <f aca="false">IFERROR(__xludf.dummyfunction("""COMPUTED_VALUE"""),"Trangnth2")</f>
        <v>Trangnth2</v>
      </c>
      <c r="L432" s="68" t="str">
        <f aca="false">IFERROR(__xludf.dummyfunction("""COMPUTED_VALUE"""),"HOCMAI")</f>
        <v>HOCMAI</v>
      </c>
      <c r="M432" s="71"/>
      <c r="N432" s="77" t="str">
        <f aca="false">IFERROR(__xludf.dummyfunction("""COMPUTED_VALUE"""),"3110")</f>
        <v>3110</v>
      </c>
      <c r="O432" s="63" t="n">
        <f aca="false">IFERROR(__xludf.dummyfunction("""COMPUTED_VALUE"""),176080)</f>
        <v>176080</v>
      </c>
      <c r="P432" s="60" t="str">
        <f aca="false">IFERROR(__xludf.dummyfunction("""COMPUTED_VALUE"""),"https://hocmai.vn/bai-giang-truc-tuyen/176080/.html")</f>
        <v>https://hocmai.vn/bai-giang-truc-tuyen/176080/.html</v>
      </c>
      <c r="Q432" s="63"/>
      <c r="R432" s="41"/>
      <c r="S432" s="41"/>
      <c r="T432" s="63"/>
      <c r="U432" s="63"/>
      <c r="V432" s="70" t="n">
        <f aca="false">IFERROR(__xludf.dummyfunction("""COMPUTED_VALUE"""),46276)</f>
        <v>46276</v>
      </c>
      <c r="W432" s="39"/>
      <c r="X432" s="41" t="str">
        <f aca="false">IFERROR(__xludf.dummyfunction("""COMPUTED_VALUE"""),"Vuta")</f>
        <v>Vuta</v>
      </c>
      <c r="Y432" s="44"/>
      <c r="Z432" s="57"/>
      <c r="AA432" s="57"/>
      <c r="AB432" s="41" t="n">
        <f aca="false">IFERROR(__xludf.dummyfunction("""COMPUTED_VALUE"""),9)</f>
        <v>9</v>
      </c>
      <c r="AC432" s="57" t="str">
        <f aca="false">IFERROR(__xludf.dummyfunction("""COMPUTED_VALUE"""),"thochi1981@gmail.com")</f>
        <v>thochi1981@gmail.com</v>
      </c>
      <c r="AD432" s="46"/>
      <c r="AE432" s="46"/>
      <c r="AF432" s="47"/>
      <c r="AG432" s="46"/>
      <c r="AH432" s="53" t="b">
        <f aca="false">IFERROR(__xludf.dummyfunction("""COMPUTED_VALUE"""),FALSE())</f>
        <v>0</v>
      </c>
      <c r="AI432" s="53" t="b">
        <f aca="false">IFERROR(__xludf.dummyfunction("""COMPUTED_VALUE"""),TRUE())</f>
        <v>1</v>
      </c>
      <c r="AJ432" s="53" t="b">
        <f aca="false">IFERROR(__xludf.dummyfunction("""COMPUTED_VALUE"""),FALSE())</f>
        <v>0</v>
      </c>
      <c r="AK432" s="53" t="b">
        <f aca="false">IFERROR(__xludf.dummyfunction("""COMPUTED_VALUE"""),FALSE())</f>
        <v>0</v>
      </c>
      <c r="AL432" s="53" t="b">
        <f aca="false">IFERROR(__xludf.dummyfunction("""COMPUTED_VALUE"""),FALSE())</f>
        <v>0</v>
      </c>
      <c r="AM432" s="53" t="b">
        <f aca="false">IFERROR(__xludf.dummyfunction("""COMPUTED_VALUE"""),FALSE())</f>
        <v>0</v>
      </c>
      <c r="AN432" s="53" t="b">
        <f aca="false">IFERROR(__xludf.dummyfunction("""COMPUTED_VALUE"""),FALSE())</f>
        <v>0</v>
      </c>
      <c r="AO432" s="46"/>
    </row>
    <row r="433" customFormat="false" ht="15.75" hidden="false" customHeight="true" outlineLevel="0" collapsed="false">
      <c r="A433" s="37" t="str">
        <f aca="false">IFERROR(__xludf.dummyfunction("""COMPUTED_VALUE"""),"Thực chiến Tiếng Anh")</f>
        <v>Thực chiến Tiếng Anh</v>
      </c>
      <c r="B433" s="37" t="str">
        <f aca="false">IFERROR(__xludf.dummyfunction("""COMPUTED_VALUE"""),"TC_V-ACT_TA_17")</f>
        <v>TC_V-ACT_TA_17</v>
      </c>
      <c r="C433" s="59" t="str">
        <f aca="false">IFERROR(__xludf.dummyfunction("""COMPUTED_VALUE"""),"[Bổ trợ]_Chữa bài tập_V-ACT_Tiếng Anh số 17")</f>
        <v>[Bổ trợ]_Chữa bài tập_V-ACT_Tiếng Anh số 17</v>
      </c>
      <c r="D433" s="39" t="str">
        <f aca="false">IFERROR(__xludf.dummyfunction("""COMPUTED_VALUE"""),"Dung Thành Vinh")</f>
        <v>Dung Thành Vinh</v>
      </c>
      <c r="E433" s="40" t="n">
        <f aca="false">IFERROR(__xludf.dummyfunction("""COMPUTED_VALUE"""),46273)</f>
        <v>46273</v>
      </c>
      <c r="F433" s="41" t="n">
        <f aca="false">IFERROR(__xludf.dummyfunction("""COMPUTED_VALUE"""),3)</f>
        <v>3</v>
      </c>
      <c r="G433" s="37" t="str">
        <f aca="false">IFERROR(__xludf.dummyfunction("""COMPUTED_VALUE"""),"18:00-19:00")</f>
        <v>18:00-19:00</v>
      </c>
      <c r="H433" s="37"/>
      <c r="I433" s="37"/>
      <c r="J433" s="37"/>
      <c r="K433" s="68" t="str">
        <f aca="false">IFERROR(__xludf.dummyfunction("""COMPUTED_VALUE"""),"Huyenn2")</f>
        <v>Huyenn2</v>
      </c>
      <c r="L433" s="68" t="str">
        <f aca="false">IFERROR(__xludf.dummyfunction("""COMPUTED_VALUE"""),"HOCMAI")</f>
        <v>HOCMAI</v>
      </c>
      <c r="M433" s="71"/>
      <c r="N433" s="77" t="str">
        <f aca="false">IFERROR(__xludf.dummyfunction("""COMPUTED_VALUE"""),"3165")</f>
        <v>3165</v>
      </c>
      <c r="O433" s="63" t="n">
        <f aca="false">IFERROR(__xludf.dummyfunction("""COMPUTED_VALUE"""),176110)</f>
        <v>176110</v>
      </c>
      <c r="P433" s="60" t="str">
        <f aca="false">IFERROR(__xludf.dummyfunction("""COMPUTED_VALUE"""),"https://hocmai.vn/bai-giang-truc-tuyen/176110/.html")</f>
        <v>https://hocmai.vn/bai-giang-truc-tuyen/176110/.html</v>
      </c>
      <c r="Q433" s="63"/>
      <c r="R433" s="41"/>
      <c r="S433" s="41"/>
      <c r="T433" s="63"/>
      <c r="U433" s="63"/>
      <c r="V433" s="70" t="n">
        <f aca="false">IFERROR(__xludf.dummyfunction("""COMPUTED_VALUE"""),46276)</f>
        <v>46276</v>
      </c>
      <c r="W433" s="39"/>
      <c r="X433" s="41" t="str">
        <f aca="false">IFERROR(__xludf.dummyfunction("""COMPUTED_VALUE"""),"Vuta")</f>
        <v>Vuta</v>
      </c>
      <c r="Y433" s="44"/>
      <c r="Z433" s="57"/>
      <c r="AA433" s="57"/>
      <c r="AB433" s="41" t="n">
        <f aca="false">IFERROR(__xludf.dummyfunction("""COMPUTED_VALUE"""),9)</f>
        <v>9</v>
      </c>
      <c r="AC433" s="57" t="str">
        <f aca="false">IFERROR(__xludf.dummyfunction("""COMPUTED_VALUE"""),"shimlim04@gmail.com")</f>
        <v>shimlim04@gmail.com</v>
      </c>
      <c r="AD433" s="46"/>
      <c r="AE433" s="46"/>
      <c r="AF433" s="47"/>
      <c r="AG433" s="46"/>
      <c r="AH433" s="53" t="b">
        <f aca="false">IFERROR(__xludf.dummyfunction("""COMPUTED_VALUE"""),FALSE())</f>
        <v>0</v>
      </c>
      <c r="AI433" s="53" t="b">
        <f aca="false">IFERROR(__xludf.dummyfunction("""COMPUTED_VALUE"""),FALSE())</f>
        <v>0</v>
      </c>
      <c r="AJ433" s="53" t="b">
        <f aca="false">IFERROR(__xludf.dummyfunction("""COMPUTED_VALUE"""),FALSE())</f>
        <v>0</v>
      </c>
      <c r="AK433" s="53" t="b">
        <f aca="false">IFERROR(__xludf.dummyfunction("""COMPUTED_VALUE"""),FALSE())</f>
        <v>0</v>
      </c>
      <c r="AL433" s="53" t="b">
        <f aca="false">IFERROR(__xludf.dummyfunction("""COMPUTED_VALUE"""),FALSE())</f>
        <v>0</v>
      </c>
      <c r="AM433" s="53" t="b">
        <f aca="false">IFERROR(__xludf.dummyfunction("""COMPUTED_VALUE"""),TRUE())</f>
        <v>1</v>
      </c>
      <c r="AN433" s="53" t="b">
        <f aca="false">IFERROR(__xludf.dummyfunction("""COMPUTED_VALUE"""),TRUE())</f>
        <v>1</v>
      </c>
      <c r="AO433" s="46"/>
    </row>
    <row r="434" customFormat="false" ht="15.75" hidden="false" customHeight="true" outlineLevel="0" collapsed="false">
      <c r="A434" s="37" t="str">
        <f aca="false">IFERROR(__xludf.dummyfunction("""COMPUTED_VALUE"""),"Định tính")</f>
        <v>Định tính</v>
      </c>
      <c r="B434" s="37" t="str">
        <f aca="false">IFERROR(__xludf.dummyfunction("""COMPUTED_VALUE"""),"TOV_HSA_DT11")</f>
        <v>TOV_HSA_DT11</v>
      </c>
      <c r="C434" s="59" t="str">
        <f aca="false">IFERROR(__xludf.dummyfunction("""COMPUTED_VALUE"""),"Kí và tản văn: Đặc trưng thể loại và phương pháp tiếp cận")</f>
        <v>Kí và tản văn: Đặc trưng thể loại và phương pháp tiếp cận</v>
      </c>
      <c r="D434" s="39" t="str">
        <f aca="false">IFERROR(__xludf.dummyfunction("""COMPUTED_VALUE"""),"Vương Thúy Hằng")</f>
        <v>Vương Thúy Hằng</v>
      </c>
      <c r="E434" s="40" t="n">
        <f aca="false">IFERROR(__xludf.dummyfunction("""COMPUTED_VALUE"""),46274)</f>
        <v>46274</v>
      </c>
      <c r="F434" s="41" t="n">
        <f aca="false">IFERROR(__xludf.dummyfunction("""COMPUTED_VALUE"""),4)</f>
        <v>4</v>
      </c>
      <c r="G434" s="37" t="str">
        <f aca="false">IFERROR(__xludf.dummyfunction("""COMPUTED_VALUE"""),"21:00-23:00")</f>
        <v>21:00-23:00</v>
      </c>
      <c r="H434" s="37"/>
      <c r="I434" s="37"/>
      <c r="J434" s="37"/>
      <c r="K434" s="68" t="str">
        <f aca="false">IFERROR(__xludf.dummyfunction("""COMPUTED_VALUE"""),"Hangvt3")</f>
        <v>Hangvt3</v>
      </c>
      <c r="L434" s="68" t="str">
        <f aca="false">IFERROR(__xludf.dummyfunction("""COMPUTED_VALUE"""),"Kiều Bảo Minh")</f>
        <v>Kiều Bảo Minh</v>
      </c>
      <c r="M434" s="71"/>
      <c r="N434" s="77" t="str">
        <f aca="false">IFERROR(__xludf.dummyfunction("""COMPUTED_VALUE"""),"3118")</f>
        <v>3118</v>
      </c>
      <c r="O434" s="63" t="n">
        <f aca="false">IFERROR(__xludf.dummyfunction("""COMPUTED_VALUE"""),167300)</f>
        <v>167300</v>
      </c>
      <c r="P434" s="63"/>
      <c r="Q434" s="63"/>
      <c r="R434" s="41"/>
      <c r="S434" s="41"/>
      <c r="T434" s="63"/>
      <c r="U434" s="63"/>
      <c r="V434" s="70" t="n">
        <f aca="false">IFERROR(__xludf.dummyfunction("""COMPUTED_VALUE"""),46270)</f>
        <v>46270</v>
      </c>
      <c r="W434" s="39"/>
      <c r="X434" s="41" t="str">
        <f aca="false">IFERROR(__xludf.dummyfunction("""COMPUTED_VALUE"""),"Phuongdt")</f>
        <v>Phuongdt</v>
      </c>
      <c r="Y434" s="44" t="str">
        <f aca="false">IFERROR(__xludf.dummyfunction("""COMPUTED_VALUE"""),"done")</f>
        <v>done</v>
      </c>
      <c r="Z434" s="57" t="str">
        <f aca="false">IFERROR(__xludf.dummyfunction("""COMPUTED_VALUE"""),"#N/A")</f>
        <v>#N/A</v>
      </c>
      <c r="AA434" s="57"/>
      <c r="AB434" s="41" t="n">
        <f aca="false">IFERROR(__xludf.dummyfunction("""COMPUTED_VALUE"""),9)</f>
        <v>9</v>
      </c>
      <c r="AC434" s="57" t="str">
        <f aca="false">IFERROR(__xludf.dummyfunction("""COMPUTED_VALUE"""),"gv.hangvt@hocmai.edu.vn ")</f>
        <v>gv.hangvt@hocmai.edu.vn </v>
      </c>
      <c r="AD434" s="46" t="str">
        <f aca="false">IFERROR(__xludf.dummyfunction("""COMPUTED_VALUE"""),"mkieu2662@gmail.com")</f>
        <v>mkieu2662@gmail.com</v>
      </c>
      <c r="AE434" s="46"/>
      <c r="AF434" s="74" t="b">
        <f aca="false">IFERROR(__xludf.dummyfunction("""COMPUTED_VALUE"""),FALSE())</f>
        <v>0</v>
      </c>
      <c r="AG434" s="46" t="str">
        <f aca="false">IFERROR(__xludf.dummyfunction("""COMPUTED_VALUE"""),"")</f>
        <v/>
      </c>
      <c r="AH434" s="35"/>
      <c r="AI434" s="35"/>
      <c r="AJ434" s="53" t="b">
        <f aca="false">IFERROR(__xludf.dummyfunction("""COMPUTED_VALUE"""),TRUE())</f>
        <v>1</v>
      </c>
      <c r="AK434" s="53" t="b">
        <f aca="false">IFERROR(__xludf.dummyfunction("""COMPUTED_VALUE"""),TRUE())</f>
        <v>1</v>
      </c>
      <c r="AL434" s="35"/>
      <c r="AM434" s="35"/>
      <c r="AN434" s="35"/>
      <c r="AO434" s="46"/>
    </row>
    <row r="435" customFormat="false" ht="15.75" hidden="false" customHeight="true" outlineLevel="0" collapsed="false">
      <c r="A435" s="37" t="str">
        <f aca="false">IFERROR(__xludf.dummyfunction("""COMPUTED_VALUE"""),"Ngữ văn")</f>
        <v>Ngữ văn</v>
      </c>
      <c r="B435" s="37" t="str">
        <f aca="false">IFERROR(__xludf.dummyfunction("""COMPUTED_VALUE"""),"TOV_TNTHPT_NV03")</f>
        <v>TOV_TNTHPT_NV03</v>
      </c>
      <c r="C435" s="59" t="str">
        <f aca="false">IFERROR(__xludf.dummyfunction("""COMPUTED_VALUE"""),"Hướng dẫn đọc và khai thác nội dung văn bản thơ trữ tình")</f>
        <v>Hướng dẫn đọc và khai thác nội dung văn bản thơ trữ tình</v>
      </c>
      <c r="D435" s="39" t="str">
        <f aca="false">IFERROR(__xludf.dummyfunction("""COMPUTED_VALUE"""),"Phạm Hữu Cường")</f>
        <v>Phạm Hữu Cường</v>
      </c>
      <c r="E435" s="40" t="n">
        <f aca="false">IFERROR(__xludf.dummyfunction("""COMPUTED_VALUE"""),46274)</f>
        <v>46274</v>
      </c>
      <c r="F435" s="41" t="n">
        <f aca="false">IFERROR(__xludf.dummyfunction("""COMPUTED_VALUE"""),4)</f>
        <v>4</v>
      </c>
      <c r="G435" s="37" t="str">
        <f aca="false">IFERROR(__xludf.dummyfunction("""COMPUTED_VALUE"""),"21:00-23:00")</f>
        <v>21:00-23:00</v>
      </c>
      <c r="H435" s="37"/>
      <c r="I435" s="37"/>
      <c r="J435" s="37"/>
      <c r="K435" s="68" t="str">
        <f aca="false">IFERROR(__xludf.dummyfunction("""COMPUTED_VALUE"""),"Hangvt3")</f>
        <v>Hangvt3</v>
      </c>
      <c r="L435" s="68" t="str">
        <f aca="false">IFERROR(__xludf.dummyfunction("""COMPUTED_VALUE"""),"Trần Đức Lương")</f>
        <v>Trần Đức Lương</v>
      </c>
      <c r="M435" s="71"/>
      <c r="N435" s="77" t="str">
        <f aca="false">IFERROR(__xludf.dummyfunction("""COMPUTED_VALUE"""),"3128")</f>
        <v>3128</v>
      </c>
      <c r="O435" s="63" t="n">
        <f aca="false">IFERROR(__xludf.dummyfunction("""COMPUTED_VALUE"""),167560)</f>
        <v>167560</v>
      </c>
      <c r="P435" s="63"/>
      <c r="Q435" s="63"/>
      <c r="R435" s="41"/>
      <c r="S435" s="41"/>
      <c r="T435" s="63"/>
      <c r="U435" s="63"/>
      <c r="V435" s="70" t="n">
        <f aca="false">IFERROR(__xludf.dummyfunction("""COMPUTED_VALUE"""),46277)</f>
        <v>46277</v>
      </c>
      <c r="W435" s="39"/>
      <c r="X435" s="41" t="str">
        <f aca="false">IFERROR(__xludf.dummyfunction("""COMPUTED_VALUE"""),"Phuongdt")</f>
        <v>Phuongdt</v>
      </c>
      <c r="Y435" s="44"/>
      <c r="Z435" s="57" t="str">
        <f aca="false">IFERROR(__xludf.dummyfunction("""COMPUTED_VALUE"""),"#N/A")</f>
        <v>#N/A</v>
      </c>
      <c r="AA435" s="57"/>
      <c r="AB435" s="41" t="n">
        <f aca="false">IFERROR(__xludf.dummyfunction("""COMPUTED_VALUE"""),9)</f>
        <v>9</v>
      </c>
      <c r="AC435" s="57" t="str">
        <f aca="false">IFERROR(__xludf.dummyfunction("""COMPUTED_VALUE"""),"gv.cuongph@hocmai.edu.vn ")</f>
        <v>gv.cuongph@hocmai.edu.vn </v>
      </c>
      <c r="AD435" s="46" t="str">
        <f aca="false">IFERROR(__xludf.dummyfunction("""COMPUTED_VALUE"""),"ss.hsa01@ctv.hocmai.vn")</f>
        <v>ss.hsa01@ctv.hocmai.vn</v>
      </c>
      <c r="AE435" s="46"/>
      <c r="AF435" s="74" t="b">
        <f aca="false">IFERROR(__xludf.dummyfunction("""COMPUTED_VALUE"""),FALSE())</f>
        <v>0</v>
      </c>
      <c r="AG435" s="46" t="str">
        <f aca="false">IFERROR(__xludf.dummyfunction("""COMPUTED_VALUE"""),"")</f>
        <v/>
      </c>
      <c r="AH435" s="35"/>
      <c r="AI435" s="35"/>
      <c r="AJ435" s="35"/>
      <c r="AK435" s="35"/>
      <c r="AL435" s="53" t="b">
        <f aca="false">IFERROR(__xludf.dummyfunction("""COMPUTED_VALUE"""),TRUE())</f>
        <v>1</v>
      </c>
      <c r="AM435" s="35"/>
      <c r="AN435" s="35"/>
      <c r="AO435" s="46"/>
    </row>
    <row r="436" customFormat="false" ht="15.75" hidden="false" customHeight="true" outlineLevel="0" collapsed="false">
      <c r="A436" s="37" t="str">
        <f aca="false">IFERROR(__xludf.dummyfunction("""COMPUTED_VALUE"""),"Thực chiến Định lượng")</f>
        <v>Thực chiến Định lượng</v>
      </c>
      <c r="B436" s="37" t="str">
        <f aca="false">IFERROR(__xludf.dummyfunction("""COMPUTED_VALUE"""),"TC_HSA_ĐL_23")</f>
        <v>TC_HSA_ĐL_23</v>
      </c>
      <c r="C436" s="59" t="str">
        <f aca="false">IFERROR(__xludf.dummyfunction("""COMPUTED_VALUE"""),"[Bổ trợ]_Chữa bài tập _Tư duy Định lượng số 23")</f>
        <v>[Bổ trợ]_Chữa bài tập _Tư duy Định lượng số 23</v>
      </c>
      <c r="D436" s="39" t="str">
        <f aca="false">IFERROR(__xludf.dummyfunction("""COMPUTED_VALUE"""),"Vi Vũ Trí Đức")</f>
        <v>Vi Vũ Trí Đức</v>
      </c>
      <c r="E436" s="40" t="n">
        <f aca="false">IFERROR(__xludf.dummyfunction("""COMPUTED_VALUE"""),46274)</f>
        <v>46274</v>
      </c>
      <c r="F436" s="41" t="n">
        <f aca="false">IFERROR(__xludf.dummyfunction("""COMPUTED_VALUE"""),4)</f>
        <v>4</v>
      </c>
      <c r="G436" s="37" t="str">
        <f aca="false">IFERROR(__xludf.dummyfunction("""COMPUTED_VALUE"""),"19:00-20:00")</f>
        <v>19:00-20:00</v>
      </c>
      <c r="H436" s="37"/>
      <c r="I436" s="37"/>
      <c r="J436" s="37"/>
      <c r="K436" s="68" t="str">
        <f aca="false">IFERROR(__xludf.dummyfunction("""COMPUTED_VALUE"""),"Locdd")</f>
        <v>Locdd</v>
      </c>
      <c r="L436" s="68" t="str">
        <f aca="false">IFERROR(__xludf.dummyfunction("""COMPUTED_VALUE"""),"HOCMAI")</f>
        <v>HOCMAI</v>
      </c>
      <c r="M436" s="71"/>
      <c r="N436" s="77" t="str">
        <f aca="false">IFERROR(__xludf.dummyfunction("""COMPUTED_VALUE"""),"3117")</f>
        <v>3117</v>
      </c>
      <c r="O436" s="63" t="n">
        <f aca="false">IFERROR(__xludf.dummyfunction("""COMPUTED_VALUE"""),176136)</f>
        <v>176136</v>
      </c>
      <c r="P436" s="60" t="str">
        <f aca="false">IFERROR(__xludf.dummyfunction("""COMPUTED_VALUE"""),"https://hocmai.vn/bai-giang-truc-tuyen/176136/.html")</f>
        <v>https://hocmai.vn/bai-giang-truc-tuyen/176136/.html</v>
      </c>
      <c r="Q436" s="63"/>
      <c r="R436" s="41"/>
      <c r="S436" s="41"/>
      <c r="T436" s="63"/>
      <c r="U436" s="63"/>
      <c r="V436" s="70" t="n">
        <f aca="false">IFERROR(__xludf.dummyfunction("""COMPUTED_VALUE"""),46277)</f>
        <v>46277</v>
      </c>
      <c r="W436" s="39"/>
      <c r="X436" s="41" t="str">
        <f aca="false">IFERROR(__xludf.dummyfunction("""COMPUTED_VALUE"""),"Vuta")</f>
        <v>Vuta</v>
      </c>
      <c r="Y436" s="44"/>
      <c r="Z436" s="57"/>
      <c r="AA436" s="57"/>
      <c r="AB436" s="41" t="n">
        <f aca="false">IFERROR(__xludf.dummyfunction("""COMPUTED_VALUE"""),9)</f>
        <v>9</v>
      </c>
      <c r="AC436" s="57" t="str">
        <f aca="false">IFERROR(__xludf.dummyfunction("""COMPUTED_VALUE"""),"tdstawesome@gmail.com")</f>
        <v>tdstawesome@gmail.com</v>
      </c>
      <c r="AD436" s="46"/>
      <c r="AE436" s="46"/>
      <c r="AF436" s="47"/>
      <c r="AG436" s="46"/>
      <c r="AH436" s="53" t="b">
        <f aca="false">IFERROR(__xludf.dummyfunction("""COMPUTED_VALUE"""),FALSE())</f>
        <v>0</v>
      </c>
      <c r="AI436" s="53" t="b">
        <f aca="false">IFERROR(__xludf.dummyfunction("""COMPUTED_VALUE"""),FALSE())</f>
        <v>0</v>
      </c>
      <c r="AJ436" s="53" t="b">
        <f aca="false">IFERROR(__xludf.dummyfunction("""COMPUTED_VALUE"""),TRUE())</f>
        <v>1</v>
      </c>
      <c r="AK436" s="53" t="b">
        <f aca="false">IFERROR(__xludf.dummyfunction("""COMPUTED_VALUE"""),TRUE())</f>
        <v>1</v>
      </c>
      <c r="AL436" s="53" t="b">
        <f aca="false">IFERROR(__xludf.dummyfunction("""COMPUTED_VALUE"""),FALSE())</f>
        <v>0</v>
      </c>
      <c r="AM436" s="53" t="b">
        <f aca="false">IFERROR(__xludf.dummyfunction("""COMPUTED_VALUE"""),FALSE())</f>
        <v>0</v>
      </c>
      <c r="AN436" s="53" t="b">
        <f aca="false">IFERROR(__xludf.dummyfunction("""COMPUTED_VALUE"""),FALSE())</f>
        <v>0</v>
      </c>
      <c r="AO436" s="46"/>
    </row>
    <row r="437" customFormat="false" ht="15.75" hidden="false" customHeight="true" outlineLevel="0" collapsed="false">
      <c r="A437" s="37" t="str">
        <f aca="false">IFERROR(__xludf.dummyfunction("""COMPUTED_VALUE"""),"Thực chiến Khoa học")</f>
        <v>Thực chiến Khoa học</v>
      </c>
      <c r="B437" s="37" t="str">
        <f aca="false">IFERROR(__xludf.dummyfunction("""COMPUTED_VALUE"""),"TC_V-ACT_KH_08")</f>
        <v>TC_V-ACT_KH_08</v>
      </c>
      <c r="C437" s="59" t="str">
        <f aca="false">IFERROR(__xludf.dummyfunction("""COMPUTED_VALUE"""),"[Bổ trợ]_Chữa bài tập_V-ACT_Tư duy khoa học số 08")</f>
        <v>[Bổ trợ]_Chữa bài tập_V-ACT_Tư duy khoa học số 08</v>
      </c>
      <c r="D437" s="39" t="str">
        <f aca="false">IFERROR(__xludf.dummyfunction("""COMPUTED_VALUE"""),"Lê Thế Anh")</f>
        <v>Lê Thế Anh</v>
      </c>
      <c r="E437" s="40" t="n">
        <f aca="false">IFERROR(__xludf.dummyfunction("""COMPUTED_VALUE"""),46274)</f>
        <v>46274</v>
      </c>
      <c r="F437" s="41" t="n">
        <f aca="false">IFERROR(__xludf.dummyfunction("""COMPUTED_VALUE"""),4)</f>
        <v>4</v>
      </c>
      <c r="G437" s="37" t="str">
        <f aca="false">IFERROR(__xludf.dummyfunction("""COMPUTED_VALUE"""),"19:00-20:00")</f>
        <v>19:00-20:00</v>
      </c>
      <c r="H437" s="37"/>
      <c r="I437" s="37"/>
      <c r="J437" s="42" t="str">
        <f aca="false">IFERROR(__xludf.dummyfunction("""COMPUTED_VALUE"""),"https://drive.google.com/drive/folders/19EhrumcXZmdldCh_ccYYXkHDQYGndmQR?usp=drive_link")</f>
        <v>https://drive.google.com/drive/folders/19EhrumcXZmdldCh_ccYYXkHDQYGndmQR?usp=drive_link</v>
      </c>
      <c r="K437" s="68" t="str">
        <f aca="false">IFERROR(__xludf.dummyfunction("""COMPUTED_VALUE"""),"Trangnth2")</f>
        <v>Trangnth2</v>
      </c>
      <c r="L437" s="68" t="str">
        <f aca="false">IFERROR(__xludf.dummyfunction("""COMPUTED_VALUE"""),"HOCMAI")</f>
        <v>HOCMAI</v>
      </c>
      <c r="M437" s="71"/>
      <c r="N437" s="77" t="str">
        <f aca="false">IFERROR(__xludf.dummyfunction("""COMPUTED_VALUE"""),"3126")</f>
        <v>3126</v>
      </c>
      <c r="O437" s="63" t="n">
        <f aca="false">IFERROR(__xludf.dummyfunction("""COMPUTED_VALUE"""),176085)</f>
        <v>176085</v>
      </c>
      <c r="P437" s="60" t="str">
        <f aca="false">IFERROR(__xludf.dummyfunction("""COMPUTED_VALUE"""),"https://hocmai.vn/bai-giang-truc-tuyen/176085/.html")</f>
        <v>https://hocmai.vn/bai-giang-truc-tuyen/176085/.html</v>
      </c>
      <c r="Q437" s="63"/>
      <c r="R437" s="41"/>
      <c r="S437" s="41"/>
      <c r="T437" s="63"/>
      <c r="U437" s="63"/>
      <c r="V437" s="70" t="n">
        <f aca="false">IFERROR(__xludf.dummyfunction("""COMPUTED_VALUE"""),46277)</f>
        <v>46277</v>
      </c>
      <c r="W437" s="39"/>
      <c r="X437" s="41" t="str">
        <f aca="false">IFERROR(__xludf.dummyfunction("""COMPUTED_VALUE"""),"Vuta")</f>
        <v>Vuta</v>
      </c>
      <c r="Y437" s="44"/>
      <c r="Z437" s="57"/>
      <c r="AA437" s="57"/>
      <c r="AB437" s="41" t="n">
        <f aca="false">IFERROR(__xludf.dummyfunction("""COMPUTED_VALUE"""),9)</f>
        <v>9</v>
      </c>
      <c r="AC437" s="57" t="str">
        <f aca="false">IFERROR(__xludf.dummyfunction("""COMPUTED_VALUE"""),"ss.vact01@ctv.hocmai.vn")</f>
        <v>ss.vact01@ctv.hocmai.vn</v>
      </c>
      <c r="AD437" s="46"/>
      <c r="AE437" s="46"/>
      <c r="AF437" s="47"/>
      <c r="AG437" s="46"/>
      <c r="AH437" s="53" t="b">
        <f aca="false">IFERROR(__xludf.dummyfunction("""COMPUTED_VALUE"""),FALSE())</f>
        <v>0</v>
      </c>
      <c r="AI437" s="53" t="b">
        <f aca="false">IFERROR(__xludf.dummyfunction("""COMPUTED_VALUE"""),FALSE())</f>
        <v>0</v>
      </c>
      <c r="AJ437" s="53" t="b">
        <f aca="false">IFERROR(__xludf.dummyfunction("""COMPUTED_VALUE"""),FALSE())</f>
        <v>0</v>
      </c>
      <c r="AK437" s="53" t="b">
        <f aca="false">IFERROR(__xludf.dummyfunction("""COMPUTED_VALUE"""),FALSE())</f>
        <v>0</v>
      </c>
      <c r="AL437" s="53" t="b">
        <f aca="false">IFERROR(__xludf.dummyfunction("""COMPUTED_VALUE"""),FALSE())</f>
        <v>0</v>
      </c>
      <c r="AM437" s="53" t="b">
        <f aca="false">IFERROR(__xludf.dummyfunction("""COMPUTED_VALUE"""),TRUE())</f>
        <v>1</v>
      </c>
      <c r="AN437" s="53" t="b">
        <f aca="false">IFERROR(__xludf.dummyfunction("""COMPUTED_VALUE"""),TRUE())</f>
        <v>1</v>
      </c>
      <c r="AO437" s="46"/>
    </row>
    <row r="438" customFormat="false" ht="15.75" hidden="false" customHeight="true" outlineLevel="0" collapsed="false">
      <c r="A438" s="37" t="str">
        <f aca="false">IFERROR(__xludf.dummyfunction("""COMPUTED_VALUE"""),"Thực chiến Tiếng Việt")</f>
        <v>Thực chiến Tiếng Việt</v>
      </c>
      <c r="B438" s="37" t="str">
        <f aca="false">IFERROR(__xludf.dummyfunction("""COMPUTED_VALUE"""),"TC_V-ACT_TV_16")</f>
        <v>TC_V-ACT_TV_16</v>
      </c>
      <c r="C438" s="59" t="str">
        <f aca="false">IFERROR(__xludf.dummyfunction("""COMPUTED_VALUE"""),"[Bổ trợ]_Chữa bài tập_V-ACT_Tiếng Việt số 16")</f>
        <v>[Bổ trợ]_Chữa bài tập_V-ACT_Tiếng Việt số 16</v>
      </c>
      <c r="D438" s="39" t="str">
        <f aca="false">IFERROR(__xludf.dummyfunction("""COMPUTED_VALUE"""),"Nguyễn Thị Khánh Ly")</f>
        <v>Nguyễn Thị Khánh Ly</v>
      </c>
      <c r="E438" s="40" t="n">
        <f aca="false">IFERROR(__xludf.dummyfunction("""COMPUTED_VALUE"""),46274)</f>
        <v>46274</v>
      </c>
      <c r="F438" s="41" t="n">
        <f aca="false">IFERROR(__xludf.dummyfunction("""COMPUTED_VALUE"""),4)</f>
        <v>4</v>
      </c>
      <c r="G438" s="37" t="str">
        <f aca="false">IFERROR(__xludf.dummyfunction("""COMPUTED_VALUE"""),"21:15-22:15")</f>
        <v>21:15-22:15</v>
      </c>
      <c r="H438" s="37"/>
      <c r="I438" s="37"/>
      <c r="J438" s="37"/>
      <c r="K438" s="68" t="str">
        <f aca="false">IFERROR(__xludf.dummyfunction("""COMPUTED_VALUE"""),"Hoantt")</f>
        <v>Hoantt</v>
      </c>
      <c r="L438" s="68" t="str">
        <f aca="false">IFERROR(__xludf.dummyfunction("""COMPUTED_VALUE"""),"HOCMAI")</f>
        <v>HOCMAI</v>
      </c>
      <c r="M438" s="71"/>
      <c r="N438" s="77" t="str">
        <f aca="false">IFERROR(__xludf.dummyfunction("""COMPUTED_VALUE"""),"3125")</f>
        <v>3125</v>
      </c>
      <c r="O438" s="63" t="n">
        <f aca="false">IFERROR(__xludf.dummyfunction("""COMPUTED_VALUE"""),176121)</f>
        <v>176121</v>
      </c>
      <c r="P438" s="60" t="str">
        <f aca="false">IFERROR(__xludf.dummyfunction("""COMPUTED_VALUE"""),"https://hocmai.vn/bai-giang-truc-tuyen/176121/.html")</f>
        <v>https://hocmai.vn/bai-giang-truc-tuyen/176121/.html</v>
      </c>
      <c r="Q438" s="63"/>
      <c r="R438" s="41"/>
      <c r="S438" s="41"/>
      <c r="T438" s="63"/>
      <c r="U438" s="63"/>
      <c r="V438" s="70" t="n">
        <f aca="false">IFERROR(__xludf.dummyfunction("""COMPUTED_VALUE"""),46277)</f>
        <v>46277</v>
      </c>
      <c r="W438" s="39"/>
      <c r="X438" s="41" t="str">
        <f aca="false">IFERROR(__xludf.dummyfunction("""COMPUTED_VALUE"""),"Vuta")</f>
        <v>Vuta</v>
      </c>
      <c r="Y438" s="44"/>
      <c r="Z438" s="57"/>
      <c r="AA438" s="57"/>
      <c r="AB438" s="41" t="n">
        <f aca="false">IFERROR(__xludf.dummyfunction("""COMPUTED_VALUE"""),9)</f>
        <v>9</v>
      </c>
      <c r="AC438" s="57" t="str">
        <f aca="false">IFERROR(__xludf.dummyfunction("""COMPUTED_VALUE"""),"khanhly16092003@gmail.com")</f>
        <v>khanhly16092003@gmail.com</v>
      </c>
      <c r="AD438" s="46"/>
      <c r="AE438" s="46"/>
      <c r="AF438" s="47"/>
      <c r="AG438" s="46"/>
      <c r="AH438" s="53" t="b">
        <f aca="false">IFERROR(__xludf.dummyfunction("""COMPUTED_VALUE"""),FALSE())</f>
        <v>0</v>
      </c>
      <c r="AI438" s="53" t="b">
        <f aca="false">IFERROR(__xludf.dummyfunction("""COMPUTED_VALUE"""),FALSE())</f>
        <v>0</v>
      </c>
      <c r="AJ438" s="53" t="b">
        <f aca="false">IFERROR(__xludf.dummyfunction("""COMPUTED_VALUE"""),FALSE())</f>
        <v>0</v>
      </c>
      <c r="AK438" s="53" t="b">
        <f aca="false">IFERROR(__xludf.dummyfunction("""COMPUTED_VALUE"""),FALSE())</f>
        <v>0</v>
      </c>
      <c r="AL438" s="53" t="b">
        <f aca="false">IFERROR(__xludf.dummyfunction("""COMPUTED_VALUE"""),FALSE())</f>
        <v>0</v>
      </c>
      <c r="AM438" s="53" t="b">
        <f aca="false">IFERROR(__xludf.dummyfunction("""COMPUTED_VALUE"""),TRUE())</f>
        <v>1</v>
      </c>
      <c r="AN438" s="53" t="b">
        <f aca="false">IFERROR(__xludf.dummyfunction("""COMPUTED_VALUE"""),TRUE())</f>
        <v>1</v>
      </c>
      <c r="AO438" s="46"/>
    </row>
    <row r="439" customFormat="false" ht="15.75" hidden="false" customHeight="true" outlineLevel="0" collapsed="false">
      <c r="A439" s="37" t="str">
        <f aca="false">IFERROR(__xludf.dummyfunction("""COMPUTED_VALUE"""),"Vật lí")</f>
        <v>Vật lí</v>
      </c>
      <c r="B439" s="37" t="str">
        <f aca="false">IFERROR(__xludf.dummyfunction("""COMPUTED_VALUE"""),"TOV_TSA_L12")</f>
        <v>TOV_TSA_L12</v>
      </c>
      <c r="C439" s="59" t="str">
        <f aca="false">IFERROR(__xludf.dummyfunction("""COMPUTED_VALUE"""),"Từ thông, cảm ứng điện từ và dòng điện xoay chiều")</f>
        <v>Từ thông, cảm ứng điện từ và dòng điện xoay chiều</v>
      </c>
      <c r="D439" s="39" t="str">
        <f aca="false">IFERROR(__xludf.dummyfunction("""COMPUTED_VALUE"""),"Thiều Thị Dung")</f>
        <v>Thiều Thị Dung</v>
      </c>
      <c r="E439" s="40" t="n">
        <f aca="false">IFERROR(__xludf.dummyfunction("""COMPUTED_VALUE"""),46275)</f>
        <v>46275</v>
      </c>
      <c r="F439" s="41" t="n">
        <f aca="false">IFERROR(__xludf.dummyfunction("""COMPUTED_VALUE"""),5)</f>
        <v>5</v>
      </c>
      <c r="G439" s="37" t="str">
        <f aca="false">IFERROR(__xludf.dummyfunction("""COMPUTED_VALUE"""),"21:00-23:00")</f>
        <v>21:00-23:00</v>
      </c>
      <c r="H439" s="37"/>
      <c r="I439" s="37"/>
      <c r="J439" s="37"/>
      <c r="K439" s="68" t="str">
        <f aca="false">IFERROR(__xludf.dummyfunction("""COMPUTED_VALUE"""),"Trangnth2")</f>
        <v>Trangnth2</v>
      </c>
      <c r="L439" s="68" t="str">
        <f aca="false">IFERROR(__xludf.dummyfunction("""COMPUTED_VALUE"""),"Trần Đức Lương")</f>
        <v>Trần Đức Lương</v>
      </c>
      <c r="M439" s="71"/>
      <c r="N439" s="77" t="str">
        <f aca="false">IFERROR(__xludf.dummyfunction("""COMPUTED_VALUE"""),"3110")</f>
        <v>3110</v>
      </c>
      <c r="O439" s="63" t="n">
        <f aca="false">IFERROR(__xludf.dummyfunction("""COMPUTED_VALUE"""),167268)</f>
        <v>167268</v>
      </c>
      <c r="P439" s="63"/>
      <c r="Q439" s="63"/>
      <c r="R439" s="41"/>
      <c r="S439" s="41"/>
      <c r="T439" s="63"/>
      <c r="U439" s="63"/>
      <c r="V439" s="70" t="n">
        <f aca="false">IFERROR(__xludf.dummyfunction("""COMPUTED_VALUE"""),46278)</f>
        <v>46278</v>
      </c>
      <c r="W439" s="39"/>
      <c r="X439" s="41" t="str">
        <f aca="false">IFERROR(__xludf.dummyfunction("""COMPUTED_VALUE"""),"Trangnth2")</f>
        <v>Trangnth2</v>
      </c>
      <c r="Y439" s="44"/>
      <c r="Z439" s="57" t="str">
        <f aca="false">IFERROR(__xludf.dummyfunction("""COMPUTED_VALUE"""),"#N/A")</f>
        <v>#N/A</v>
      </c>
      <c r="AA439" s="57"/>
      <c r="AB439" s="41" t="n">
        <f aca="false">IFERROR(__xludf.dummyfunction("""COMPUTED_VALUE"""),9)</f>
        <v>9</v>
      </c>
      <c r="AC439" s="57" t="str">
        <f aca="false">IFERROR(__xludf.dummyfunction("""COMPUTED_VALUE"""),"dungtt2@hocmai.vn                ")</f>
        <v>dungtt2@hocmai.vn                </v>
      </c>
      <c r="AD439" s="46" t="str">
        <f aca="false">IFERROR(__xludf.dummyfunction("""COMPUTED_VALUE"""),"ss.hsa01@ctv.hocmai.vn")</f>
        <v>ss.hsa01@ctv.hocmai.vn</v>
      </c>
      <c r="AE439" s="46"/>
      <c r="AF439" s="74" t="b">
        <f aca="false">IFERROR(__xludf.dummyfunction("""COMPUTED_VALUE"""),FALSE())</f>
        <v>0</v>
      </c>
      <c r="AG439" s="46" t="str">
        <f aca="false">IFERROR(__xludf.dummyfunction("""COMPUTED_VALUE"""),"")</f>
        <v/>
      </c>
      <c r="AH439" s="35"/>
      <c r="AI439" s="53" t="b">
        <f aca="false">IFERROR(__xludf.dummyfunction("""COMPUTED_VALUE"""),TRUE())</f>
        <v>1</v>
      </c>
      <c r="AJ439" s="35"/>
      <c r="AK439" s="35"/>
      <c r="AL439" s="35"/>
      <c r="AM439" s="35"/>
      <c r="AN439" s="35"/>
      <c r="AO439" s="46"/>
    </row>
    <row r="440" customFormat="false" ht="15.75" hidden="false" customHeight="true" outlineLevel="0" collapsed="false">
      <c r="A440" s="37" t="str">
        <f aca="false">IFERROR(__xludf.dummyfunction("""COMPUTED_VALUE"""),"Vật lí")</f>
        <v>Vật lí</v>
      </c>
      <c r="B440" s="37" t="str">
        <f aca="false">IFERROR(__xludf.dummyfunction("""COMPUTED_VALUE"""),"TOV_HT_VL13")</f>
        <v>TOV_HT_VL13</v>
      </c>
      <c r="C440" s="59" t="str">
        <f aca="false">IFERROR(__xludf.dummyfunction("""COMPUTED_VALUE"""),"Nội năng – Định luật I nhiệt động lực học")</f>
        <v>Nội năng – Định luật I nhiệt động lực học</v>
      </c>
      <c r="D440" s="39" t="str">
        <f aca="false">IFERROR(__xludf.dummyfunction("""COMPUTED_VALUE"""),"Nguyễn Hữu Tình")</f>
        <v>Nguyễn Hữu Tình</v>
      </c>
      <c r="E440" s="40" t="n">
        <f aca="false">IFERROR(__xludf.dummyfunction("""COMPUTED_VALUE"""),46275)</f>
        <v>46275</v>
      </c>
      <c r="F440" s="41" t="n">
        <f aca="false">IFERROR(__xludf.dummyfunction("""COMPUTED_VALUE"""),5)</f>
        <v>5</v>
      </c>
      <c r="G440" s="37" t="str">
        <f aca="false">IFERROR(__xludf.dummyfunction("""COMPUTED_VALUE"""),"21:00-23:00")</f>
        <v>21:00-23:00</v>
      </c>
      <c r="H440" s="37"/>
      <c r="I440" s="37"/>
      <c r="J440" s="37"/>
      <c r="K440" s="68" t="str">
        <f aca="false">IFERROR(__xludf.dummyfunction("""COMPUTED_VALUE"""),"Trangnth2")</f>
        <v>Trangnth2</v>
      </c>
      <c r="L440" s="68" t="str">
        <f aca="false">IFERROR(__xludf.dummyfunction("""COMPUTED_VALUE"""),"Kiều Bảo Minh")</f>
        <v>Kiều Bảo Minh</v>
      </c>
      <c r="M440" s="71"/>
      <c r="N440" s="80" t="str">
        <f aca="false">IFERROR(__xludf.dummyfunction("""COMPUTED_VALUE"""),"3119,3130")</f>
        <v>3119,3130</v>
      </c>
      <c r="O440" s="73" t="n">
        <f aca="false">IFERROR(__xludf.dummyfunction("""COMPUTED_VALUE"""),167528.167575)</f>
        <v>167528.167575</v>
      </c>
      <c r="P440" s="63" t="str">
        <f aca="false">IFERROR(__xludf.dummyfunction("""COMPUTED_VALUE"""),"9031,9039,9020")</f>
        <v>9031,9039,9020</v>
      </c>
      <c r="Q440" s="63"/>
      <c r="R440" s="41"/>
      <c r="S440" s="41"/>
      <c r="T440" s="63"/>
      <c r="U440" s="63" t="n">
        <f aca="false">IFERROR(__xludf.dummyfunction("""COMPUTED_VALUE"""),10469)</f>
        <v>10469</v>
      </c>
      <c r="V440" s="70" t="n">
        <f aca="false">IFERROR(__xludf.dummyfunction("""COMPUTED_VALUE"""),46278)</f>
        <v>46278</v>
      </c>
      <c r="W440" s="39"/>
      <c r="X440" s="41" t="str">
        <f aca="false">IFERROR(__xludf.dummyfunction("""COMPUTED_VALUE"""),"Trangnth2")</f>
        <v>Trangnth2</v>
      </c>
      <c r="Y440" s="44"/>
      <c r="Z440" s="57" t="str">
        <f aca="false">IFERROR(__xludf.dummyfunction("""COMPUTED_VALUE"""),"#N/A")</f>
        <v>#N/A</v>
      </c>
      <c r="AA440" s="57"/>
      <c r="AB440" s="41" t="n">
        <f aca="false">IFERROR(__xludf.dummyfunction("""COMPUTED_VALUE"""),9)</f>
        <v>9</v>
      </c>
      <c r="AC440" s="57" t="str">
        <f aca="false">IFERROR(__xludf.dummyfunction("""COMPUTED_VALUE"""),"gv.tinhnh@hocmai.edu.vn ")</f>
        <v>gv.tinhnh@hocmai.edu.vn </v>
      </c>
      <c r="AD440" s="46" t="str">
        <f aca="false">IFERROR(__xludf.dummyfunction("""COMPUTED_VALUE"""),"mkieu2662@gmail.com")</f>
        <v>mkieu2662@gmail.com</v>
      </c>
      <c r="AE440" s="46"/>
      <c r="AF440" s="74" t="b">
        <f aca="false">IFERROR(__xludf.dummyfunction("""COMPUTED_VALUE"""),FALSE())</f>
        <v>0</v>
      </c>
      <c r="AG440" s="46" t="str">
        <f aca="false">IFERROR(__xludf.dummyfunction("""COMPUTED_VALUE"""),"")</f>
        <v/>
      </c>
      <c r="AH440" s="35"/>
      <c r="AI440" s="35"/>
      <c r="AJ440" s="53" t="b">
        <f aca="false">IFERROR(__xludf.dummyfunction("""COMPUTED_VALUE"""),TRUE())</f>
        <v>1</v>
      </c>
      <c r="AK440" s="53" t="b">
        <f aca="false">IFERROR(__xludf.dummyfunction("""COMPUTED_VALUE"""),TRUE())</f>
        <v>1</v>
      </c>
      <c r="AL440" s="53" t="b">
        <f aca="false">IFERROR(__xludf.dummyfunction("""COMPUTED_VALUE"""),TRUE())</f>
        <v>1</v>
      </c>
      <c r="AM440" s="35"/>
      <c r="AN440" s="35"/>
      <c r="AO440" s="46"/>
    </row>
    <row r="441" customFormat="false" ht="15.75" hidden="false" customHeight="true" outlineLevel="0" collapsed="false">
      <c r="A441" s="37" t="str">
        <f aca="false">IFERROR(__xludf.dummyfunction("""COMPUTED_VALUE"""),"Toán")</f>
        <v>Toán</v>
      </c>
      <c r="B441" s="37" t="str">
        <f aca="false">IFERROR(__xludf.dummyfunction("""COMPUTED_VALUE"""),"TOA_V-ACT_T12")</f>
        <v>TOA_V-ACT_T12</v>
      </c>
      <c r="C441" s="59" t="str">
        <f aca="false">IFERROR(__xludf.dummyfunction("""COMPUTED_VALUE"""),"Các bài toán trọng tâm về hàm số (P3)")</f>
        <v>Các bài toán trọng tâm về hàm số (P3)</v>
      </c>
      <c r="D441" s="39" t="str">
        <f aca="false">IFERROR(__xludf.dummyfunction("""COMPUTED_VALUE"""),"Nguyễn Hoài Nam")</f>
        <v>Nguyễn Hoài Nam</v>
      </c>
      <c r="E441" s="40" t="n">
        <f aca="false">IFERROR(__xludf.dummyfunction("""COMPUTED_VALUE"""),46275)</f>
        <v>46275</v>
      </c>
      <c r="F441" s="41" t="n">
        <f aca="false">IFERROR(__xludf.dummyfunction("""COMPUTED_VALUE"""),5)</f>
        <v>5</v>
      </c>
      <c r="G441" s="37" t="str">
        <f aca="false">IFERROR(__xludf.dummyfunction("""COMPUTED_VALUE"""),"21:00-22:30")</f>
        <v>21:00-22:30</v>
      </c>
      <c r="H441" s="37"/>
      <c r="I441" s="37"/>
      <c r="J441" s="37"/>
      <c r="K441" s="68" t="str">
        <f aca="false">IFERROR(__xludf.dummyfunction("""COMPUTED_VALUE"""),"Lent")</f>
        <v>Lent</v>
      </c>
      <c r="L441" s="68" t="str">
        <f aca="false">IFERROR(__xludf.dummyfunction("""COMPUTED_VALUE"""),"Lường Nhật Nam")</f>
        <v>Lường Nhật Nam</v>
      </c>
      <c r="M441" s="71"/>
      <c r="N441" s="77" t="str">
        <f aca="false">IFERROR(__xludf.dummyfunction("""COMPUTED_VALUE"""),"3124,3316")</f>
        <v>3124,3316</v>
      </c>
      <c r="O441" s="73" t="n">
        <f aca="false">IFERROR(__xludf.dummyfunction("""COMPUTED_VALUE"""),167200.166866)</f>
        <v>167200.166866</v>
      </c>
      <c r="P441" s="63" t="n">
        <f aca="false">IFERROR(__xludf.dummyfunction("""COMPUTED_VALUE"""),9044.9108)</f>
        <v>9044.9108</v>
      </c>
      <c r="Q441" s="63" t="n">
        <f aca="false">IFERROR(__xludf.dummyfunction("""COMPUTED_VALUE"""),167200)</f>
        <v>167200</v>
      </c>
      <c r="R441" s="41" t="n">
        <f aca="false">IFERROR(__xludf.dummyfunction("""COMPUTED_VALUE"""),166866)</f>
        <v>166866</v>
      </c>
      <c r="S441" s="41"/>
      <c r="T441" s="63"/>
      <c r="U441" s="63"/>
      <c r="V441" s="70" t="n">
        <f aca="false">IFERROR(__xludf.dummyfunction("""COMPUTED_VALUE"""),46278)</f>
        <v>46278</v>
      </c>
      <c r="W441" s="39"/>
      <c r="X441" s="41" t="str">
        <f aca="false">IFERROR(__xludf.dummyfunction("""COMPUTED_VALUE"""),"Lent")</f>
        <v>Lent</v>
      </c>
      <c r="Y441" s="44" t="str">
        <f aca="false">IFERROR(__xludf.dummyfunction("""COMPUTED_VALUE"""),"done")</f>
        <v>done</v>
      </c>
      <c r="Z441" s="57" t="str">
        <f aca="false">IFERROR(__xludf.dummyfunction("""COMPUTED_VALUE"""),"#N/A")</f>
        <v>#N/A</v>
      </c>
      <c r="AA441" s="57"/>
      <c r="AB441" s="41" t="n">
        <f aca="false">IFERROR(__xludf.dummyfunction("""COMPUTED_VALUE"""),9)</f>
        <v>9</v>
      </c>
      <c r="AC441" s="57" t="str">
        <f aca="false">IFERROR(__xludf.dummyfunction("""COMPUTED_VALUE"""),"gv.namnh@hocmai.edu.vn ")</f>
        <v>gv.namnh@hocmai.edu.vn </v>
      </c>
      <c r="AD441" s="46" t="str">
        <f aca="false">IFERROR(__xludf.dummyfunction("""COMPUTED_VALUE"""),"nhatnam1092@gmail.com")</f>
        <v>nhatnam1092@gmail.com</v>
      </c>
      <c r="AE441" s="46"/>
      <c r="AF441" s="47" t="str">
        <f aca="false">IFERROR(__xludf.dummyfunction("""COMPUTED_VALUE"""),"lophoctoan-946275")</f>
        <v>lophoctoan-946275</v>
      </c>
      <c r="AG441" s="46" t="str">
        <f aca="false">IFERROR(__xludf.dummyfunction("""COMPUTED_VALUE"""),"")</f>
        <v/>
      </c>
      <c r="AH441" s="35"/>
      <c r="AI441" s="35"/>
      <c r="AJ441" s="35"/>
      <c r="AK441" s="35"/>
      <c r="AL441" s="35"/>
      <c r="AM441" s="53" t="b">
        <f aca="false">IFERROR(__xludf.dummyfunction("""COMPUTED_VALUE"""),TRUE())</f>
        <v>1</v>
      </c>
      <c r="AN441" s="53" t="b">
        <f aca="false">IFERROR(__xludf.dummyfunction("""COMPUTED_VALUE"""),TRUE())</f>
        <v>1</v>
      </c>
      <c r="AO441" s="46"/>
    </row>
    <row r="442" customFormat="false" ht="15.75" hidden="false" customHeight="true" outlineLevel="0" collapsed="false">
      <c r="A442" s="37" t="str">
        <f aca="false">IFERROR(__xludf.dummyfunction("""COMPUTED_VALUE"""),"Toán")</f>
        <v>Toán</v>
      </c>
      <c r="B442" s="37" t="str">
        <f aca="false">IFERROR(__xludf.dummyfunction("""COMPUTED_VALUE"""),"TOV_TSA_T13")</f>
        <v>TOV_TSA_T13</v>
      </c>
      <c r="C442" s="59" t="str">
        <f aca="false">IFERROR(__xludf.dummyfunction("""COMPUTED_VALUE"""),"Các bài toán liên quan Mũ – logarit")</f>
        <v>Các bài toán liên quan Mũ – logarit</v>
      </c>
      <c r="D442" s="39" t="str">
        <f aca="false">IFERROR(__xludf.dummyfunction("""COMPUTED_VALUE"""),"Nguyễn Thanh Tùng")</f>
        <v>Nguyễn Thanh Tùng</v>
      </c>
      <c r="E442" s="40" t="n">
        <f aca="false">IFERROR(__xludf.dummyfunction("""COMPUTED_VALUE"""),46276)</f>
        <v>46276</v>
      </c>
      <c r="F442" s="41" t="n">
        <f aca="false">IFERROR(__xludf.dummyfunction("""COMPUTED_VALUE"""),6)</f>
        <v>6</v>
      </c>
      <c r="G442" s="37" t="str">
        <f aca="false">IFERROR(__xludf.dummyfunction("""COMPUTED_VALUE"""),"18:00-20:00")</f>
        <v>18:00-20:00</v>
      </c>
      <c r="H442" s="37"/>
      <c r="I442" s="37"/>
      <c r="J442" s="62"/>
      <c r="K442" s="68" t="str">
        <f aca="false">IFERROR(__xludf.dummyfunction("""COMPUTED_VALUE"""),"Locdd")</f>
        <v>Locdd</v>
      </c>
      <c r="L442" s="68" t="str">
        <f aca="false">IFERROR(__xludf.dummyfunction("""COMPUTED_VALUE"""),"Tưởng Thị Huyền Trang")</f>
        <v>Tưởng Thị Huyền Trang</v>
      </c>
      <c r="M442" s="71"/>
      <c r="N442" s="77" t="str">
        <f aca="false">IFERROR(__xludf.dummyfunction("""COMPUTED_VALUE"""),"3108")</f>
        <v>3108</v>
      </c>
      <c r="O442" s="63" t="n">
        <f aca="false">IFERROR(__xludf.dummyfunction("""COMPUTED_VALUE"""),168379)</f>
        <v>168379</v>
      </c>
      <c r="P442" s="63"/>
      <c r="Q442" s="63"/>
      <c r="R442" s="41"/>
      <c r="S442" s="41"/>
      <c r="T442" s="63"/>
      <c r="U442" s="63"/>
      <c r="V442" s="70" t="n">
        <f aca="false">IFERROR(__xludf.dummyfunction("""COMPUTED_VALUE"""),46279)</f>
        <v>46279</v>
      </c>
      <c r="W442" s="39"/>
      <c r="X442" s="41" t="str">
        <f aca="false">IFERROR(__xludf.dummyfunction("""COMPUTED_VALUE"""),"Locdd")</f>
        <v>Locdd</v>
      </c>
      <c r="Y442" s="44" t="str">
        <f aca="false">IFERROR(__xludf.dummyfunction("""COMPUTED_VALUE"""),"done")</f>
        <v>done</v>
      </c>
      <c r="Z442" s="57" t="str">
        <f aca="false">IFERROR(__xludf.dummyfunction("""COMPUTED_VALUE"""),"#N/A")</f>
        <v>#N/A</v>
      </c>
      <c r="AA442" s="57"/>
      <c r="AB442" s="41" t="n">
        <f aca="false">IFERROR(__xludf.dummyfunction("""COMPUTED_VALUE"""),9)</f>
        <v>9</v>
      </c>
      <c r="AC442" s="57" t="str">
        <f aca="false">IFERROR(__xludf.dummyfunction("""COMPUTED_VALUE"""),"gv.tungnt@hocmai.edu.vn ")</f>
        <v>gv.tungnt@hocmai.edu.vn </v>
      </c>
      <c r="AD442" s="46" t="str">
        <f aca="false">IFERROR(__xludf.dummyfunction("""COMPUTED_VALUE"""),"trangcrazy699@gmail.com")</f>
        <v>trangcrazy699@gmail.com</v>
      </c>
      <c r="AE442" s="46"/>
      <c r="AF442" s="47" t="str">
        <f aca="false">IFERROR(__xludf.dummyfunction("""COMPUTED_VALUE"""),"lophoctoan-946276")</f>
        <v>lophoctoan-946276</v>
      </c>
      <c r="AG442" s="46" t="str">
        <f aca="false">IFERROR(__xludf.dummyfunction("""COMPUTED_VALUE"""),"")</f>
        <v/>
      </c>
      <c r="AH442" s="35"/>
      <c r="AI442" s="53" t="b">
        <f aca="false">IFERROR(__xludf.dummyfunction("""COMPUTED_VALUE"""),TRUE())</f>
        <v>1</v>
      </c>
      <c r="AJ442" s="35"/>
      <c r="AK442" s="35"/>
      <c r="AL442" s="35"/>
      <c r="AM442" s="35"/>
      <c r="AN442" s="35"/>
      <c r="AO442" s="46"/>
    </row>
    <row r="443" customFormat="false" ht="15.75" hidden="false" customHeight="true" outlineLevel="0" collapsed="false">
      <c r="A443" s="37" t="str">
        <f aca="false">IFERROR(__xludf.dummyfunction("""COMPUTED_VALUE"""),"Sinh học")</f>
        <v>Sinh học</v>
      </c>
      <c r="B443" s="37" t="str">
        <f aca="false">IFERROR(__xludf.dummyfunction("""COMPUTED_VALUE"""),"TOV_HT_SH13")</f>
        <v>TOV_HT_SH13</v>
      </c>
      <c r="C443" s="59" t="str">
        <f aca="false">IFERROR(__xludf.dummyfunction("""COMPUTED_VALUE"""),"Di truyền phân tử I: DNA – Gene – Mã DT – Nhân đôi – Phiên mã – Dịch mã")</f>
        <v>Di truyền phân tử I: DNA – Gene – Mã DT – Nhân đôi – Phiên mã – Dịch mã</v>
      </c>
      <c r="D443" s="39" t="str">
        <f aca="false">IFERROR(__xludf.dummyfunction("""COMPUTED_VALUE"""),"Nguyễn Dương Ánh Hồng")</f>
        <v>Nguyễn Dương Ánh Hồng</v>
      </c>
      <c r="E443" s="40" t="n">
        <f aca="false">IFERROR(__xludf.dummyfunction("""COMPUTED_VALUE"""),46276)</f>
        <v>46276</v>
      </c>
      <c r="F443" s="41" t="n">
        <f aca="false">IFERROR(__xludf.dummyfunction("""COMPUTED_VALUE"""),6)</f>
        <v>6</v>
      </c>
      <c r="G443" s="37" t="str">
        <f aca="false">IFERROR(__xludf.dummyfunction("""COMPUTED_VALUE"""),"19:30-21:30")</f>
        <v>19:30-21:30</v>
      </c>
      <c r="H443" s="37"/>
      <c r="I443" s="37"/>
      <c r="J443" s="37"/>
      <c r="K443" s="68" t="str">
        <f aca="false">IFERROR(__xludf.dummyfunction("""COMPUTED_VALUE"""),"Phuongdt")</f>
        <v>Phuongdt</v>
      </c>
      <c r="L443" s="68" t="str">
        <f aca="false">IFERROR(__xludf.dummyfunction("""COMPUTED_VALUE"""),"Phan Đức Kiên")</f>
        <v>Phan Đức Kiên</v>
      </c>
      <c r="M443" s="71"/>
      <c r="N443" s="77" t="str">
        <f aca="false">IFERROR(__xludf.dummyfunction("""COMPUTED_VALUE"""),"3121,3132")</f>
        <v>3121,3132</v>
      </c>
      <c r="O443" s="73" t="n">
        <f aca="false">IFERROR(__xludf.dummyfunction("""COMPUTED_VALUE"""),167330.167344)</f>
        <v>167330.167344</v>
      </c>
      <c r="P443" s="63" t="str">
        <f aca="false">IFERROR(__xludf.dummyfunction("""COMPUTED_VALUE"""),"9033,9041,9022")</f>
        <v>9033,9041,9022</v>
      </c>
      <c r="Q443" s="63"/>
      <c r="R443" s="41"/>
      <c r="S443" s="41"/>
      <c r="T443" s="63" t="n">
        <f aca="false">IFERROR(__xludf.dummyfunction("""COMPUTED_VALUE"""),23844)</f>
        <v>23844</v>
      </c>
      <c r="U443" s="63"/>
      <c r="V443" s="70" t="n">
        <f aca="false">IFERROR(__xludf.dummyfunction("""COMPUTED_VALUE"""),46279)</f>
        <v>46279</v>
      </c>
      <c r="W443" s="39"/>
      <c r="X443" s="41" t="str">
        <f aca="false">IFERROR(__xludf.dummyfunction("""COMPUTED_VALUE"""),"Phuongdt")</f>
        <v>Phuongdt</v>
      </c>
      <c r="Y443" s="44"/>
      <c r="Z443" s="57" t="str">
        <f aca="false">IFERROR(__xludf.dummyfunction("""COMPUTED_VALUE"""),"#N/A")</f>
        <v>#N/A</v>
      </c>
      <c r="AA443" s="57"/>
      <c r="AB443" s="41" t="n">
        <f aca="false">IFERROR(__xludf.dummyfunction("""COMPUTED_VALUE"""),9)</f>
        <v>9</v>
      </c>
      <c r="AC443" s="57" t="str">
        <f aca="false">IFERROR(__xludf.dummyfunction("""COMPUTED_VALUE"""),"gv.hongnda@hocmai.edu.vn ")</f>
        <v>gv.hongnda@hocmai.edu.vn </v>
      </c>
      <c r="AD443" s="46" t="str">
        <f aca="false">IFERROR(__xludf.dummyfunction("""COMPUTED_VALUE"""),"duckien010607@gmail.com")</f>
        <v>duckien010607@gmail.com</v>
      </c>
      <c r="AE443" s="46"/>
      <c r="AF443" s="74" t="b">
        <f aca="false">IFERROR(__xludf.dummyfunction("""COMPUTED_VALUE"""),FALSE())</f>
        <v>0</v>
      </c>
      <c r="AG443" s="46" t="str">
        <f aca="false">IFERROR(__xludf.dummyfunction("""COMPUTED_VALUE"""),"")</f>
        <v/>
      </c>
      <c r="AH443" s="35"/>
      <c r="AI443" s="35"/>
      <c r="AJ443" s="53" t="b">
        <f aca="false">IFERROR(__xludf.dummyfunction("""COMPUTED_VALUE"""),TRUE())</f>
        <v>1</v>
      </c>
      <c r="AK443" s="53" t="b">
        <f aca="false">IFERROR(__xludf.dummyfunction("""COMPUTED_VALUE"""),TRUE())</f>
        <v>1</v>
      </c>
      <c r="AL443" s="53" t="b">
        <f aca="false">IFERROR(__xludf.dummyfunction("""COMPUTED_VALUE"""),TRUE())</f>
        <v>1</v>
      </c>
      <c r="AM443" s="35"/>
      <c r="AN443" s="35"/>
      <c r="AO443" s="46"/>
    </row>
    <row r="444" customFormat="false" ht="15.75" hidden="false" customHeight="true" outlineLevel="0" collapsed="false">
      <c r="A444" s="37" t="str">
        <f aca="false">IFERROR(__xludf.dummyfunction("""COMPUTED_VALUE"""),"Lịch sử")</f>
        <v>Lịch sử</v>
      </c>
      <c r="B444" s="37" t="str">
        <f aca="false">IFERROR(__xludf.dummyfunction("""COMPUTED_VALUE"""),"TOV_HSA_LS11")</f>
        <v>TOV_HSA_LS11</v>
      </c>
      <c r="C444" s="59" t="str">
        <f aca="false">IFERROR(__xludf.dummyfunction("""COMPUTED_VALUE"""),"Thế giới trong và sau Chiến tranh lạnh")</f>
        <v>Thế giới trong và sau Chiến tranh lạnh</v>
      </c>
      <c r="D444" s="39" t="str">
        <f aca="false">IFERROR(__xludf.dummyfunction("""COMPUTED_VALUE"""),"Dương Thị Huyền")</f>
        <v>Dương Thị Huyền</v>
      </c>
      <c r="E444" s="40" t="n">
        <f aca="false">IFERROR(__xludf.dummyfunction("""COMPUTED_VALUE"""),46276)</f>
        <v>46276</v>
      </c>
      <c r="F444" s="41" t="n">
        <f aca="false">IFERROR(__xludf.dummyfunction("""COMPUTED_VALUE"""),6)</f>
        <v>6</v>
      </c>
      <c r="G444" s="37" t="str">
        <f aca="false">IFERROR(__xludf.dummyfunction("""COMPUTED_VALUE"""),"21:30-23:30")</f>
        <v>21:30-23:30</v>
      </c>
      <c r="H444" s="37"/>
      <c r="I444" s="37"/>
      <c r="J444" s="37"/>
      <c r="K444" s="68" t="str">
        <f aca="false">IFERROR(__xludf.dummyfunction("""COMPUTED_VALUE"""),"Trinhntt")</f>
        <v>Trinhntt</v>
      </c>
      <c r="L444" s="68" t="str">
        <f aca="false">IFERROR(__xludf.dummyfunction("""COMPUTED_VALUE"""),"Phan Đức Kiên")</f>
        <v>Phan Đức Kiên</v>
      </c>
      <c r="M444" s="71"/>
      <c r="N444" s="77" t="str">
        <f aca="false">IFERROR(__xludf.dummyfunction("""COMPUTED_VALUE"""),"3122")</f>
        <v>3122</v>
      </c>
      <c r="O444" s="63" t="n">
        <f aca="false">IFERROR(__xludf.dummyfunction("""COMPUTED_VALUE"""),174738)</f>
        <v>174738</v>
      </c>
      <c r="P444" s="63"/>
      <c r="Q444" s="63"/>
      <c r="R444" s="41"/>
      <c r="S444" s="41"/>
      <c r="T444" s="63"/>
      <c r="U444" s="63"/>
      <c r="V444" s="70" t="n">
        <f aca="false">IFERROR(__xludf.dummyfunction("""COMPUTED_VALUE"""),46279)</f>
        <v>46279</v>
      </c>
      <c r="W444" s="39"/>
      <c r="X444" s="41" t="str">
        <f aca="false">IFERROR(__xludf.dummyfunction("""COMPUTED_VALUE"""),"Huent7")</f>
        <v>Huent7</v>
      </c>
      <c r="Y444" s="44"/>
      <c r="Z444" s="57" t="str">
        <f aca="false">IFERROR(__xludf.dummyfunction("""COMPUTED_VALUE"""),"#N/A")</f>
        <v>#N/A</v>
      </c>
      <c r="AA444" s="57"/>
      <c r="AB444" s="41"/>
      <c r="AC444" s="57" t="str">
        <f aca="false">IFERROR(__xludf.dummyfunction("""COMPUTED_VALUE"""),"gv.huyendt2@hocmai.edu.vn")</f>
        <v>gv.huyendt2@hocmai.edu.vn</v>
      </c>
      <c r="AD444" s="46" t="str">
        <f aca="false">IFERROR(__xludf.dummyfunction("""COMPUTED_VALUE"""),"duckien010607@gmail.com")</f>
        <v>duckien010607@gmail.com</v>
      </c>
      <c r="AE444" s="46"/>
      <c r="AF444" s="74" t="b">
        <f aca="false">IFERROR(__xludf.dummyfunction("""COMPUTED_VALUE"""),FALSE())</f>
        <v>0</v>
      </c>
      <c r="AG444" s="46" t="str">
        <f aca="false">IFERROR(__xludf.dummyfunction("""COMPUTED_VALUE"""),"")</f>
        <v/>
      </c>
      <c r="AH444" s="35"/>
      <c r="AI444" s="35"/>
      <c r="AJ444" s="53" t="b">
        <f aca="false">IFERROR(__xludf.dummyfunction("""COMPUTED_VALUE"""),TRUE())</f>
        <v>1</v>
      </c>
      <c r="AK444" s="53" t="b">
        <f aca="false">IFERROR(__xludf.dummyfunction("""COMPUTED_VALUE"""),TRUE())</f>
        <v>1</v>
      </c>
      <c r="AL444" s="35"/>
      <c r="AM444" s="35"/>
      <c r="AN444" s="35"/>
      <c r="AO444" s="46"/>
    </row>
    <row r="445" customFormat="false" ht="15.75" hidden="false" customHeight="true" outlineLevel="0" collapsed="false">
      <c r="A445" s="37" t="str">
        <f aca="false">IFERROR(__xludf.dummyfunction("""COMPUTED_VALUE"""),"Hóa học")</f>
        <v>Hóa học</v>
      </c>
      <c r="B445" s="37" t="str">
        <f aca="false">IFERROR(__xludf.dummyfunction("""COMPUTED_VALUE"""),"TOV_TSA_H07")</f>
        <v>TOV_TSA_H07</v>
      </c>
      <c r="C445" s="59" t="str">
        <f aca="false">IFERROR(__xludf.dummyfunction("""COMPUTED_VALUE"""),"Đại cương kim loại và Phức chất")</f>
        <v>Đại cương kim loại và Phức chất</v>
      </c>
      <c r="D445" s="39" t="str">
        <f aca="false">IFERROR(__xludf.dummyfunction("""COMPUTED_VALUE"""),"Vũ Khắc Ngọc")</f>
        <v>Vũ Khắc Ngọc</v>
      </c>
      <c r="E445" s="40" t="n">
        <f aca="false">IFERROR(__xludf.dummyfunction("""COMPUTED_VALUE"""),46277)</f>
        <v>46277</v>
      </c>
      <c r="F445" s="41" t="n">
        <f aca="false">IFERROR(__xludf.dummyfunction("""COMPUTED_VALUE"""),7)</f>
        <v>7</v>
      </c>
      <c r="G445" s="37" t="str">
        <f aca="false">IFERROR(__xludf.dummyfunction("""COMPUTED_VALUE"""),"21:30-23:30")</f>
        <v>21:30-23:30</v>
      </c>
      <c r="H445" s="37"/>
      <c r="I445" s="37"/>
      <c r="J445" s="37"/>
      <c r="K445" s="68" t="str">
        <f aca="false">IFERROR(__xludf.dummyfunction("""COMPUTED_VALUE"""),"Huebt")</f>
        <v>Huebt</v>
      </c>
      <c r="L445" s="68" t="str">
        <f aca="false">IFERROR(__xludf.dummyfunction("""COMPUTED_VALUE"""),"Bùi Vĩnh Thọ")</f>
        <v>Bùi Vĩnh Thọ</v>
      </c>
      <c r="M445" s="71"/>
      <c r="N445" s="77" t="str">
        <f aca="false">IFERROR(__xludf.dummyfunction("""COMPUTED_VALUE"""),"3110")</f>
        <v>3110</v>
      </c>
      <c r="O445" s="63" t="n">
        <f aca="false">IFERROR(__xludf.dummyfunction("""COMPUTED_VALUE"""),167270)</f>
        <v>167270</v>
      </c>
      <c r="P445" s="63"/>
      <c r="Q445" s="63"/>
      <c r="R445" s="41"/>
      <c r="S445" s="41"/>
      <c r="T445" s="63"/>
      <c r="U445" s="63" t="n">
        <f aca="false">IFERROR(__xludf.dummyfunction("""COMPUTED_VALUE"""),10605)</f>
        <v>10605</v>
      </c>
      <c r="V445" s="70" t="n">
        <f aca="false">IFERROR(__xludf.dummyfunction("""COMPUTED_VALUE"""),46280)</f>
        <v>46280</v>
      </c>
      <c r="W445" s="39"/>
      <c r="X445" s="41" t="str">
        <f aca="false">IFERROR(__xludf.dummyfunction("""COMPUTED_VALUE"""),"Huebt")</f>
        <v>Huebt</v>
      </c>
      <c r="Y445" s="44" t="str">
        <f aca="false">IFERROR(__xludf.dummyfunction("""COMPUTED_VALUE"""),"done")</f>
        <v>done</v>
      </c>
      <c r="Z445" s="57" t="str">
        <f aca="false">IFERROR(__xludf.dummyfunction("""COMPUTED_VALUE"""),"#N/A")</f>
        <v>#N/A</v>
      </c>
      <c r="AA445" s="57"/>
      <c r="AB445" s="41" t="n">
        <f aca="false">IFERROR(__xludf.dummyfunction("""COMPUTED_VALUE"""),9)</f>
        <v>9</v>
      </c>
      <c r="AC445" s="57" t="str">
        <f aca="false">IFERROR(__xludf.dummyfunction("""COMPUTED_VALUE"""),"gv.ngocvk@hocmai.edu.vn")</f>
        <v>gv.ngocvk@hocmai.edu.vn</v>
      </c>
      <c r="AD445" s="46" t="str">
        <f aca="false">IFERROR(__xludf.dummyfunction("""COMPUTED_VALUE"""),"vinhtho0704@gmail.com")</f>
        <v>vinhtho0704@gmail.com</v>
      </c>
      <c r="AE445" s="46"/>
      <c r="AF445" s="74" t="b">
        <f aca="false">IFERROR(__xludf.dummyfunction("""COMPUTED_VALUE"""),FALSE())</f>
        <v>0</v>
      </c>
      <c r="AG445" s="46" t="str">
        <f aca="false">IFERROR(__xludf.dummyfunction("""COMPUTED_VALUE"""),"")</f>
        <v/>
      </c>
      <c r="AH445" s="35"/>
      <c r="AI445" s="53" t="b">
        <f aca="false">IFERROR(__xludf.dummyfunction("""COMPUTED_VALUE"""),TRUE())</f>
        <v>1</v>
      </c>
      <c r="AJ445" s="35"/>
      <c r="AK445" s="35"/>
      <c r="AL445" s="35"/>
      <c r="AM445" s="35"/>
      <c r="AN445" s="35"/>
      <c r="AO445" s="46"/>
    </row>
    <row r="446" customFormat="false" ht="15.75" hidden="false" customHeight="true" outlineLevel="0" collapsed="false">
      <c r="A446" s="37" t="str">
        <f aca="false">IFERROR(__xludf.dummyfunction("""COMPUTED_VALUE"""),"Khoa học")</f>
        <v>Khoa học</v>
      </c>
      <c r="B446" s="37" t="str">
        <f aca="false">IFERROR(__xludf.dummyfunction("""COMPUTED_VALUE"""),"TOS_V-ACT_KH13")</f>
        <v>TOS_V-ACT_KH13</v>
      </c>
      <c r="C446" s="59" t="str">
        <f aca="false">IFERROR(__xludf.dummyfunction("""COMPUTED_VALUE"""),"Thực hành kết nối thông tin đa tầng: Hình vẽ – Chú thích – Câu hỏi (P2).")</f>
        <v>Thực hành kết nối thông tin đa tầng: Hình vẽ – Chú thích – Câu hỏi (P2).</v>
      </c>
      <c r="D446" s="39" t="str">
        <f aca="false">IFERROR(__xludf.dummyfunction("""COMPUTED_VALUE"""),"Lê Văn Minh")</f>
        <v>Lê Văn Minh</v>
      </c>
      <c r="E446" s="40" t="n">
        <f aca="false">IFERROR(__xludf.dummyfunction("""COMPUTED_VALUE"""),46277)</f>
        <v>46277</v>
      </c>
      <c r="F446" s="41" t="n">
        <f aca="false">IFERROR(__xludf.dummyfunction("""COMPUTED_VALUE"""),7)</f>
        <v>7</v>
      </c>
      <c r="G446" s="37" t="str">
        <f aca="false">IFERROR(__xludf.dummyfunction("""COMPUTED_VALUE"""),"20:30-22:00")</f>
        <v>20:30-22:00</v>
      </c>
      <c r="H446" s="37"/>
      <c r="I446" s="37"/>
      <c r="J446" s="37"/>
      <c r="K446" s="68" t="str">
        <f aca="false">IFERROR(__xludf.dummyfunction("""COMPUTED_VALUE"""),"Kimnq")</f>
        <v>Kimnq</v>
      </c>
      <c r="L446" s="68" t="str">
        <f aca="false">IFERROR(__xludf.dummyfunction("""COMPUTED_VALUE"""),"Lê Quốc Việt")</f>
        <v>Lê Quốc Việt</v>
      </c>
      <c r="M446" s="71"/>
      <c r="N446" s="77" t="str">
        <f aca="false">IFERROR(__xludf.dummyfunction("""COMPUTED_VALUE"""),"3340,3126")</f>
        <v>3340,3126</v>
      </c>
      <c r="O446" s="73" t="n">
        <f aca="false">IFERROR(__xludf.dummyfunction("""COMPUTED_VALUE"""),167504.167391)</f>
        <v>167504.167391</v>
      </c>
      <c r="P446" s="63"/>
      <c r="Q446" s="63"/>
      <c r="R446" s="41"/>
      <c r="S446" s="41"/>
      <c r="T446" s="63"/>
      <c r="U446" s="63"/>
      <c r="V446" s="70" t="n">
        <f aca="false">IFERROR(__xludf.dummyfunction("""COMPUTED_VALUE"""),46280)</f>
        <v>46280</v>
      </c>
      <c r="W446" s="39"/>
      <c r="X446" s="41" t="str">
        <f aca="false">IFERROR(__xludf.dummyfunction("""COMPUTED_VALUE"""),"Kimnq")</f>
        <v>Kimnq</v>
      </c>
      <c r="Y446" s="44" t="str">
        <f aca="false">IFERROR(__xludf.dummyfunction("""COMPUTED_VALUE"""),"done")</f>
        <v>done</v>
      </c>
      <c r="Z446" s="57" t="str">
        <f aca="false">IFERROR(__xludf.dummyfunction("""COMPUTED_VALUE"""),"#N/A")</f>
        <v>#N/A</v>
      </c>
      <c r="AA446" s="57"/>
      <c r="AB446" s="41" t="n">
        <f aca="false">IFERROR(__xludf.dummyfunction("""COMPUTED_VALUE"""),9)</f>
        <v>9</v>
      </c>
      <c r="AC446" s="57" t="str">
        <f aca="false">IFERROR(__xludf.dummyfunction("""COMPUTED_VALUE"""),"gv.minhlv@hocmai.edu.vn		")</f>
        <v>gv.minhlv@hocmai.edu.vn		</v>
      </c>
      <c r="AD446" s="46" t="str">
        <f aca="false">IFERROR(__xludf.dummyfunction("""COMPUTED_VALUE"""),"Ralph02091@gmail.com")</f>
        <v>Ralph02091@gmail.com</v>
      </c>
      <c r="AE446" s="46"/>
      <c r="AF446" s="47" t="str">
        <f aca="false">IFERROR(__xludf.dummyfunction("""COMPUTED_VALUE"""),"lophoctoan-946277")</f>
        <v>lophoctoan-946277</v>
      </c>
      <c r="AG446" s="46" t="str">
        <f aca="false">IFERROR(__xludf.dummyfunction("""COMPUTED_VALUE"""),"")</f>
        <v/>
      </c>
      <c r="AH446" s="35"/>
      <c r="AI446" s="35"/>
      <c r="AJ446" s="35"/>
      <c r="AK446" s="35"/>
      <c r="AL446" s="35"/>
      <c r="AM446" s="53" t="b">
        <f aca="false">IFERROR(__xludf.dummyfunction("""COMPUTED_VALUE"""),TRUE())</f>
        <v>1</v>
      </c>
      <c r="AN446" s="53" t="b">
        <f aca="false">IFERROR(__xludf.dummyfunction("""COMPUTED_VALUE"""),TRUE())</f>
        <v>1</v>
      </c>
      <c r="AO446" s="46"/>
    </row>
    <row r="447" customFormat="false" ht="15.75" hidden="false" customHeight="true" outlineLevel="0" collapsed="false">
      <c r="A447" s="37" t="str">
        <f aca="false">IFERROR(__xludf.dummyfunction("""COMPUTED_VALUE"""),"Toán")</f>
        <v>Toán</v>
      </c>
      <c r="B447" s="37" t="str">
        <f aca="false">IFERROR(__xludf.dummyfunction("""COMPUTED_VALUE"""),"NT_N_22")</f>
        <v>NT_N_22</v>
      </c>
      <c r="C447" s="59" t="str">
        <f aca="false">IFERROR(__xludf.dummyfunction("""COMPUTED_VALUE"""),"Ứng dụng tích phân tính diện tích hình phẳng")</f>
        <v>Ứng dụng tích phân tính diện tích hình phẳng</v>
      </c>
      <c r="D447" s="39" t="str">
        <f aca="false">IFERROR(__xludf.dummyfunction("""COMPUTED_VALUE"""),"Nguyễn Hoài Nam")</f>
        <v>Nguyễn Hoài Nam</v>
      </c>
      <c r="E447" s="40" t="n">
        <f aca="false">IFERROR(__xludf.dummyfunction("""COMPUTED_VALUE"""),46278)</f>
        <v>46278</v>
      </c>
      <c r="F447" s="41" t="str">
        <f aca="false">IFERROR(__xludf.dummyfunction("""COMPUTED_VALUE"""),"CN")</f>
        <v>CN</v>
      </c>
      <c r="G447" s="37" t="str">
        <f aca="false">IFERROR(__xludf.dummyfunction("""COMPUTED_VALUE"""),"21:00-22:30")</f>
        <v>21:00-22:30</v>
      </c>
      <c r="H447" s="37"/>
      <c r="I447" s="37"/>
      <c r="J447" s="62"/>
      <c r="K447" s="68" t="str">
        <f aca="false">IFERROR(__xludf.dummyfunction("""COMPUTED_VALUE"""),"lent")</f>
        <v>lent</v>
      </c>
      <c r="L447" s="68" t="str">
        <f aca="false">IFERROR(__xludf.dummyfunction("""COMPUTED_VALUE"""),"Tưởng Thị Huyền Trang")</f>
        <v>Tưởng Thị Huyền Trang</v>
      </c>
      <c r="M447" s="69" t="str">
        <f aca="false">IFERROR(__xludf.dummyfunction("""COMPUTED_VALUE"""),"https://hocmai.sharepoint.com/Education_Development/Lists/San_xuat_video/DispForm.aspx?ID=12209")</f>
        <v>https://hocmai.sharepoint.com/Education_Development/Lists/San_xuat_video/DispForm.aspx?ID=12209</v>
      </c>
      <c r="N447" s="78" t="n">
        <f aca="false">IFERROR(__xludf.dummyfunction("""COMPUTED_VALUE"""),3313)</f>
        <v>3313</v>
      </c>
      <c r="O447" s="63" t="n">
        <f aca="false">IFERROR(__xludf.dummyfunction("""COMPUTED_VALUE"""),166646)</f>
        <v>166646</v>
      </c>
      <c r="P447" s="63"/>
      <c r="Q447" s="63" t="n">
        <f aca="false">IFERROR(__xludf.dummyfunction("""COMPUTED_VALUE"""),8043)</f>
        <v>8043</v>
      </c>
      <c r="R447" s="41"/>
      <c r="S447" s="41"/>
      <c r="T447" s="63" t="n">
        <f aca="false">IFERROR(__xludf.dummyfunction("""COMPUTED_VALUE"""),8044)</f>
        <v>8044</v>
      </c>
      <c r="U447" s="63"/>
      <c r="V447" s="70" t="n">
        <f aca="false">IFERROR(__xludf.dummyfunction("""COMPUTED_VALUE"""),46280)</f>
        <v>46280</v>
      </c>
      <c r="W447" s="39"/>
      <c r="X447" s="41" t="str">
        <f aca="false">IFERROR(__xludf.dummyfunction("""COMPUTED_VALUE"""),"Huent7")</f>
        <v>Huent7</v>
      </c>
      <c r="Y447" s="44"/>
      <c r="Z447" s="57"/>
      <c r="AA447" s="57"/>
      <c r="AB447" s="41" t="n">
        <f aca="false">IFERROR(__xludf.dummyfunction("""COMPUTED_VALUE"""),9)</f>
        <v>9</v>
      </c>
      <c r="AC447" s="57"/>
      <c r="AD447" s="46"/>
      <c r="AE447" s="46"/>
      <c r="AF447" s="47" t="str">
        <f aca="false">IFERROR(__xludf.dummyfunction("""COMPUTED_VALUE"""),"lophoctoan-946278")</f>
        <v>lophoctoan-946278</v>
      </c>
      <c r="AG447" s="46" t="str">
        <f aca="false">IFERROR(__xludf.dummyfunction("""COMPUTED_VALUE"""),"")</f>
        <v/>
      </c>
      <c r="AH447" s="53" t="b">
        <f aca="false">IFERROR(__xludf.dummyfunction("""COMPUTED_VALUE"""),TRUE())</f>
        <v>1</v>
      </c>
      <c r="AI447" s="35"/>
      <c r="AJ447" s="35"/>
      <c r="AK447" s="35"/>
      <c r="AL447" s="35"/>
      <c r="AM447" s="35"/>
      <c r="AN447" s="35"/>
      <c r="AO447" s="46"/>
    </row>
    <row r="448" customFormat="false" ht="15.75" hidden="false" customHeight="true" outlineLevel="0" collapsed="false">
      <c r="A448" s="37" t="str">
        <f aca="false">IFERROR(__xludf.dummyfunction("""COMPUTED_VALUE"""),"Toán")</f>
        <v>Toán</v>
      </c>
      <c r="B448" s="37" t="str">
        <f aca="false">IFERROR(__xludf.dummyfunction("""COMPUTED_VALUE"""),"NT_T_38")</f>
        <v>NT_T_38</v>
      </c>
      <c r="C448" s="59" t="str">
        <f aca="false">IFERROR(__xludf.dummyfunction("""COMPUTED_VALUE"""),"Các bài toán tìm điểm")</f>
        <v>Các bài toán tìm điểm</v>
      </c>
      <c r="D448" s="39" t="str">
        <f aca="false">IFERROR(__xludf.dummyfunction("""COMPUTED_VALUE"""),"Nguyễn Thanh Tùng")</f>
        <v>Nguyễn Thanh Tùng</v>
      </c>
      <c r="E448" s="40" t="n">
        <f aca="false">IFERROR(__xludf.dummyfunction("""COMPUTED_VALUE"""),46278)</f>
        <v>46278</v>
      </c>
      <c r="F448" s="41" t="str">
        <f aca="false">IFERROR(__xludf.dummyfunction("""COMPUTED_VALUE"""),"CN")</f>
        <v>CN</v>
      </c>
      <c r="G448" s="37" t="str">
        <f aca="false">IFERROR(__xludf.dummyfunction("""COMPUTED_VALUE"""),"18:00-20:00")</f>
        <v>18:00-20:00</v>
      </c>
      <c r="H448" s="37"/>
      <c r="I448" s="37"/>
      <c r="J448" s="37"/>
      <c r="K448" s="68" t="str">
        <f aca="false">IFERROR(__xludf.dummyfunction("""COMPUTED_VALUE"""),"Khanhnl")</f>
        <v>Khanhnl</v>
      </c>
      <c r="L448" s="68" t="str">
        <f aca="false">IFERROR(__xludf.dummyfunction("""COMPUTED_VALUE"""),"Tưởng Thị Huyền Trang")</f>
        <v>Tưởng Thị Huyền Trang</v>
      </c>
      <c r="M448" s="69" t="str">
        <f aca="false">IFERROR(__xludf.dummyfunction("""COMPUTED_VALUE"""),"https://hocmai.sharepoint.com/Education_Development/Lists/San_xuat_video/DispForm.aspx?ID=12177")</f>
        <v>https://hocmai.sharepoint.com/Education_Development/Lists/San_xuat_video/DispForm.aspx?ID=12177</v>
      </c>
      <c r="N448" s="63" t="n">
        <f aca="false">IFERROR(__xludf.dummyfunction("""COMPUTED_VALUE"""),3312)</f>
        <v>3312</v>
      </c>
      <c r="O448" s="63" t="n">
        <f aca="false">IFERROR(__xludf.dummyfunction("""COMPUTED_VALUE"""),166571)</f>
        <v>166571</v>
      </c>
      <c r="P448" s="63"/>
      <c r="Q448" s="63" t="n">
        <f aca="false">IFERROR(__xludf.dummyfunction("""COMPUTED_VALUE"""),7959)</f>
        <v>7959</v>
      </c>
      <c r="R448" s="41"/>
      <c r="S448" s="41"/>
      <c r="T448" s="63" t="n">
        <f aca="false">IFERROR(__xludf.dummyfunction("""COMPUTED_VALUE"""),7960)</f>
        <v>7960</v>
      </c>
      <c r="U448" s="63"/>
      <c r="V448" s="70" t="n">
        <f aca="false">IFERROR(__xludf.dummyfunction("""COMPUTED_VALUE"""),46288)</f>
        <v>46288</v>
      </c>
      <c r="W448" s="39"/>
      <c r="X448" s="41" t="str">
        <f aca="false">IFERROR(__xludf.dummyfunction("""COMPUTED_VALUE"""),"Huent7")</f>
        <v>Huent7</v>
      </c>
      <c r="Y448" s="44"/>
      <c r="Z448" s="57"/>
      <c r="AA448" s="57"/>
      <c r="AB448" s="41" t="n">
        <f aca="false">IFERROR(__xludf.dummyfunction("""COMPUTED_VALUE"""),9)</f>
        <v>9</v>
      </c>
      <c r="AC448" s="57"/>
      <c r="AD448" s="46"/>
      <c r="AE448" s="46"/>
      <c r="AF448" s="47" t="str">
        <f aca="false">IFERROR(__xludf.dummyfunction("""COMPUTED_VALUE"""),"lophoctoan-946278")</f>
        <v>lophoctoan-946278</v>
      </c>
      <c r="AG448" s="46" t="str">
        <f aca="false">IFERROR(__xludf.dummyfunction("""COMPUTED_VALUE"""),"")</f>
        <v/>
      </c>
      <c r="AH448" s="53" t="b">
        <f aca="false">IFERROR(__xludf.dummyfunction("""COMPUTED_VALUE"""),TRUE())</f>
        <v>1</v>
      </c>
      <c r="AI448" s="35"/>
      <c r="AJ448" s="35"/>
      <c r="AK448" s="35"/>
      <c r="AL448" s="35"/>
      <c r="AM448" s="35"/>
      <c r="AN448" s="35"/>
      <c r="AO448" s="46"/>
    </row>
    <row r="449" customFormat="false" ht="15.75" hidden="false" customHeight="true" outlineLevel="0" collapsed="false">
      <c r="A449" s="37" t="str">
        <f aca="false">IFERROR(__xludf.dummyfunction("""COMPUTED_VALUE"""),"Đọc hiểu")</f>
        <v>Đọc hiểu</v>
      </c>
      <c r="B449" s="37" t="str">
        <f aca="false">IFERROR(__xludf.dummyfunction("""COMPUTED_VALUE"""),"TOV_TSA_DH14")</f>
        <v>TOV_TSA_DH14</v>
      </c>
      <c r="C449" s="59" t="str">
        <f aca="false">IFERROR(__xludf.dummyfunction("""COMPUTED_VALUE"""),"Luyện tập xử lý dạng câu hỏi một/nhiều lựa chọn và đúng/sai")</f>
        <v>Luyện tập xử lý dạng câu hỏi một/nhiều lựa chọn và đúng/sai</v>
      </c>
      <c r="D449" s="39" t="str">
        <f aca="false">IFERROR(__xludf.dummyfunction("""COMPUTED_VALUE"""),"Vũ Khắc Ngọc")</f>
        <v>Vũ Khắc Ngọc</v>
      </c>
      <c r="E449" s="40" t="n">
        <f aca="false">IFERROR(__xludf.dummyfunction("""COMPUTED_VALUE"""),46279)</f>
        <v>46279</v>
      </c>
      <c r="F449" s="41" t="n">
        <f aca="false">IFERROR(__xludf.dummyfunction("""COMPUTED_VALUE"""),2)</f>
        <v>2</v>
      </c>
      <c r="G449" s="37" t="str">
        <f aca="false">IFERROR(__xludf.dummyfunction("""COMPUTED_VALUE"""),"21:30-23:30")</f>
        <v>21:30-23:30</v>
      </c>
      <c r="H449" s="37"/>
      <c r="I449" s="37"/>
      <c r="J449" s="37"/>
      <c r="K449" s="68" t="str">
        <f aca="false">IFERROR(__xludf.dummyfunction("""COMPUTED_VALUE"""),"Hangvt3")</f>
        <v>Hangvt3</v>
      </c>
      <c r="L449" s="68" t="str">
        <f aca="false">IFERROR(__xludf.dummyfunction("""COMPUTED_VALUE"""),"Phan Đức Kiên")</f>
        <v>Phan Đức Kiên</v>
      </c>
      <c r="M449" s="71"/>
      <c r="N449" s="77" t="str">
        <f aca="false">IFERROR(__xludf.dummyfunction("""COMPUTED_VALUE"""),"3109")</f>
        <v>3109</v>
      </c>
      <c r="O449" s="63" t="n">
        <f aca="false">IFERROR(__xludf.dummyfunction("""COMPUTED_VALUE"""),167237)</f>
        <v>167237</v>
      </c>
      <c r="P449" s="63"/>
      <c r="Q449" s="63"/>
      <c r="R449" s="41"/>
      <c r="S449" s="41"/>
      <c r="T449" s="63"/>
      <c r="U449" s="63"/>
      <c r="V449" s="70" t="n">
        <f aca="false">IFERROR(__xludf.dummyfunction("""COMPUTED_VALUE"""),46282)</f>
        <v>46282</v>
      </c>
      <c r="W449" s="39"/>
      <c r="X449" s="41" t="str">
        <f aca="false">IFERROR(__xludf.dummyfunction("""COMPUTED_VALUE"""),"Huent7")</f>
        <v>Huent7</v>
      </c>
      <c r="Y449" s="44" t="str">
        <f aca="false">IFERROR(__xludf.dummyfunction("""COMPUTED_VALUE"""),"done")</f>
        <v>done</v>
      </c>
      <c r="Z449" s="57" t="str">
        <f aca="false">IFERROR(__xludf.dummyfunction("""COMPUTED_VALUE"""),"#N/A")</f>
        <v>#N/A</v>
      </c>
      <c r="AA449" s="57"/>
      <c r="AB449" s="41" t="n">
        <f aca="false">IFERROR(__xludf.dummyfunction("""COMPUTED_VALUE"""),9)</f>
        <v>9</v>
      </c>
      <c r="AC449" s="57" t="str">
        <f aca="false">IFERROR(__xludf.dummyfunction("""COMPUTED_VALUE"""),"gv.ngocvk@hocmai.edu.vn")</f>
        <v>gv.ngocvk@hocmai.edu.vn</v>
      </c>
      <c r="AD449" s="46" t="str">
        <f aca="false">IFERROR(__xludf.dummyfunction("""COMPUTED_VALUE"""),"duckien010607@gmail.com")</f>
        <v>duckien010607@gmail.com</v>
      </c>
      <c r="AE449" s="46"/>
      <c r="AF449" s="47" t="str">
        <f aca="false">IFERROR(__xludf.dummyfunction("""COMPUTED_VALUE"""),"lophoctoan-946279")</f>
        <v>lophoctoan-946279</v>
      </c>
      <c r="AG449" s="46" t="str">
        <f aca="false">IFERROR(__xludf.dummyfunction("""COMPUTED_VALUE"""),"")</f>
        <v/>
      </c>
      <c r="AH449" s="35"/>
      <c r="AI449" s="53" t="b">
        <f aca="false">IFERROR(__xludf.dummyfunction("""COMPUTED_VALUE"""),TRUE())</f>
        <v>1</v>
      </c>
      <c r="AJ449" s="35"/>
      <c r="AK449" s="35"/>
      <c r="AL449" s="35"/>
      <c r="AM449" s="35"/>
      <c r="AN449" s="35"/>
      <c r="AO449" s="46"/>
    </row>
    <row r="450" customFormat="false" ht="15.75" hidden="false" customHeight="true" outlineLevel="0" collapsed="false">
      <c r="A450" s="37" t="str">
        <f aca="false">IFERROR(__xludf.dummyfunction("""COMPUTED_VALUE"""),"Hóa học")</f>
        <v>Hóa học</v>
      </c>
      <c r="B450" s="37" t="str">
        <f aca="false">IFERROR(__xludf.dummyfunction("""COMPUTED_VALUE"""),"TOV_HT_HH14")</f>
        <v>TOV_HT_HH14</v>
      </c>
      <c r="C450" s="59" t="str">
        <f aca="false">IFERROR(__xludf.dummyfunction("""COMPUTED_VALUE"""),"Carbohydrate")</f>
        <v>Carbohydrate</v>
      </c>
      <c r="D450" s="39" t="str">
        <f aca="false">IFERROR(__xludf.dummyfunction("""COMPUTED_VALUE"""),"Chu Hải Long")</f>
        <v>Chu Hải Long</v>
      </c>
      <c r="E450" s="40" t="n">
        <f aca="false">IFERROR(__xludf.dummyfunction("""COMPUTED_VALUE"""),46279)</f>
        <v>46279</v>
      </c>
      <c r="F450" s="41" t="n">
        <f aca="false">IFERROR(__xludf.dummyfunction("""COMPUTED_VALUE"""),2)</f>
        <v>2</v>
      </c>
      <c r="G450" s="37" t="str">
        <f aca="false">IFERROR(__xludf.dummyfunction("""COMPUTED_VALUE"""),"19:45-21:45")</f>
        <v>19:45-21:45</v>
      </c>
      <c r="H450" s="37"/>
      <c r="I450" s="37"/>
      <c r="J450" s="37"/>
      <c r="K450" s="68" t="str">
        <f aca="false">IFERROR(__xludf.dummyfunction("""COMPUTED_VALUE"""),"Huebt")</f>
        <v>Huebt</v>
      </c>
      <c r="L450" s="68" t="str">
        <f aca="false">IFERROR(__xludf.dummyfunction("""COMPUTED_VALUE"""),"Võ Hương Giang")</f>
        <v>Võ Hương Giang</v>
      </c>
      <c r="M450" s="71"/>
      <c r="N450" s="77" t="str">
        <f aca="false">IFERROR(__xludf.dummyfunction("""COMPUTED_VALUE"""),"3120,3131")</f>
        <v>3120,3131</v>
      </c>
      <c r="O450" s="63" t="str">
        <f aca="false">IFERROR(__xludf.dummyfunction("""COMPUTED_VALUE"""),"167438,167450")</f>
        <v>167438,167450</v>
      </c>
      <c r="P450" s="63" t="str">
        <f aca="false">IFERROR(__xludf.dummyfunction("""COMPUTED_VALUE"""),"9032,9040,9021")</f>
        <v>9032,9040,9021</v>
      </c>
      <c r="Q450" s="63"/>
      <c r="R450" s="41"/>
      <c r="S450" s="41"/>
      <c r="T450" s="63"/>
      <c r="U450" s="63" t="n">
        <f aca="false">IFERROR(__xludf.dummyfunction("""COMPUTED_VALUE"""),10491)</f>
        <v>10491</v>
      </c>
      <c r="V450" s="70" t="n">
        <f aca="false">IFERROR(__xludf.dummyfunction("""COMPUTED_VALUE"""),46282)</f>
        <v>46282</v>
      </c>
      <c r="W450" s="39"/>
      <c r="X450" s="41" t="str">
        <f aca="false">IFERROR(__xludf.dummyfunction("""COMPUTED_VALUE"""),"Huebt")</f>
        <v>Huebt</v>
      </c>
      <c r="Y450" s="44"/>
      <c r="Z450" s="57" t="str">
        <f aca="false">IFERROR(__xludf.dummyfunction("""COMPUTED_VALUE"""),"#N/A")</f>
        <v>#N/A</v>
      </c>
      <c r="AA450" s="57"/>
      <c r="AB450" s="41" t="n">
        <f aca="false">IFERROR(__xludf.dummyfunction("""COMPUTED_VALUE"""),9)</f>
        <v>9</v>
      </c>
      <c r="AC450" s="57" t="str">
        <f aca="false">IFERROR(__xludf.dummyfunction("""COMPUTED_VALUE"""),"gv.longch@hocmai.edu.vn")</f>
        <v>gv.longch@hocmai.edu.vn</v>
      </c>
      <c r="AD450" s="46" t="str">
        <f aca="false">IFERROR(__xludf.dummyfunction("""COMPUTED_VALUE"""),"giangvh@ctv.hocmai.vn")</f>
        <v>giangvh@ctv.hocmai.vn</v>
      </c>
      <c r="AE450" s="46"/>
      <c r="AF450" s="74" t="b">
        <f aca="false">IFERROR(__xludf.dummyfunction("""COMPUTED_VALUE"""),FALSE())</f>
        <v>0</v>
      </c>
      <c r="AG450" s="46" t="str">
        <f aca="false">IFERROR(__xludf.dummyfunction("""COMPUTED_VALUE"""),"")</f>
        <v/>
      </c>
      <c r="AH450" s="35"/>
      <c r="AI450" s="35"/>
      <c r="AJ450" s="53" t="b">
        <f aca="false">IFERROR(__xludf.dummyfunction("""COMPUTED_VALUE"""),TRUE())</f>
        <v>1</v>
      </c>
      <c r="AK450" s="53" t="b">
        <f aca="false">IFERROR(__xludf.dummyfunction("""COMPUTED_VALUE"""),TRUE())</f>
        <v>1</v>
      </c>
      <c r="AL450" s="53" t="b">
        <f aca="false">IFERROR(__xludf.dummyfunction("""COMPUTED_VALUE"""),TRUE())</f>
        <v>1</v>
      </c>
      <c r="AM450" s="35"/>
      <c r="AN450" s="35"/>
      <c r="AO450" s="46"/>
    </row>
    <row r="451" customFormat="false" ht="15.75" hidden="false" customHeight="true" outlineLevel="0" collapsed="false">
      <c r="A451" s="37" t="str">
        <f aca="false">IFERROR(__xludf.dummyfunction("""COMPUTED_VALUE"""),"Toán")</f>
        <v>Toán</v>
      </c>
      <c r="B451" s="37" t="str">
        <f aca="false">IFERROR(__xludf.dummyfunction("""COMPUTED_VALUE"""),"TOV_TC_T13")</f>
        <v>TOV_TC_T13</v>
      </c>
      <c r="C451" s="59" t="str">
        <f aca="false">IFERROR(__xludf.dummyfunction("""COMPUTED_VALUE"""),"Các bài toán về góc – khoảng cách")</f>
        <v>Các bài toán về góc – khoảng cách</v>
      </c>
      <c r="D451" s="39" t="str">
        <f aca="false">IFERROR(__xludf.dummyfunction("""COMPUTED_VALUE"""),"Nguyễn Thanh Tùng")</f>
        <v>Nguyễn Thanh Tùng</v>
      </c>
      <c r="E451" s="40" t="n">
        <f aca="false">IFERROR(__xludf.dummyfunction("""COMPUTED_VALUE"""),46280)</f>
        <v>46280</v>
      </c>
      <c r="F451" s="41" t="n">
        <f aca="false">IFERROR(__xludf.dummyfunction("""COMPUTED_VALUE"""),3)</f>
        <v>3</v>
      </c>
      <c r="G451" s="37" t="str">
        <f aca="false">IFERROR(__xludf.dummyfunction("""COMPUTED_VALUE"""),"21:00-23:00")</f>
        <v>21:00-23:00</v>
      </c>
      <c r="H451" s="37"/>
      <c r="I451" s="37"/>
      <c r="J451" s="37"/>
      <c r="K451" s="68" t="str">
        <f aca="false">IFERROR(__xludf.dummyfunction("""COMPUTED_VALUE"""),"Lent")</f>
        <v>Lent</v>
      </c>
      <c r="L451" s="68" t="str">
        <f aca="false">IFERROR(__xludf.dummyfunction("""COMPUTED_VALUE"""),"Tưởng Thị Huyền Trang")</f>
        <v>Tưởng Thị Huyền Trang</v>
      </c>
      <c r="M451" s="71"/>
      <c r="N451" s="77" t="str">
        <f aca="false">IFERROR(__xludf.dummyfunction("""COMPUTED_VALUE"""),"3108,3117,3315,3127,3314")</f>
        <v>3108,3117,3315,3127,3314</v>
      </c>
      <c r="O451" s="63" t="str">
        <f aca="false">IFERROR(__xludf.dummyfunction("""COMPUTED_VALUE"""),"168380, 168595, 168336, 167471, 167071")</f>
        <v>168380, 168595, 168336, 167471, 167071</v>
      </c>
      <c r="P451" s="63" t="str">
        <f aca="false">IFERROR(__xludf.dummyfunction("""COMPUTED_VALUE"""),"9025,9028,9036,9104,9106,9017,9102")</f>
        <v>9025,9028,9036,9104,9106,9017,9102</v>
      </c>
      <c r="Q451" s="63" t="n">
        <f aca="false">IFERROR(__xludf.dummyfunction("""COMPUTED_VALUE"""),167071)</f>
        <v>167071</v>
      </c>
      <c r="R451" s="41"/>
      <c r="S451" s="41"/>
      <c r="T451" s="63"/>
      <c r="U451" s="63"/>
      <c r="V451" s="70" t="n">
        <f aca="false">IFERROR(__xludf.dummyfunction("""COMPUTED_VALUE"""),46283)</f>
        <v>46283</v>
      </c>
      <c r="W451" s="39"/>
      <c r="X451" s="41" t="str">
        <f aca="false">IFERROR(__xludf.dummyfunction("""COMPUTED_VALUE"""),"Lent")</f>
        <v>Lent</v>
      </c>
      <c r="Y451" s="44" t="str">
        <f aca="false">IFERROR(__xludf.dummyfunction("""COMPUTED_VALUE"""),"done")</f>
        <v>done</v>
      </c>
      <c r="Z451" s="57" t="str">
        <f aca="false">IFERROR(__xludf.dummyfunction("""COMPUTED_VALUE"""),"#N/A")</f>
        <v>#N/A</v>
      </c>
      <c r="AA451" s="57"/>
      <c r="AB451" s="41" t="n">
        <f aca="false">IFERROR(__xludf.dummyfunction("""COMPUTED_VALUE"""),9)</f>
        <v>9</v>
      </c>
      <c r="AC451" s="57" t="str">
        <f aca="false">IFERROR(__xludf.dummyfunction("""COMPUTED_VALUE"""),"gv.tungnt@hocmai.edu.vn ")</f>
        <v>gv.tungnt@hocmai.edu.vn </v>
      </c>
      <c r="AD451" s="46" t="str">
        <f aca="false">IFERROR(__xludf.dummyfunction("""COMPUTED_VALUE"""),"trangcrazy699@gmail.com")</f>
        <v>trangcrazy699@gmail.com</v>
      </c>
      <c r="AE451" s="46"/>
      <c r="AF451" s="47" t="str">
        <f aca="false">IFERROR(__xludf.dummyfunction("""COMPUTED_VALUE"""),"lophoctoan-946280")</f>
        <v>lophoctoan-946280</v>
      </c>
      <c r="AG451" s="46" t="str">
        <f aca="false">IFERROR(__xludf.dummyfunction("""COMPUTED_VALUE"""),"")</f>
        <v/>
      </c>
      <c r="AH451" s="35"/>
      <c r="AI451" s="53" t="b">
        <f aca="false">IFERROR(__xludf.dummyfunction("""COMPUTED_VALUE"""),TRUE())</f>
        <v>1</v>
      </c>
      <c r="AJ451" s="53" t="b">
        <f aca="false">IFERROR(__xludf.dummyfunction("""COMPUTED_VALUE"""),TRUE())</f>
        <v>1</v>
      </c>
      <c r="AK451" s="53" t="b">
        <f aca="false">IFERROR(__xludf.dummyfunction("""COMPUTED_VALUE"""),TRUE())</f>
        <v>1</v>
      </c>
      <c r="AL451" s="53" t="b">
        <f aca="false">IFERROR(__xludf.dummyfunction("""COMPUTED_VALUE"""),TRUE())</f>
        <v>1</v>
      </c>
      <c r="AM451" s="35"/>
      <c r="AN451" s="35"/>
      <c r="AO451" s="46"/>
    </row>
    <row r="452" customFormat="false" ht="15.75" hidden="false" customHeight="true" outlineLevel="0" collapsed="false">
      <c r="A452" s="37" t="str">
        <f aca="false">IFERROR(__xludf.dummyfunction("""COMPUTED_VALUE"""),"Tiếng Việt")</f>
        <v>Tiếng Việt</v>
      </c>
      <c r="B452" s="37" t="str">
        <f aca="false">IFERROR(__xludf.dummyfunction("""COMPUTED_VALUE"""),"TOV_V-ACT_TV11")</f>
        <v>TOV_V-ACT_TV11</v>
      </c>
      <c r="C452" s="59" t="str">
        <f aca="false">IFERROR(__xludf.dummyfunction("""COMPUTED_VALUE"""),"Kí và phương pháp đọc hiểu theo đặc trưng thể loại")</f>
        <v>Kí và phương pháp đọc hiểu theo đặc trưng thể loại</v>
      </c>
      <c r="D452" s="39" t="str">
        <f aca="false">IFERROR(__xludf.dummyfunction("""COMPUTED_VALUE"""),"Văn Trịnh Quỳnh An")</f>
        <v>Văn Trịnh Quỳnh An</v>
      </c>
      <c r="E452" s="40" t="n">
        <f aca="false">IFERROR(__xludf.dummyfunction("""COMPUTED_VALUE"""),46280)</f>
        <v>46280</v>
      </c>
      <c r="F452" s="41" t="n">
        <f aca="false">IFERROR(__xludf.dummyfunction("""COMPUTED_VALUE"""),3)</f>
        <v>3</v>
      </c>
      <c r="G452" s="37" t="str">
        <f aca="false">IFERROR(__xludf.dummyfunction("""COMPUTED_VALUE"""),"20:00-21:30")</f>
        <v>20:00-21:30</v>
      </c>
      <c r="H452" s="37"/>
      <c r="I452" s="37"/>
      <c r="J452" s="37"/>
      <c r="K452" s="68" t="str">
        <f aca="false">IFERROR(__xludf.dummyfunction("""COMPUTED_VALUE"""),"Hangvt3")</f>
        <v>Hangvt3</v>
      </c>
      <c r="L452" s="68" t="str">
        <f aca="false">IFERROR(__xludf.dummyfunction("""COMPUTED_VALUE"""),"Bùi Vĩnh Thọ")</f>
        <v>Bùi Vĩnh Thọ</v>
      </c>
      <c r="M452" s="71"/>
      <c r="N452" s="77" t="str">
        <f aca="false">IFERROR(__xludf.dummyfunction("""COMPUTED_VALUE"""),"3125,3338")</f>
        <v>3125,3338</v>
      </c>
      <c r="O452" s="73" t="n">
        <f aca="false">IFERROR(__xludf.dummyfunction("""COMPUTED_VALUE"""),167363.174778)</f>
        <v>167363.174778</v>
      </c>
      <c r="P452" s="63" t="n">
        <f aca="false">IFERROR(__xludf.dummyfunction("""COMPUTED_VALUE"""),174778)</f>
        <v>174778</v>
      </c>
      <c r="Q452" s="63"/>
      <c r="R452" s="41"/>
      <c r="S452" s="41"/>
      <c r="T452" s="63"/>
      <c r="U452" s="63"/>
      <c r="V452" s="70"/>
      <c r="W452" s="39"/>
      <c r="X452" s="41" t="str">
        <f aca="false">IFERROR(__xludf.dummyfunction("""COMPUTED_VALUE"""),"Phuongdt")</f>
        <v>Phuongdt</v>
      </c>
      <c r="Y452" s="44"/>
      <c r="Z452" s="57" t="str">
        <f aca="false">IFERROR(__xludf.dummyfunction("""COMPUTED_VALUE"""),"#N/A")</f>
        <v>#N/A</v>
      </c>
      <c r="AA452" s="57"/>
      <c r="AB452" s="41" t="n">
        <f aca="false">IFERROR(__xludf.dummyfunction("""COMPUTED_VALUE"""),9)</f>
        <v>9</v>
      </c>
      <c r="AC452" s="57" t="str">
        <f aca="false">IFERROR(__xludf.dummyfunction("""COMPUTED_VALUE"""),"gv.anvtq@hocmai.edu.vn ")</f>
        <v>gv.anvtq@hocmai.edu.vn </v>
      </c>
      <c r="AD452" s="46" t="str">
        <f aca="false">IFERROR(__xludf.dummyfunction("""COMPUTED_VALUE"""),"vinhtho0704@gmail.com")</f>
        <v>vinhtho0704@gmail.com</v>
      </c>
      <c r="AE452" s="46"/>
      <c r="AF452" s="74" t="b">
        <f aca="false">IFERROR(__xludf.dummyfunction("""COMPUTED_VALUE"""),FALSE())</f>
        <v>0</v>
      </c>
      <c r="AG452" s="46" t="str">
        <f aca="false">IFERROR(__xludf.dummyfunction("""COMPUTED_VALUE"""),"")</f>
        <v/>
      </c>
      <c r="AH452" s="35"/>
      <c r="AI452" s="35"/>
      <c r="AJ452" s="35"/>
      <c r="AK452" s="35"/>
      <c r="AL452" s="35"/>
      <c r="AM452" s="53" t="b">
        <f aca="false">IFERROR(__xludf.dummyfunction("""COMPUTED_VALUE"""),TRUE())</f>
        <v>1</v>
      </c>
      <c r="AN452" s="53" t="b">
        <f aca="false">IFERROR(__xludf.dummyfunction("""COMPUTED_VALUE"""),TRUE())</f>
        <v>1</v>
      </c>
      <c r="AO452" s="46"/>
    </row>
    <row r="453" customFormat="false" ht="15.75" hidden="false" customHeight="true" outlineLevel="0" collapsed="false">
      <c r="A453" s="37" t="str">
        <f aca="false">IFERROR(__xludf.dummyfunction("""COMPUTED_VALUE"""),"Địa lí")</f>
        <v>Địa lí</v>
      </c>
      <c r="B453" s="37" t="str">
        <f aca="false">IFERROR(__xludf.dummyfunction("""COMPUTED_VALUE"""),"TOV_HSA_ĐL10")</f>
        <v>TOV_HSA_ĐL10</v>
      </c>
      <c r="C453" s="59" t="str">
        <f aca="false">IFERROR(__xludf.dummyfunction("""COMPUTED_VALUE"""),"Địa lí tự nhiên Việt Nam (phần 1)")</f>
        <v>Địa lí tự nhiên Việt Nam (phần 1)</v>
      </c>
      <c r="D453" s="39" t="str">
        <f aca="false">IFERROR(__xludf.dummyfunction("""COMPUTED_VALUE"""),"Nguyễn Văn Vinh")</f>
        <v>Nguyễn Văn Vinh</v>
      </c>
      <c r="E453" s="40" t="n">
        <f aca="false">IFERROR(__xludf.dummyfunction("""COMPUTED_VALUE"""),46280)</f>
        <v>46280</v>
      </c>
      <c r="F453" s="41" t="n">
        <f aca="false">IFERROR(__xludf.dummyfunction("""COMPUTED_VALUE"""),3)</f>
        <v>3</v>
      </c>
      <c r="G453" s="37" t="str">
        <f aca="false">IFERROR(__xludf.dummyfunction("""COMPUTED_VALUE"""),"18:30-20:30")</f>
        <v>18:30-20:30</v>
      </c>
      <c r="H453" s="37"/>
      <c r="I453" s="37"/>
      <c r="J453" s="37"/>
      <c r="K453" s="68" t="str">
        <f aca="false">IFERROR(__xludf.dummyfunction("""COMPUTED_VALUE"""),"Trinhntt")</f>
        <v>Trinhntt</v>
      </c>
      <c r="L453" s="68" t="str">
        <f aca="false">IFERROR(__xludf.dummyfunction("""COMPUTED_VALUE"""),"Phan Đức Kiên")</f>
        <v>Phan Đức Kiên</v>
      </c>
      <c r="M453" s="71"/>
      <c r="N453" s="77" t="str">
        <f aca="false">IFERROR(__xludf.dummyfunction("""COMPUTED_VALUE"""),"3123")</f>
        <v>3123</v>
      </c>
      <c r="O453" s="63" t="n">
        <f aca="false">IFERROR(__xludf.dummyfunction("""COMPUTED_VALUE"""),174756)</f>
        <v>174756</v>
      </c>
      <c r="P453" s="63"/>
      <c r="Q453" s="63" t="n">
        <f aca="false">IFERROR(__xludf.dummyfunction("""COMPUTED_VALUE"""),174756)</f>
        <v>174756</v>
      </c>
      <c r="R453" s="41"/>
      <c r="S453" s="41"/>
      <c r="T453" s="63"/>
      <c r="U453" s="63"/>
      <c r="V453" s="70" t="n">
        <f aca="false">IFERROR(__xludf.dummyfunction("""COMPUTED_VALUE"""),46283)</f>
        <v>46283</v>
      </c>
      <c r="W453" s="39"/>
      <c r="X453" s="41" t="str">
        <f aca="false">IFERROR(__xludf.dummyfunction("""COMPUTED_VALUE"""),"Huent7")</f>
        <v>Huent7</v>
      </c>
      <c r="Y453" s="44"/>
      <c r="Z453" s="57" t="str">
        <f aca="false">IFERROR(__xludf.dummyfunction("""COMPUTED_VALUE"""),"#N/A")</f>
        <v>#N/A</v>
      </c>
      <c r="AA453" s="57"/>
      <c r="AB453" s="41"/>
      <c r="AC453" s="57" t="str">
        <f aca="false">IFERROR(__xludf.dummyfunction("""COMPUTED_VALUE"""),"gv.vinhnv@hocmai.edu.vn")</f>
        <v>gv.vinhnv@hocmai.edu.vn</v>
      </c>
      <c r="AD453" s="46" t="str">
        <f aca="false">IFERROR(__xludf.dummyfunction("""COMPUTED_VALUE"""),"duckien010607@gmail.com")</f>
        <v>duckien010607@gmail.com</v>
      </c>
      <c r="AE453" s="46"/>
      <c r="AF453" s="74" t="b">
        <f aca="false">IFERROR(__xludf.dummyfunction("""COMPUTED_VALUE"""),FALSE())</f>
        <v>0</v>
      </c>
      <c r="AG453" s="46" t="str">
        <f aca="false">IFERROR(__xludf.dummyfunction("""COMPUTED_VALUE"""),"")</f>
        <v/>
      </c>
      <c r="AH453" s="35"/>
      <c r="AI453" s="35"/>
      <c r="AJ453" s="53" t="b">
        <f aca="false">IFERROR(__xludf.dummyfunction("""COMPUTED_VALUE"""),TRUE())</f>
        <v>1</v>
      </c>
      <c r="AK453" s="53" t="b">
        <f aca="false">IFERROR(__xludf.dummyfunction("""COMPUTED_VALUE"""),TRUE())</f>
        <v>1</v>
      </c>
      <c r="AL453" s="35"/>
      <c r="AM453" s="35"/>
      <c r="AN453" s="35"/>
      <c r="AO453" s="46"/>
    </row>
    <row r="454" customFormat="false" ht="15.75" hidden="false" customHeight="true" outlineLevel="0" collapsed="false">
      <c r="A454" s="37" t="str">
        <f aca="false">IFERROR(__xludf.dummyfunction("""COMPUTED_VALUE"""),"Định tính")</f>
        <v>Định tính</v>
      </c>
      <c r="B454" s="37" t="str">
        <f aca="false">IFERROR(__xludf.dummyfunction("""COMPUTED_VALUE"""),"TOV_HSA_DT12")</f>
        <v>TOV_HSA_DT12</v>
      </c>
      <c r="C454" s="59" t="str">
        <f aca="false">IFERROR(__xludf.dummyfunction("""COMPUTED_VALUE"""),"Văn bản nghị luận: Đặc trưng kiểu văn bản và phương pháp đọc hiểu")</f>
        <v>Văn bản nghị luận: Đặc trưng kiểu văn bản và phương pháp đọc hiểu</v>
      </c>
      <c r="D454" s="39" t="str">
        <f aca="false">IFERROR(__xludf.dummyfunction("""COMPUTED_VALUE"""),"Vương Thúy Hằng")</f>
        <v>Vương Thúy Hằng</v>
      </c>
      <c r="E454" s="40" t="n">
        <f aca="false">IFERROR(__xludf.dummyfunction("""COMPUTED_VALUE"""),46281)</f>
        <v>46281</v>
      </c>
      <c r="F454" s="41" t="n">
        <f aca="false">IFERROR(__xludf.dummyfunction("""COMPUTED_VALUE"""),4)</f>
        <v>4</v>
      </c>
      <c r="G454" s="37" t="str">
        <f aca="false">IFERROR(__xludf.dummyfunction("""COMPUTED_VALUE"""),"21:00-23:00")</f>
        <v>21:00-23:00</v>
      </c>
      <c r="H454" s="37"/>
      <c r="I454" s="37"/>
      <c r="J454" s="37"/>
      <c r="K454" s="68" t="str">
        <f aca="false">IFERROR(__xludf.dummyfunction("""COMPUTED_VALUE"""),"Hangvt3")</f>
        <v>Hangvt3</v>
      </c>
      <c r="L454" s="68" t="str">
        <f aca="false">IFERROR(__xludf.dummyfunction("""COMPUTED_VALUE"""),"Kiều Bảo Minh")</f>
        <v>Kiều Bảo Minh</v>
      </c>
      <c r="M454" s="71"/>
      <c r="N454" s="77" t="str">
        <f aca="false">IFERROR(__xludf.dummyfunction("""COMPUTED_VALUE"""),"3118")</f>
        <v>3118</v>
      </c>
      <c r="O454" s="63" t="n">
        <f aca="false">IFERROR(__xludf.dummyfunction("""COMPUTED_VALUE"""),167301)</f>
        <v>167301</v>
      </c>
      <c r="P454" s="63"/>
      <c r="Q454" s="63"/>
      <c r="R454" s="41"/>
      <c r="S454" s="41"/>
      <c r="T454" s="63"/>
      <c r="U454" s="63"/>
      <c r="V454" s="70" t="n">
        <f aca="false">IFERROR(__xludf.dummyfunction("""COMPUTED_VALUE"""),46284)</f>
        <v>46284</v>
      </c>
      <c r="W454" s="39"/>
      <c r="X454" s="41" t="str">
        <f aca="false">IFERROR(__xludf.dummyfunction("""COMPUTED_VALUE"""),"Phuongdt")</f>
        <v>Phuongdt</v>
      </c>
      <c r="Y454" s="44" t="str">
        <f aca="false">IFERROR(__xludf.dummyfunction("""COMPUTED_VALUE"""),"done")</f>
        <v>done</v>
      </c>
      <c r="Z454" s="57" t="str">
        <f aca="false">IFERROR(__xludf.dummyfunction("""COMPUTED_VALUE"""),"#N/A")</f>
        <v>#N/A</v>
      </c>
      <c r="AA454" s="57"/>
      <c r="AB454" s="41" t="n">
        <f aca="false">IFERROR(__xludf.dummyfunction("""COMPUTED_VALUE"""),9)</f>
        <v>9</v>
      </c>
      <c r="AC454" s="57" t="str">
        <f aca="false">IFERROR(__xludf.dummyfunction("""COMPUTED_VALUE"""),"gv.hangvt@hocmai.edu.vn ")</f>
        <v>gv.hangvt@hocmai.edu.vn </v>
      </c>
      <c r="AD454" s="46" t="str">
        <f aca="false">IFERROR(__xludf.dummyfunction("""COMPUTED_VALUE"""),"mkieu2662@gmail.com")</f>
        <v>mkieu2662@gmail.com</v>
      </c>
      <c r="AE454" s="46"/>
      <c r="AF454" s="74" t="b">
        <f aca="false">IFERROR(__xludf.dummyfunction("""COMPUTED_VALUE"""),FALSE())</f>
        <v>0</v>
      </c>
      <c r="AG454" s="46" t="str">
        <f aca="false">IFERROR(__xludf.dummyfunction("""COMPUTED_VALUE"""),"")</f>
        <v/>
      </c>
      <c r="AH454" s="35"/>
      <c r="AI454" s="35"/>
      <c r="AJ454" s="53" t="b">
        <f aca="false">IFERROR(__xludf.dummyfunction("""COMPUTED_VALUE"""),TRUE())</f>
        <v>1</v>
      </c>
      <c r="AK454" s="53" t="b">
        <f aca="false">IFERROR(__xludf.dummyfunction("""COMPUTED_VALUE"""),TRUE())</f>
        <v>1</v>
      </c>
      <c r="AL454" s="35"/>
      <c r="AM454" s="35"/>
      <c r="AN454" s="35"/>
      <c r="AO454" s="46"/>
    </row>
    <row r="455" customFormat="false" ht="15.75" hidden="false" customHeight="true" outlineLevel="0" collapsed="false">
      <c r="A455" s="37" t="str">
        <f aca="false">IFERROR(__xludf.dummyfunction("""COMPUTED_VALUE"""),"Ngữ văn")</f>
        <v>Ngữ văn</v>
      </c>
      <c r="B455" s="37" t="str">
        <f aca="false">IFERROR(__xludf.dummyfunction("""COMPUTED_VALUE"""),"TOV_TNTHPT_NV04")</f>
        <v>TOV_TNTHPT_NV04</v>
      </c>
      <c r="C455" s="59" t="str">
        <f aca="false">IFERROR(__xludf.dummyfunction("""COMPUTED_VALUE"""),"Phương pháp xử lí nhóm câu hỏi về biện pháp tu từ, từ ngữ, hình ảnh")</f>
        <v>Phương pháp xử lí nhóm câu hỏi về biện pháp tu từ, từ ngữ, hình ảnh</v>
      </c>
      <c r="D455" s="39" t="str">
        <f aca="false">IFERROR(__xludf.dummyfunction("""COMPUTED_VALUE"""),"Phạm Hữu Cường")</f>
        <v>Phạm Hữu Cường</v>
      </c>
      <c r="E455" s="40" t="n">
        <f aca="false">IFERROR(__xludf.dummyfunction("""COMPUTED_VALUE"""),46281)</f>
        <v>46281</v>
      </c>
      <c r="F455" s="41" t="n">
        <f aca="false">IFERROR(__xludf.dummyfunction("""COMPUTED_VALUE"""),4)</f>
        <v>4</v>
      </c>
      <c r="G455" s="37" t="str">
        <f aca="false">IFERROR(__xludf.dummyfunction("""COMPUTED_VALUE"""),"21:00-23:00")</f>
        <v>21:00-23:00</v>
      </c>
      <c r="H455" s="37"/>
      <c r="I455" s="37"/>
      <c r="J455" s="37"/>
      <c r="K455" s="68" t="str">
        <f aca="false">IFERROR(__xludf.dummyfunction("""COMPUTED_VALUE"""),"Hangvt3")</f>
        <v>Hangvt3</v>
      </c>
      <c r="L455" s="68" t="str">
        <f aca="false">IFERROR(__xludf.dummyfunction("""COMPUTED_VALUE"""),"Trần Đức Lương")</f>
        <v>Trần Đức Lương</v>
      </c>
      <c r="M455" s="71"/>
      <c r="N455" s="77" t="str">
        <f aca="false">IFERROR(__xludf.dummyfunction("""COMPUTED_VALUE"""),"3128")</f>
        <v>3128</v>
      </c>
      <c r="O455" s="63" t="n">
        <f aca="false">IFERROR(__xludf.dummyfunction("""COMPUTED_VALUE"""),167561)</f>
        <v>167561</v>
      </c>
      <c r="P455" s="63"/>
      <c r="Q455" s="63"/>
      <c r="R455" s="41"/>
      <c r="S455" s="41"/>
      <c r="T455" s="63"/>
      <c r="U455" s="63"/>
      <c r="V455" s="70" t="n">
        <f aca="false">IFERROR(__xludf.dummyfunction("""COMPUTED_VALUE"""),46284)</f>
        <v>46284</v>
      </c>
      <c r="W455" s="39"/>
      <c r="X455" s="41" t="str">
        <f aca="false">IFERROR(__xludf.dummyfunction("""COMPUTED_VALUE"""),"Phuongdt")</f>
        <v>Phuongdt</v>
      </c>
      <c r="Y455" s="44"/>
      <c r="Z455" s="57" t="str">
        <f aca="false">IFERROR(__xludf.dummyfunction("""COMPUTED_VALUE"""),"#N/A")</f>
        <v>#N/A</v>
      </c>
      <c r="AA455" s="57"/>
      <c r="AB455" s="41" t="n">
        <f aca="false">IFERROR(__xludf.dummyfunction("""COMPUTED_VALUE"""),9)</f>
        <v>9</v>
      </c>
      <c r="AC455" s="57" t="str">
        <f aca="false">IFERROR(__xludf.dummyfunction("""COMPUTED_VALUE"""),"gv.cuongph@hocmai.edu.vn ")</f>
        <v>gv.cuongph@hocmai.edu.vn </v>
      </c>
      <c r="AD455" s="46" t="str">
        <f aca="false">IFERROR(__xludf.dummyfunction("""COMPUTED_VALUE"""),"ss.hsa01@ctv.hocmai.vn")</f>
        <v>ss.hsa01@ctv.hocmai.vn</v>
      </c>
      <c r="AE455" s="46"/>
      <c r="AF455" s="74" t="b">
        <f aca="false">IFERROR(__xludf.dummyfunction("""COMPUTED_VALUE"""),FALSE())</f>
        <v>0</v>
      </c>
      <c r="AG455" s="46" t="str">
        <f aca="false">IFERROR(__xludf.dummyfunction("""COMPUTED_VALUE"""),"")</f>
        <v/>
      </c>
      <c r="AH455" s="35"/>
      <c r="AI455" s="35"/>
      <c r="AJ455" s="35"/>
      <c r="AK455" s="35"/>
      <c r="AL455" s="53" t="b">
        <f aca="false">IFERROR(__xludf.dummyfunction("""COMPUTED_VALUE"""),TRUE())</f>
        <v>1</v>
      </c>
      <c r="AM455" s="35"/>
      <c r="AN455" s="35"/>
      <c r="AO455" s="46"/>
    </row>
    <row r="456" customFormat="false" ht="15.75" hidden="false" customHeight="true" outlineLevel="0" collapsed="false">
      <c r="A456" s="37" t="str">
        <f aca="false">IFERROR(__xludf.dummyfunction("""COMPUTED_VALUE"""),"Vật lí")</f>
        <v>Vật lí</v>
      </c>
      <c r="B456" s="37" t="str">
        <f aca="false">IFERROR(__xludf.dummyfunction("""COMPUTED_VALUE"""),"TOV_TSA_L13")</f>
        <v>TOV_TSA_L13</v>
      </c>
      <c r="C456" s="59" t="str">
        <f aca="false">IFERROR(__xludf.dummyfunction("""COMPUTED_VALUE"""),"Nhiệt lượng, chuyển thể và nhiệt động lực học")</f>
        <v>Nhiệt lượng, chuyển thể và nhiệt động lực học</v>
      </c>
      <c r="D456" s="39" t="str">
        <f aca="false">IFERROR(__xludf.dummyfunction("""COMPUTED_VALUE"""),"Thiều Thị Dung")</f>
        <v>Thiều Thị Dung</v>
      </c>
      <c r="E456" s="40" t="n">
        <f aca="false">IFERROR(__xludf.dummyfunction("""COMPUTED_VALUE"""),46282)</f>
        <v>46282</v>
      </c>
      <c r="F456" s="41" t="n">
        <f aca="false">IFERROR(__xludf.dummyfunction("""COMPUTED_VALUE"""),5)</f>
        <v>5</v>
      </c>
      <c r="G456" s="37" t="str">
        <f aca="false">IFERROR(__xludf.dummyfunction("""COMPUTED_VALUE"""),"21:00-23:00")</f>
        <v>21:00-23:00</v>
      </c>
      <c r="H456" s="37"/>
      <c r="I456" s="37"/>
      <c r="J456" s="37"/>
      <c r="K456" s="68" t="str">
        <f aca="false">IFERROR(__xludf.dummyfunction("""COMPUTED_VALUE"""),"Trangnth2")</f>
        <v>Trangnth2</v>
      </c>
      <c r="L456" s="68" t="str">
        <f aca="false">IFERROR(__xludf.dummyfunction("""COMPUTED_VALUE"""),"Trần Đức Lương")</f>
        <v>Trần Đức Lương</v>
      </c>
      <c r="M456" s="71"/>
      <c r="N456" s="77" t="str">
        <f aca="false">IFERROR(__xludf.dummyfunction("""COMPUTED_VALUE"""),"3110")</f>
        <v>3110</v>
      </c>
      <c r="O456" s="63" t="n">
        <f aca="false">IFERROR(__xludf.dummyfunction("""COMPUTED_VALUE"""),167271)</f>
        <v>167271</v>
      </c>
      <c r="P456" s="63"/>
      <c r="Q456" s="63"/>
      <c r="R456" s="41"/>
      <c r="S456" s="41"/>
      <c r="T456" s="63"/>
      <c r="U456" s="63"/>
      <c r="V456" s="70" t="n">
        <f aca="false">IFERROR(__xludf.dummyfunction("""COMPUTED_VALUE"""),46285)</f>
        <v>46285</v>
      </c>
      <c r="W456" s="39"/>
      <c r="X456" s="41" t="str">
        <f aca="false">IFERROR(__xludf.dummyfunction("""COMPUTED_VALUE"""),"Trangnth2")</f>
        <v>Trangnth2</v>
      </c>
      <c r="Y456" s="44"/>
      <c r="Z456" s="57" t="str">
        <f aca="false">IFERROR(__xludf.dummyfunction("""COMPUTED_VALUE"""),"#N/A")</f>
        <v>#N/A</v>
      </c>
      <c r="AA456" s="57"/>
      <c r="AB456" s="41" t="n">
        <f aca="false">IFERROR(__xludf.dummyfunction("""COMPUTED_VALUE"""),9)</f>
        <v>9</v>
      </c>
      <c r="AC456" s="57" t="str">
        <f aca="false">IFERROR(__xludf.dummyfunction("""COMPUTED_VALUE"""),"dungtt2@hocmai.vn                ")</f>
        <v>dungtt2@hocmai.vn                </v>
      </c>
      <c r="AD456" s="46" t="str">
        <f aca="false">IFERROR(__xludf.dummyfunction("""COMPUTED_VALUE"""),"ss.hsa01@ctv.hocmai.vn")</f>
        <v>ss.hsa01@ctv.hocmai.vn</v>
      </c>
      <c r="AE456" s="46"/>
      <c r="AF456" s="74" t="b">
        <f aca="false">IFERROR(__xludf.dummyfunction("""COMPUTED_VALUE"""),FALSE())</f>
        <v>0</v>
      </c>
      <c r="AG456" s="46" t="str">
        <f aca="false">IFERROR(__xludf.dummyfunction("""COMPUTED_VALUE"""),"")</f>
        <v/>
      </c>
      <c r="AH456" s="35"/>
      <c r="AI456" s="53" t="b">
        <f aca="false">IFERROR(__xludf.dummyfunction("""COMPUTED_VALUE"""),TRUE())</f>
        <v>1</v>
      </c>
      <c r="AJ456" s="35"/>
      <c r="AK456" s="35"/>
      <c r="AL456" s="35"/>
      <c r="AM456" s="35"/>
      <c r="AN456" s="35"/>
      <c r="AO456" s="46"/>
    </row>
    <row r="457" customFormat="false" ht="15.75" hidden="false" customHeight="true" outlineLevel="0" collapsed="false">
      <c r="A457" s="37" t="str">
        <f aca="false">IFERROR(__xludf.dummyfunction("""COMPUTED_VALUE"""),"Vật lí")</f>
        <v>Vật lí</v>
      </c>
      <c r="B457" s="37" t="str">
        <f aca="false">IFERROR(__xludf.dummyfunction("""COMPUTED_VALUE"""),"TOV_HT_VL14")</f>
        <v>TOV_HT_VL14</v>
      </c>
      <c r="C457" s="59" t="str">
        <f aca="false">IFERROR(__xludf.dummyfunction("""COMPUTED_VALUE"""),"Khí lí tưởng, phương trình trạng thái")</f>
        <v>Khí lí tưởng, phương trình trạng thái</v>
      </c>
      <c r="D457" s="39" t="str">
        <f aca="false">IFERROR(__xludf.dummyfunction("""COMPUTED_VALUE"""),"Nguyễn Hữu Tình")</f>
        <v>Nguyễn Hữu Tình</v>
      </c>
      <c r="E457" s="40" t="n">
        <f aca="false">IFERROR(__xludf.dummyfunction("""COMPUTED_VALUE"""),46282)</f>
        <v>46282</v>
      </c>
      <c r="F457" s="41" t="n">
        <f aca="false">IFERROR(__xludf.dummyfunction("""COMPUTED_VALUE"""),5)</f>
        <v>5</v>
      </c>
      <c r="G457" s="37" t="str">
        <f aca="false">IFERROR(__xludf.dummyfunction("""COMPUTED_VALUE"""),"21:00-23:00")</f>
        <v>21:00-23:00</v>
      </c>
      <c r="H457" s="37"/>
      <c r="I457" s="37"/>
      <c r="J457" s="37"/>
      <c r="K457" s="68" t="str">
        <f aca="false">IFERROR(__xludf.dummyfunction("""COMPUTED_VALUE"""),"Trangnth2")</f>
        <v>Trangnth2</v>
      </c>
      <c r="L457" s="68" t="str">
        <f aca="false">IFERROR(__xludf.dummyfunction("""COMPUTED_VALUE"""),"Kiều Bảo Minh")</f>
        <v>Kiều Bảo Minh</v>
      </c>
      <c r="M457" s="71"/>
      <c r="N457" s="80" t="str">
        <f aca="false">IFERROR(__xludf.dummyfunction("""COMPUTED_VALUE"""),"3119,3130")</f>
        <v>3119,3130</v>
      </c>
      <c r="O457" s="73" t="n">
        <f aca="false">IFERROR(__xludf.dummyfunction("""COMPUTED_VALUE"""),167529.167576)</f>
        <v>167529.167576</v>
      </c>
      <c r="P457" s="63" t="str">
        <f aca="false">IFERROR(__xludf.dummyfunction("""COMPUTED_VALUE"""),"9031,9039,9020")</f>
        <v>9031,9039,9020</v>
      </c>
      <c r="Q457" s="63"/>
      <c r="R457" s="41"/>
      <c r="S457" s="41"/>
      <c r="T457" s="63"/>
      <c r="U457" s="63" t="n">
        <f aca="false">IFERROR(__xludf.dummyfunction("""COMPUTED_VALUE"""),10470)</f>
        <v>10470</v>
      </c>
      <c r="V457" s="70" t="n">
        <f aca="false">IFERROR(__xludf.dummyfunction("""COMPUTED_VALUE"""),46285)</f>
        <v>46285</v>
      </c>
      <c r="W457" s="39"/>
      <c r="X457" s="41" t="str">
        <f aca="false">IFERROR(__xludf.dummyfunction("""COMPUTED_VALUE"""),"Trangnth2")</f>
        <v>Trangnth2</v>
      </c>
      <c r="Y457" s="44"/>
      <c r="Z457" s="57" t="str">
        <f aca="false">IFERROR(__xludf.dummyfunction("""COMPUTED_VALUE"""),"#N/A")</f>
        <v>#N/A</v>
      </c>
      <c r="AA457" s="57"/>
      <c r="AB457" s="41" t="n">
        <f aca="false">IFERROR(__xludf.dummyfunction("""COMPUTED_VALUE"""),9)</f>
        <v>9</v>
      </c>
      <c r="AC457" s="57" t="str">
        <f aca="false">IFERROR(__xludf.dummyfunction("""COMPUTED_VALUE"""),"gv.tinhnh@hocmai.edu.vn ")</f>
        <v>gv.tinhnh@hocmai.edu.vn </v>
      </c>
      <c r="AD457" s="46" t="str">
        <f aca="false">IFERROR(__xludf.dummyfunction("""COMPUTED_VALUE"""),"mkieu2662@gmail.com")</f>
        <v>mkieu2662@gmail.com</v>
      </c>
      <c r="AE457" s="46"/>
      <c r="AF457" s="74" t="b">
        <f aca="false">IFERROR(__xludf.dummyfunction("""COMPUTED_VALUE"""),FALSE())</f>
        <v>0</v>
      </c>
      <c r="AG457" s="46" t="str">
        <f aca="false">IFERROR(__xludf.dummyfunction("""COMPUTED_VALUE"""),"")</f>
        <v/>
      </c>
      <c r="AH457" s="35"/>
      <c r="AI457" s="35"/>
      <c r="AJ457" s="53" t="b">
        <f aca="false">IFERROR(__xludf.dummyfunction("""COMPUTED_VALUE"""),TRUE())</f>
        <v>1</v>
      </c>
      <c r="AK457" s="53" t="b">
        <f aca="false">IFERROR(__xludf.dummyfunction("""COMPUTED_VALUE"""),TRUE())</f>
        <v>1</v>
      </c>
      <c r="AL457" s="53" t="b">
        <f aca="false">IFERROR(__xludf.dummyfunction("""COMPUTED_VALUE"""),TRUE())</f>
        <v>1</v>
      </c>
      <c r="AM457" s="35"/>
      <c r="AN457" s="35"/>
      <c r="AO457" s="46"/>
    </row>
    <row r="458" customFormat="false" ht="15.75" hidden="false" customHeight="true" outlineLevel="0" collapsed="false">
      <c r="A458" s="37" t="str">
        <f aca="false">IFERROR(__xludf.dummyfunction("""COMPUTED_VALUE"""),"Toán")</f>
        <v>Toán</v>
      </c>
      <c r="B458" s="37" t="str">
        <f aca="false">IFERROR(__xludf.dummyfunction("""COMPUTED_VALUE"""),"TOA_V-ACT_T13")</f>
        <v>TOA_V-ACT_T13</v>
      </c>
      <c r="C458" s="59" t="str">
        <f aca="false">IFERROR(__xludf.dummyfunction("""COMPUTED_VALUE"""),"Phương pháp, kĩ năng xử lí các bài toán về hình học Oxy (P1)")</f>
        <v>Phương pháp, kĩ năng xử lí các bài toán về hình học Oxy (P1)</v>
      </c>
      <c r="D458" s="39" t="str">
        <f aca="false">IFERROR(__xludf.dummyfunction("""COMPUTED_VALUE"""),"Nguyễn Hoài Nam")</f>
        <v>Nguyễn Hoài Nam</v>
      </c>
      <c r="E458" s="40" t="n">
        <f aca="false">IFERROR(__xludf.dummyfunction("""COMPUTED_VALUE"""),46282)</f>
        <v>46282</v>
      </c>
      <c r="F458" s="41" t="n">
        <f aca="false">IFERROR(__xludf.dummyfunction("""COMPUTED_VALUE"""),5)</f>
        <v>5</v>
      </c>
      <c r="G458" s="37" t="str">
        <f aca="false">IFERROR(__xludf.dummyfunction("""COMPUTED_VALUE"""),"21:00-22:30")</f>
        <v>21:00-22:30</v>
      </c>
      <c r="H458" s="37"/>
      <c r="I458" s="37"/>
      <c r="J458" s="37"/>
      <c r="K458" s="68" t="str">
        <f aca="false">IFERROR(__xludf.dummyfunction("""COMPUTED_VALUE"""),"Lent")</f>
        <v>Lent</v>
      </c>
      <c r="L458" s="68" t="str">
        <f aca="false">IFERROR(__xludf.dummyfunction("""COMPUTED_VALUE"""),"Lường Nhật Nam")</f>
        <v>Lường Nhật Nam</v>
      </c>
      <c r="M458" s="71"/>
      <c r="N458" s="77" t="str">
        <f aca="false">IFERROR(__xludf.dummyfunction("""COMPUTED_VALUE"""),"3124,3316")</f>
        <v>3124,3316</v>
      </c>
      <c r="O458" s="73" t="n">
        <f aca="false">IFERROR(__xludf.dummyfunction("""COMPUTED_VALUE"""),167201.166867)</f>
        <v>167201.166867</v>
      </c>
      <c r="P458" s="63" t="n">
        <f aca="false">IFERROR(__xludf.dummyfunction("""COMPUTED_VALUE"""),9044.9108)</f>
        <v>9044.9108</v>
      </c>
      <c r="Q458" s="63" t="n">
        <f aca="false">IFERROR(__xludf.dummyfunction("""COMPUTED_VALUE"""),167201)</f>
        <v>167201</v>
      </c>
      <c r="R458" s="41" t="n">
        <f aca="false">IFERROR(__xludf.dummyfunction("""COMPUTED_VALUE"""),166867)</f>
        <v>166867</v>
      </c>
      <c r="S458" s="41"/>
      <c r="T458" s="63"/>
      <c r="U458" s="63"/>
      <c r="V458" s="70" t="n">
        <f aca="false">IFERROR(__xludf.dummyfunction("""COMPUTED_VALUE"""),46285)</f>
        <v>46285</v>
      </c>
      <c r="W458" s="39"/>
      <c r="X458" s="41" t="str">
        <f aca="false">IFERROR(__xludf.dummyfunction("""COMPUTED_VALUE"""),"Lent")</f>
        <v>Lent</v>
      </c>
      <c r="Y458" s="44" t="str">
        <f aca="false">IFERROR(__xludf.dummyfunction("""COMPUTED_VALUE"""),"done")</f>
        <v>done</v>
      </c>
      <c r="Z458" s="57" t="str">
        <f aca="false">IFERROR(__xludf.dummyfunction("""COMPUTED_VALUE"""),"#N/A")</f>
        <v>#N/A</v>
      </c>
      <c r="AA458" s="57"/>
      <c r="AB458" s="41" t="n">
        <f aca="false">IFERROR(__xludf.dummyfunction("""COMPUTED_VALUE"""),9)</f>
        <v>9</v>
      </c>
      <c r="AC458" s="57" t="str">
        <f aca="false">IFERROR(__xludf.dummyfunction("""COMPUTED_VALUE"""),"gv.namnh@hocmai.edu.vn ")</f>
        <v>gv.namnh@hocmai.edu.vn </v>
      </c>
      <c r="AD458" s="46" t="str">
        <f aca="false">IFERROR(__xludf.dummyfunction("""COMPUTED_VALUE"""),"nhatnam1092@gmail.com")</f>
        <v>nhatnam1092@gmail.com</v>
      </c>
      <c r="AE458" s="46"/>
      <c r="AF458" s="47" t="str">
        <f aca="false">IFERROR(__xludf.dummyfunction("""COMPUTED_VALUE"""),"lophoctoan-946282")</f>
        <v>lophoctoan-946282</v>
      </c>
      <c r="AG458" s="46" t="str">
        <f aca="false">IFERROR(__xludf.dummyfunction("""COMPUTED_VALUE"""),"")</f>
        <v/>
      </c>
      <c r="AH458" s="35"/>
      <c r="AI458" s="35"/>
      <c r="AJ458" s="35"/>
      <c r="AK458" s="35"/>
      <c r="AL458" s="35"/>
      <c r="AM458" s="53" t="b">
        <f aca="false">IFERROR(__xludf.dummyfunction("""COMPUTED_VALUE"""),TRUE())</f>
        <v>1</v>
      </c>
      <c r="AN458" s="53" t="b">
        <f aca="false">IFERROR(__xludf.dummyfunction("""COMPUTED_VALUE"""),TRUE())</f>
        <v>1</v>
      </c>
      <c r="AO458" s="46"/>
    </row>
    <row r="459" customFormat="false" ht="15.75" hidden="false" customHeight="true" outlineLevel="0" collapsed="false">
      <c r="A459" s="37" t="str">
        <f aca="false">IFERROR(__xludf.dummyfunction("""COMPUTED_VALUE"""),"Toán")</f>
        <v>Toán</v>
      </c>
      <c r="B459" s="37" t="str">
        <f aca="false">IFERROR(__xludf.dummyfunction("""COMPUTED_VALUE"""),"TOV_TSA_T14")</f>
        <v>TOV_TSA_T14</v>
      </c>
      <c r="C459" s="59" t="str">
        <f aca="false">IFERROR(__xludf.dummyfunction("""COMPUTED_VALUE"""),"Giới hạn và tính liên tục của hàm số")</f>
        <v>Giới hạn và tính liên tục của hàm số</v>
      </c>
      <c r="D459" s="39" t="str">
        <f aca="false">IFERROR(__xludf.dummyfunction("""COMPUTED_VALUE"""),"Nguyễn Thanh Tùng")</f>
        <v>Nguyễn Thanh Tùng</v>
      </c>
      <c r="E459" s="40" t="n">
        <f aca="false">IFERROR(__xludf.dummyfunction("""COMPUTED_VALUE"""),46283)</f>
        <v>46283</v>
      </c>
      <c r="F459" s="41" t="n">
        <f aca="false">IFERROR(__xludf.dummyfunction("""COMPUTED_VALUE"""),6)</f>
        <v>6</v>
      </c>
      <c r="G459" s="37" t="str">
        <f aca="false">IFERROR(__xludf.dummyfunction("""COMPUTED_VALUE"""),"18:00-20:00")</f>
        <v>18:00-20:00</v>
      </c>
      <c r="H459" s="37"/>
      <c r="I459" s="37"/>
      <c r="J459" s="62"/>
      <c r="K459" s="68" t="str">
        <f aca="false">IFERROR(__xludf.dummyfunction("""COMPUTED_VALUE"""),"Locdd")</f>
        <v>Locdd</v>
      </c>
      <c r="L459" s="68" t="str">
        <f aca="false">IFERROR(__xludf.dummyfunction("""COMPUTED_VALUE"""),"Tưởng Thị Huyền Trang")</f>
        <v>Tưởng Thị Huyền Trang</v>
      </c>
      <c r="M459" s="71"/>
      <c r="N459" s="77" t="str">
        <f aca="false">IFERROR(__xludf.dummyfunction("""COMPUTED_VALUE"""),"3108")</f>
        <v>3108</v>
      </c>
      <c r="O459" s="63" t="n">
        <f aca="false">IFERROR(__xludf.dummyfunction("""COMPUTED_VALUE"""),168381)</f>
        <v>168381</v>
      </c>
      <c r="P459" s="63"/>
      <c r="Q459" s="63"/>
      <c r="R459" s="41"/>
      <c r="S459" s="41"/>
      <c r="T459" s="63"/>
      <c r="U459" s="63"/>
      <c r="V459" s="70" t="n">
        <f aca="false">IFERROR(__xludf.dummyfunction("""COMPUTED_VALUE"""),46286)</f>
        <v>46286</v>
      </c>
      <c r="W459" s="39"/>
      <c r="X459" s="41" t="str">
        <f aca="false">IFERROR(__xludf.dummyfunction("""COMPUTED_VALUE"""),"Locdd")</f>
        <v>Locdd</v>
      </c>
      <c r="Y459" s="44" t="str">
        <f aca="false">IFERROR(__xludf.dummyfunction("""COMPUTED_VALUE"""),"done")</f>
        <v>done</v>
      </c>
      <c r="Z459" s="57" t="str">
        <f aca="false">IFERROR(__xludf.dummyfunction("""COMPUTED_VALUE"""),"#N/A")</f>
        <v>#N/A</v>
      </c>
      <c r="AA459" s="57"/>
      <c r="AB459" s="41" t="n">
        <f aca="false">IFERROR(__xludf.dummyfunction("""COMPUTED_VALUE"""),9)</f>
        <v>9</v>
      </c>
      <c r="AC459" s="57" t="str">
        <f aca="false">IFERROR(__xludf.dummyfunction("""COMPUTED_VALUE"""),"gv.tungnt@hocmai.edu.vn ")</f>
        <v>gv.tungnt@hocmai.edu.vn </v>
      </c>
      <c r="AD459" s="46" t="str">
        <f aca="false">IFERROR(__xludf.dummyfunction("""COMPUTED_VALUE"""),"trangcrazy699@gmail.com")</f>
        <v>trangcrazy699@gmail.com</v>
      </c>
      <c r="AE459" s="46"/>
      <c r="AF459" s="47" t="str">
        <f aca="false">IFERROR(__xludf.dummyfunction("""COMPUTED_VALUE"""),"lophoctoan-946283")</f>
        <v>lophoctoan-946283</v>
      </c>
      <c r="AG459" s="46" t="str">
        <f aca="false">IFERROR(__xludf.dummyfunction("""COMPUTED_VALUE"""),"")</f>
        <v/>
      </c>
      <c r="AH459" s="35"/>
      <c r="AI459" s="53" t="b">
        <f aca="false">IFERROR(__xludf.dummyfunction("""COMPUTED_VALUE"""),TRUE())</f>
        <v>1</v>
      </c>
      <c r="AJ459" s="35"/>
      <c r="AK459" s="35"/>
      <c r="AL459" s="35"/>
      <c r="AM459" s="35"/>
      <c r="AN459" s="35"/>
      <c r="AO459" s="46"/>
    </row>
    <row r="460" customFormat="false" ht="15.75" hidden="false" customHeight="true" outlineLevel="0" collapsed="false">
      <c r="A460" s="37" t="str">
        <f aca="false">IFERROR(__xludf.dummyfunction("""COMPUTED_VALUE"""),"Sinh học")</f>
        <v>Sinh học</v>
      </c>
      <c r="B460" s="37" t="str">
        <f aca="false">IFERROR(__xludf.dummyfunction("""COMPUTED_VALUE"""),"TOV_HT_SH14")</f>
        <v>TOV_HT_SH14</v>
      </c>
      <c r="C460" s="59" t="str">
        <f aca="false">IFERROR(__xludf.dummyfunction("""COMPUTED_VALUE"""),"Di truyền phân tử II: Điều hoà gene – Đột biến gene – Công nghệ gene")</f>
        <v>Di truyền phân tử II: Điều hoà gene – Đột biến gene – Công nghệ gene</v>
      </c>
      <c r="D460" s="39" t="str">
        <f aca="false">IFERROR(__xludf.dummyfunction("""COMPUTED_VALUE"""),"Nguyễn Dương Ánh Hồng")</f>
        <v>Nguyễn Dương Ánh Hồng</v>
      </c>
      <c r="E460" s="40" t="n">
        <f aca="false">IFERROR(__xludf.dummyfunction("""COMPUTED_VALUE"""),46283)</f>
        <v>46283</v>
      </c>
      <c r="F460" s="41" t="n">
        <f aca="false">IFERROR(__xludf.dummyfunction("""COMPUTED_VALUE"""),6)</f>
        <v>6</v>
      </c>
      <c r="G460" s="37" t="str">
        <f aca="false">IFERROR(__xludf.dummyfunction("""COMPUTED_VALUE"""),"19:30-21:30")</f>
        <v>19:30-21:30</v>
      </c>
      <c r="H460" s="37"/>
      <c r="I460" s="37"/>
      <c r="J460" s="37"/>
      <c r="K460" s="68" t="str">
        <f aca="false">IFERROR(__xludf.dummyfunction("""COMPUTED_VALUE"""),"Phuongdt")</f>
        <v>Phuongdt</v>
      </c>
      <c r="L460" s="68" t="str">
        <f aca="false">IFERROR(__xludf.dummyfunction("""COMPUTED_VALUE"""),"Phan Đức Kiên")</f>
        <v>Phan Đức Kiên</v>
      </c>
      <c r="M460" s="71"/>
      <c r="N460" s="77" t="str">
        <f aca="false">IFERROR(__xludf.dummyfunction("""COMPUTED_VALUE"""),"3121,3132")</f>
        <v>3121,3132</v>
      </c>
      <c r="O460" s="73" t="n">
        <f aca="false">IFERROR(__xludf.dummyfunction("""COMPUTED_VALUE"""),167331.167345)</f>
        <v>167331.167345</v>
      </c>
      <c r="P460" s="63" t="str">
        <f aca="false">IFERROR(__xludf.dummyfunction("""COMPUTED_VALUE"""),"9033,9041,9022")</f>
        <v>9033,9041,9022</v>
      </c>
      <c r="Q460" s="63"/>
      <c r="R460" s="41"/>
      <c r="S460" s="41"/>
      <c r="T460" s="63" t="n">
        <f aca="false">IFERROR(__xludf.dummyfunction("""COMPUTED_VALUE"""),23845)</f>
        <v>23845</v>
      </c>
      <c r="U460" s="63"/>
      <c r="V460" s="70" t="n">
        <f aca="false">IFERROR(__xludf.dummyfunction("""COMPUTED_VALUE"""),46286)</f>
        <v>46286</v>
      </c>
      <c r="W460" s="39"/>
      <c r="X460" s="41" t="str">
        <f aca="false">IFERROR(__xludf.dummyfunction("""COMPUTED_VALUE"""),"Phuongdt")</f>
        <v>Phuongdt</v>
      </c>
      <c r="Y460" s="44"/>
      <c r="Z460" s="57" t="str">
        <f aca="false">IFERROR(__xludf.dummyfunction("""COMPUTED_VALUE"""),"#N/A")</f>
        <v>#N/A</v>
      </c>
      <c r="AA460" s="57"/>
      <c r="AB460" s="41" t="n">
        <f aca="false">IFERROR(__xludf.dummyfunction("""COMPUTED_VALUE"""),9)</f>
        <v>9</v>
      </c>
      <c r="AC460" s="57" t="str">
        <f aca="false">IFERROR(__xludf.dummyfunction("""COMPUTED_VALUE"""),"gv.hongnda@hocmai.edu.vn ")</f>
        <v>gv.hongnda@hocmai.edu.vn </v>
      </c>
      <c r="AD460" s="46" t="str">
        <f aca="false">IFERROR(__xludf.dummyfunction("""COMPUTED_VALUE"""),"duckien010607@gmail.com")</f>
        <v>duckien010607@gmail.com</v>
      </c>
      <c r="AE460" s="46"/>
      <c r="AF460" s="74" t="b">
        <f aca="false">IFERROR(__xludf.dummyfunction("""COMPUTED_VALUE"""),FALSE())</f>
        <v>0</v>
      </c>
      <c r="AG460" s="46" t="str">
        <f aca="false">IFERROR(__xludf.dummyfunction("""COMPUTED_VALUE"""),"")</f>
        <v/>
      </c>
      <c r="AH460" s="35"/>
      <c r="AI460" s="35"/>
      <c r="AJ460" s="53" t="b">
        <f aca="false">IFERROR(__xludf.dummyfunction("""COMPUTED_VALUE"""),TRUE())</f>
        <v>1</v>
      </c>
      <c r="AK460" s="53" t="b">
        <f aca="false">IFERROR(__xludf.dummyfunction("""COMPUTED_VALUE"""),TRUE())</f>
        <v>1</v>
      </c>
      <c r="AL460" s="53" t="b">
        <f aca="false">IFERROR(__xludf.dummyfunction("""COMPUTED_VALUE"""),TRUE())</f>
        <v>1</v>
      </c>
      <c r="AM460" s="35"/>
      <c r="AN460" s="35"/>
      <c r="AO460" s="46"/>
    </row>
    <row r="461" customFormat="false" ht="15.75" hidden="false" customHeight="true" outlineLevel="0" collapsed="false">
      <c r="A461" s="37" t="str">
        <f aca="false">IFERROR(__xludf.dummyfunction("""COMPUTED_VALUE"""),"Lịch sử")</f>
        <v>Lịch sử</v>
      </c>
      <c r="B461" s="37" t="str">
        <f aca="false">IFERROR(__xludf.dummyfunction("""COMPUTED_VALUE"""),"TOV_HSA_LS12")</f>
        <v>TOV_HSA_LS12</v>
      </c>
      <c r="C461" s="59" t="str">
        <f aca="false">IFERROR(__xludf.dummyfunction("""COMPUTED_VALUE"""),"ASEAN: Những chặng đường lịch sử")</f>
        <v>ASEAN: Những chặng đường lịch sử</v>
      </c>
      <c r="D461" s="39" t="str">
        <f aca="false">IFERROR(__xludf.dummyfunction("""COMPUTED_VALUE"""),"Dương Thị Huyền")</f>
        <v>Dương Thị Huyền</v>
      </c>
      <c r="E461" s="40" t="n">
        <f aca="false">IFERROR(__xludf.dummyfunction("""COMPUTED_VALUE"""),46283)</f>
        <v>46283</v>
      </c>
      <c r="F461" s="41" t="n">
        <f aca="false">IFERROR(__xludf.dummyfunction("""COMPUTED_VALUE"""),6)</f>
        <v>6</v>
      </c>
      <c r="G461" s="37" t="str">
        <f aca="false">IFERROR(__xludf.dummyfunction("""COMPUTED_VALUE"""),"21:30-23:30")</f>
        <v>21:30-23:30</v>
      </c>
      <c r="H461" s="37"/>
      <c r="I461" s="37"/>
      <c r="J461" s="37"/>
      <c r="K461" s="68" t="str">
        <f aca="false">IFERROR(__xludf.dummyfunction("""COMPUTED_VALUE"""),"Trinhntt")</f>
        <v>Trinhntt</v>
      </c>
      <c r="L461" s="68" t="str">
        <f aca="false">IFERROR(__xludf.dummyfunction("""COMPUTED_VALUE"""),"Phan Đức Kiên")</f>
        <v>Phan Đức Kiên</v>
      </c>
      <c r="M461" s="71"/>
      <c r="N461" s="77" t="str">
        <f aca="false">IFERROR(__xludf.dummyfunction("""COMPUTED_VALUE"""),"3122")</f>
        <v>3122</v>
      </c>
      <c r="O461" s="63" t="n">
        <f aca="false">IFERROR(__xludf.dummyfunction("""COMPUTED_VALUE"""),174739)</f>
        <v>174739</v>
      </c>
      <c r="P461" s="63"/>
      <c r="Q461" s="63"/>
      <c r="R461" s="41"/>
      <c r="S461" s="41"/>
      <c r="T461" s="63"/>
      <c r="U461" s="63"/>
      <c r="V461" s="70" t="n">
        <f aca="false">IFERROR(__xludf.dummyfunction("""COMPUTED_VALUE"""),46286)</f>
        <v>46286</v>
      </c>
      <c r="W461" s="39"/>
      <c r="X461" s="41" t="str">
        <f aca="false">IFERROR(__xludf.dummyfunction("""COMPUTED_VALUE"""),"Huent7")</f>
        <v>Huent7</v>
      </c>
      <c r="Y461" s="44"/>
      <c r="Z461" s="57" t="str">
        <f aca="false">IFERROR(__xludf.dummyfunction("""COMPUTED_VALUE"""),"#N/A")</f>
        <v>#N/A</v>
      </c>
      <c r="AA461" s="57"/>
      <c r="AB461" s="41"/>
      <c r="AC461" s="57" t="str">
        <f aca="false">IFERROR(__xludf.dummyfunction("""COMPUTED_VALUE"""),"gv.huyendt2@hocmai.edu.vn")</f>
        <v>gv.huyendt2@hocmai.edu.vn</v>
      </c>
      <c r="AD461" s="46" t="str">
        <f aca="false">IFERROR(__xludf.dummyfunction("""COMPUTED_VALUE"""),"duckien010607@gmail.com")</f>
        <v>duckien010607@gmail.com</v>
      </c>
      <c r="AE461" s="46"/>
      <c r="AF461" s="74" t="b">
        <f aca="false">IFERROR(__xludf.dummyfunction("""COMPUTED_VALUE"""),FALSE())</f>
        <v>0</v>
      </c>
      <c r="AG461" s="46" t="str">
        <f aca="false">IFERROR(__xludf.dummyfunction("""COMPUTED_VALUE"""),"")</f>
        <v/>
      </c>
      <c r="AH461" s="35"/>
      <c r="AI461" s="35"/>
      <c r="AJ461" s="53" t="b">
        <f aca="false">IFERROR(__xludf.dummyfunction("""COMPUTED_VALUE"""),TRUE())</f>
        <v>1</v>
      </c>
      <c r="AK461" s="53" t="b">
        <f aca="false">IFERROR(__xludf.dummyfunction("""COMPUTED_VALUE"""),TRUE())</f>
        <v>1</v>
      </c>
      <c r="AL461" s="35"/>
      <c r="AM461" s="35"/>
      <c r="AN461" s="35"/>
      <c r="AO461" s="46"/>
    </row>
    <row r="462" customFormat="false" ht="15.75" hidden="false" customHeight="true" outlineLevel="0" collapsed="false">
      <c r="A462" s="37" t="str">
        <f aca="false">IFERROR(__xludf.dummyfunction("""COMPUTED_VALUE"""),"Sinh học")</f>
        <v>Sinh học</v>
      </c>
      <c r="B462" s="37" t="str">
        <f aca="false">IFERROR(__xludf.dummyfunction("""COMPUTED_VALUE"""),"TOV_TSA_S07")</f>
        <v>TOV_TSA_S07</v>
      </c>
      <c r="C462" s="59" t="str">
        <f aca="false">IFERROR(__xludf.dummyfunction("""COMPUTED_VALUE"""),"Sinh trưởng, phát triển và sinh sản ở động vật")</f>
        <v>Sinh trưởng, phát triển và sinh sản ở động vật</v>
      </c>
      <c r="D462" s="39" t="str">
        <f aca="false">IFERROR(__xludf.dummyfunction("""COMPUTED_VALUE"""),"Vũ Khắc Ngọc")</f>
        <v>Vũ Khắc Ngọc</v>
      </c>
      <c r="E462" s="40" t="n">
        <f aca="false">IFERROR(__xludf.dummyfunction("""COMPUTED_VALUE"""),46284)</f>
        <v>46284</v>
      </c>
      <c r="F462" s="41" t="n">
        <f aca="false">IFERROR(__xludf.dummyfunction("""COMPUTED_VALUE"""),7)</f>
        <v>7</v>
      </c>
      <c r="G462" s="37" t="str">
        <f aca="false">IFERROR(__xludf.dummyfunction("""COMPUTED_VALUE"""),"21:30-23:30")</f>
        <v>21:30-23:30</v>
      </c>
      <c r="H462" s="37"/>
      <c r="I462" s="37"/>
      <c r="J462" s="37"/>
      <c r="K462" s="68" t="str">
        <f aca="false">IFERROR(__xludf.dummyfunction("""COMPUTED_VALUE"""),"Phuongdt")</f>
        <v>Phuongdt</v>
      </c>
      <c r="L462" s="68" t="str">
        <f aca="false">IFERROR(__xludf.dummyfunction("""COMPUTED_VALUE"""),"Bùi Vĩnh Thọ")</f>
        <v>Bùi Vĩnh Thọ</v>
      </c>
      <c r="M462" s="71"/>
      <c r="N462" s="77" t="str">
        <f aca="false">IFERROR(__xludf.dummyfunction("""COMPUTED_VALUE"""),"3110")</f>
        <v>3110</v>
      </c>
      <c r="O462" s="63" t="n">
        <f aca="false">IFERROR(__xludf.dummyfunction("""COMPUTED_VALUE"""),167272)</f>
        <v>167272</v>
      </c>
      <c r="P462" s="63"/>
      <c r="Q462" s="63"/>
      <c r="R462" s="41"/>
      <c r="S462" s="41"/>
      <c r="T462" s="63" t="n">
        <f aca="false">IFERROR(__xludf.dummyfunction("""COMPUTED_VALUE"""),23680)</f>
        <v>23680</v>
      </c>
      <c r="U462" s="63" t="n">
        <f aca="false">IFERROR(__xludf.dummyfunction("""COMPUTED_VALUE"""),10617)</f>
        <v>10617</v>
      </c>
      <c r="V462" s="70" t="n">
        <f aca="false">IFERROR(__xludf.dummyfunction("""COMPUTED_VALUE"""),46287)</f>
        <v>46287</v>
      </c>
      <c r="W462" s="39"/>
      <c r="X462" s="41" t="str">
        <f aca="false">IFERROR(__xludf.dummyfunction("""COMPUTED_VALUE"""),"Phuongdt")</f>
        <v>Phuongdt</v>
      </c>
      <c r="Y462" s="44" t="str">
        <f aca="false">IFERROR(__xludf.dummyfunction("""COMPUTED_VALUE"""),"done")</f>
        <v>done</v>
      </c>
      <c r="Z462" s="57" t="str">
        <f aca="false">IFERROR(__xludf.dummyfunction("""COMPUTED_VALUE"""),"#N/A")</f>
        <v>#N/A</v>
      </c>
      <c r="AA462" s="57"/>
      <c r="AB462" s="41" t="n">
        <f aca="false">IFERROR(__xludf.dummyfunction("""COMPUTED_VALUE"""),9)</f>
        <v>9</v>
      </c>
      <c r="AC462" s="57" t="str">
        <f aca="false">IFERROR(__xludf.dummyfunction("""COMPUTED_VALUE"""),"gv.ngocvk@hocmai.edu.vn")</f>
        <v>gv.ngocvk@hocmai.edu.vn</v>
      </c>
      <c r="AD462" s="46" t="str">
        <f aca="false">IFERROR(__xludf.dummyfunction("""COMPUTED_VALUE"""),"vinhtho0704@gmail.com")</f>
        <v>vinhtho0704@gmail.com</v>
      </c>
      <c r="AE462" s="46"/>
      <c r="AF462" s="74" t="b">
        <f aca="false">IFERROR(__xludf.dummyfunction("""COMPUTED_VALUE"""),FALSE())</f>
        <v>0</v>
      </c>
      <c r="AG462" s="46" t="str">
        <f aca="false">IFERROR(__xludf.dummyfunction("""COMPUTED_VALUE"""),"")</f>
        <v/>
      </c>
      <c r="AH462" s="35"/>
      <c r="AI462" s="53" t="b">
        <f aca="false">IFERROR(__xludf.dummyfunction("""COMPUTED_VALUE"""),TRUE())</f>
        <v>1</v>
      </c>
      <c r="AJ462" s="35"/>
      <c r="AK462" s="35"/>
      <c r="AL462" s="35"/>
      <c r="AM462" s="35"/>
      <c r="AN462" s="35"/>
      <c r="AO462" s="46"/>
    </row>
    <row r="463" customFormat="false" ht="15.75" hidden="false" customHeight="true" outlineLevel="0" collapsed="false">
      <c r="A463" s="37" t="str">
        <f aca="false">IFERROR(__xludf.dummyfunction("""COMPUTED_VALUE"""),"Khoa học")</f>
        <v>Khoa học</v>
      </c>
      <c r="B463" s="37" t="str">
        <f aca="false">IFERROR(__xludf.dummyfunction("""COMPUTED_VALUE"""),"TOS_V-ACT_KH14")</f>
        <v>TOS_V-ACT_KH14</v>
      </c>
      <c r="C463" s="59" t="str">
        <f aca="false">IFERROR(__xludf.dummyfunction("""COMPUTED_VALUE"""),"Kỹ năng truy tìm bằng chứng cho câu hỏi không có sẵn thông tin.")</f>
        <v>Kỹ năng truy tìm bằng chứng cho câu hỏi không có sẵn thông tin.</v>
      </c>
      <c r="D463" s="39" t="str">
        <f aca="false">IFERROR(__xludf.dummyfunction("""COMPUTED_VALUE"""),"Lê Văn Minh")</f>
        <v>Lê Văn Minh</v>
      </c>
      <c r="E463" s="40" t="n">
        <f aca="false">IFERROR(__xludf.dummyfunction("""COMPUTED_VALUE"""),46284)</f>
        <v>46284</v>
      </c>
      <c r="F463" s="41" t="n">
        <f aca="false">IFERROR(__xludf.dummyfunction("""COMPUTED_VALUE"""),7)</f>
        <v>7</v>
      </c>
      <c r="G463" s="37" t="str">
        <f aca="false">IFERROR(__xludf.dummyfunction("""COMPUTED_VALUE"""),"20:30-22:00")</f>
        <v>20:30-22:00</v>
      </c>
      <c r="H463" s="37"/>
      <c r="I463" s="37"/>
      <c r="J463" s="37"/>
      <c r="K463" s="68" t="str">
        <f aca="false">IFERROR(__xludf.dummyfunction("""COMPUTED_VALUE"""),"Kimnq")</f>
        <v>Kimnq</v>
      </c>
      <c r="L463" s="68" t="str">
        <f aca="false">IFERROR(__xludf.dummyfunction("""COMPUTED_VALUE"""),"Lê Quốc Việt")</f>
        <v>Lê Quốc Việt</v>
      </c>
      <c r="M463" s="71"/>
      <c r="N463" s="77" t="str">
        <f aca="false">IFERROR(__xludf.dummyfunction("""COMPUTED_VALUE"""),"3340,3126")</f>
        <v>3340,3126</v>
      </c>
      <c r="O463" s="73" t="n">
        <f aca="false">IFERROR(__xludf.dummyfunction("""COMPUTED_VALUE"""),167505.167392)</f>
        <v>167505.167392</v>
      </c>
      <c r="P463" s="63"/>
      <c r="Q463" s="63"/>
      <c r="R463" s="41"/>
      <c r="S463" s="41"/>
      <c r="T463" s="63"/>
      <c r="U463" s="63"/>
      <c r="V463" s="70" t="n">
        <f aca="false">IFERROR(__xludf.dummyfunction("""COMPUTED_VALUE"""),46287)</f>
        <v>46287</v>
      </c>
      <c r="W463" s="39"/>
      <c r="X463" s="41" t="str">
        <f aca="false">IFERROR(__xludf.dummyfunction("""COMPUTED_VALUE"""),"Kimnq")</f>
        <v>Kimnq</v>
      </c>
      <c r="Y463" s="44" t="str">
        <f aca="false">IFERROR(__xludf.dummyfunction("""COMPUTED_VALUE"""),"done")</f>
        <v>done</v>
      </c>
      <c r="Z463" s="57" t="str">
        <f aca="false">IFERROR(__xludf.dummyfunction("""COMPUTED_VALUE"""),"#N/A")</f>
        <v>#N/A</v>
      </c>
      <c r="AA463" s="57"/>
      <c r="AB463" s="41" t="n">
        <f aca="false">IFERROR(__xludf.dummyfunction("""COMPUTED_VALUE"""),9)</f>
        <v>9</v>
      </c>
      <c r="AC463" s="57" t="str">
        <f aca="false">IFERROR(__xludf.dummyfunction("""COMPUTED_VALUE"""),"gv.minhlv@hocmai.edu.vn		")</f>
        <v>gv.minhlv@hocmai.edu.vn		</v>
      </c>
      <c r="AD463" s="46" t="str">
        <f aca="false">IFERROR(__xludf.dummyfunction("""COMPUTED_VALUE"""),"Ralph02091@gmail.com")</f>
        <v>Ralph02091@gmail.com</v>
      </c>
      <c r="AE463" s="46"/>
      <c r="AF463" s="47" t="str">
        <f aca="false">IFERROR(__xludf.dummyfunction("""COMPUTED_VALUE"""),"lophoctoan-946284")</f>
        <v>lophoctoan-946284</v>
      </c>
      <c r="AG463" s="46" t="str">
        <f aca="false">IFERROR(__xludf.dummyfunction("""COMPUTED_VALUE"""),"")</f>
        <v/>
      </c>
      <c r="AH463" s="35"/>
      <c r="AI463" s="35"/>
      <c r="AJ463" s="35"/>
      <c r="AK463" s="35"/>
      <c r="AL463" s="35"/>
      <c r="AM463" s="53" t="b">
        <f aca="false">IFERROR(__xludf.dummyfunction("""COMPUTED_VALUE"""),TRUE())</f>
        <v>1</v>
      </c>
      <c r="AN463" s="53" t="b">
        <f aca="false">IFERROR(__xludf.dummyfunction("""COMPUTED_VALUE"""),TRUE())</f>
        <v>1</v>
      </c>
      <c r="AO463" s="46"/>
    </row>
    <row r="464" customFormat="false" ht="15.75" hidden="false" customHeight="true" outlineLevel="0" collapsed="false">
      <c r="A464" s="37" t="str">
        <f aca="false">IFERROR(__xludf.dummyfunction("""COMPUTED_VALUE"""),"Toán")</f>
        <v>Toán</v>
      </c>
      <c r="B464" s="37" t="str">
        <f aca="false">IFERROR(__xludf.dummyfunction("""COMPUTED_VALUE"""),"NT_N_23")</f>
        <v>NT_N_23</v>
      </c>
      <c r="C464" s="59" t="str">
        <f aca="false">IFERROR(__xludf.dummyfunction("""COMPUTED_VALUE"""),"Ứng dụng tích phân tính thể tích vật thể và thể tích khối tròn xoay")</f>
        <v>Ứng dụng tích phân tính thể tích vật thể và thể tích khối tròn xoay</v>
      </c>
      <c r="D464" s="39" t="str">
        <f aca="false">IFERROR(__xludf.dummyfunction("""COMPUTED_VALUE"""),"Nguyễn Hoài Nam")</f>
        <v>Nguyễn Hoài Nam</v>
      </c>
      <c r="E464" s="40" t="n">
        <f aca="false">IFERROR(__xludf.dummyfunction("""COMPUTED_VALUE"""),46285)</f>
        <v>46285</v>
      </c>
      <c r="F464" s="41" t="str">
        <f aca="false">IFERROR(__xludf.dummyfunction("""COMPUTED_VALUE"""),"CN")</f>
        <v>CN</v>
      </c>
      <c r="G464" s="37" t="str">
        <f aca="false">IFERROR(__xludf.dummyfunction("""COMPUTED_VALUE"""),"21:00-22:30")</f>
        <v>21:00-22:30</v>
      </c>
      <c r="H464" s="37"/>
      <c r="I464" s="37"/>
      <c r="J464" s="62"/>
      <c r="K464" s="68" t="str">
        <f aca="false">IFERROR(__xludf.dummyfunction("""COMPUTED_VALUE"""),"lent")</f>
        <v>lent</v>
      </c>
      <c r="L464" s="68" t="str">
        <f aca="false">IFERROR(__xludf.dummyfunction("""COMPUTED_VALUE"""),"Tưởng Thị Huyền Trang")</f>
        <v>Tưởng Thị Huyền Trang</v>
      </c>
      <c r="M464" s="69" t="str">
        <f aca="false">IFERROR(__xludf.dummyfunction("""COMPUTED_VALUE"""),"https://hocmai.sharepoint.com/Education_Development/Lists/San_xuat_video/DispForm.aspx?ID=12210")</f>
        <v>https://hocmai.sharepoint.com/Education_Development/Lists/San_xuat_video/DispForm.aspx?ID=12210</v>
      </c>
      <c r="N464" s="78" t="n">
        <f aca="false">IFERROR(__xludf.dummyfunction("""COMPUTED_VALUE"""),3313)</f>
        <v>3313</v>
      </c>
      <c r="O464" s="63" t="n">
        <f aca="false">IFERROR(__xludf.dummyfunction("""COMPUTED_VALUE"""),166647)</f>
        <v>166647</v>
      </c>
      <c r="P464" s="63"/>
      <c r="Q464" s="63" t="n">
        <f aca="false">IFERROR(__xludf.dummyfunction("""COMPUTED_VALUE"""),8045)</f>
        <v>8045</v>
      </c>
      <c r="R464" s="41"/>
      <c r="S464" s="41"/>
      <c r="T464" s="63" t="n">
        <f aca="false">IFERROR(__xludf.dummyfunction("""COMPUTED_VALUE"""),8046)</f>
        <v>8046</v>
      </c>
      <c r="U464" s="63"/>
      <c r="V464" s="70" t="n">
        <f aca="false">IFERROR(__xludf.dummyfunction("""COMPUTED_VALUE"""),46287)</f>
        <v>46287</v>
      </c>
      <c r="W464" s="39"/>
      <c r="X464" s="41" t="str">
        <f aca="false">IFERROR(__xludf.dummyfunction("""COMPUTED_VALUE"""),"Huent7")</f>
        <v>Huent7</v>
      </c>
      <c r="Y464" s="44"/>
      <c r="Z464" s="57"/>
      <c r="AA464" s="57"/>
      <c r="AB464" s="41" t="n">
        <f aca="false">IFERROR(__xludf.dummyfunction("""COMPUTED_VALUE"""),9)</f>
        <v>9</v>
      </c>
      <c r="AC464" s="57"/>
      <c r="AD464" s="46"/>
      <c r="AE464" s="46"/>
      <c r="AF464" s="47" t="str">
        <f aca="false">IFERROR(__xludf.dummyfunction("""COMPUTED_VALUE"""),"lophoctoan-946285")</f>
        <v>lophoctoan-946285</v>
      </c>
      <c r="AG464" s="46" t="str">
        <f aca="false">IFERROR(__xludf.dummyfunction("""COMPUTED_VALUE"""),"")</f>
        <v/>
      </c>
      <c r="AH464" s="53" t="b">
        <f aca="false">IFERROR(__xludf.dummyfunction("""COMPUTED_VALUE"""),TRUE())</f>
        <v>1</v>
      </c>
      <c r="AI464" s="35"/>
      <c r="AJ464" s="35"/>
      <c r="AK464" s="35"/>
      <c r="AL464" s="35"/>
      <c r="AM464" s="35"/>
      <c r="AN464" s="35"/>
      <c r="AO464" s="46"/>
    </row>
    <row r="465" customFormat="false" ht="15.75" hidden="false" customHeight="true" outlineLevel="0" collapsed="false">
      <c r="A465" s="37" t="str">
        <f aca="false">IFERROR(__xludf.dummyfunction("""COMPUTED_VALUE"""),"Toán")</f>
        <v>Toán</v>
      </c>
      <c r="B465" s="37" t="str">
        <f aca="false">IFERROR(__xludf.dummyfunction("""COMPUTED_VALUE"""),"NT_T_39")</f>
        <v>NT_T_39</v>
      </c>
      <c r="C465" s="59" t="str">
        <f aca="false">IFERROR(__xludf.dummyfunction("""COMPUTED_VALUE"""),"Phương pháp viết phương trình mặt phẳng")</f>
        <v>Phương pháp viết phương trình mặt phẳng</v>
      </c>
      <c r="D465" s="39" t="str">
        <f aca="false">IFERROR(__xludf.dummyfunction("""COMPUTED_VALUE"""),"Nguyễn Thanh Tùng")</f>
        <v>Nguyễn Thanh Tùng</v>
      </c>
      <c r="E465" s="40" t="n">
        <f aca="false">IFERROR(__xludf.dummyfunction("""COMPUTED_VALUE"""),46285)</f>
        <v>46285</v>
      </c>
      <c r="F465" s="41" t="str">
        <f aca="false">IFERROR(__xludf.dummyfunction("""COMPUTED_VALUE"""),"CN")</f>
        <v>CN</v>
      </c>
      <c r="G465" s="37" t="str">
        <f aca="false">IFERROR(__xludf.dummyfunction("""COMPUTED_VALUE"""),"18:00-20:00")</f>
        <v>18:00-20:00</v>
      </c>
      <c r="H465" s="37"/>
      <c r="I465" s="37"/>
      <c r="J465" s="37"/>
      <c r="K465" s="68" t="str">
        <f aca="false">IFERROR(__xludf.dummyfunction("""COMPUTED_VALUE"""),"Khanhnl")</f>
        <v>Khanhnl</v>
      </c>
      <c r="L465" s="68" t="str">
        <f aca="false">IFERROR(__xludf.dummyfunction("""COMPUTED_VALUE"""),"Tưởng Thị Huyền Trang")</f>
        <v>Tưởng Thị Huyền Trang</v>
      </c>
      <c r="M465" s="69" t="str">
        <f aca="false">IFERROR(__xludf.dummyfunction("""COMPUTED_VALUE"""),"https://hocmai.sharepoint.com/Education_Development/Lists/San_xuat_video/DispForm.aspx?ID=12178")</f>
        <v>https://hocmai.sharepoint.com/Education_Development/Lists/San_xuat_video/DispForm.aspx?ID=12178</v>
      </c>
      <c r="N465" s="63" t="n">
        <f aca="false">IFERROR(__xludf.dummyfunction("""COMPUTED_VALUE"""),3312)</f>
        <v>3312</v>
      </c>
      <c r="O465" s="63" t="n">
        <f aca="false">IFERROR(__xludf.dummyfunction("""COMPUTED_VALUE"""),166572)</f>
        <v>166572</v>
      </c>
      <c r="P465" s="63"/>
      <c r="Q465" s="63" t="n">
        <f aca="false">IFERROR(__xludf.dummyfunction("""COMPUTED_VALUE"""),7961)</f>
        <v>7961</v>
      </c>
      <c r="R465" s="41"/>
      <c r="S465" s="41"/>
      <c r="T465" s="63" t="n">
        <f aca="false">IFERROR(__xludf.dummyfunction("""COMPUTED_VALUE"""),7962)</f>
        <v>7962</v>
      </c>
      <c r="U465" s="63"/>
      <c r="V465" s="70" t="n">
        <f aca="false">IFERROR(__xludf.dummyfunction("""COMPUTED_VALUE"""),46295)</f>
        <v>46295</v>
      </c>
      <c r="W465" s="39"/>
      <c r="X465" s="41" t="str">
        <f aca="false">IFERROR(__xludf.dummyfunction("""COMPUTED_VALUE"""),"Huent7")</f>
        <v>Huent7</v>
      </c>
      <c r="Y465" s="44"/>
      <c r="Z465" s="57"/>
      <c r="AA465" s="57"/>
      <c r="AB465" s="41" t="n">
        <f aca="false">IFERROR(__xludf.dummyfunction("""COMPUTED_VALUE"""),9)</f>
        <v>9</v>
      </c>
      <c r="AC465" s="57"/>
      <c r="AD465" s="46"/>
      <c r="AE465" s="46"/>
      <c r="AF465" s="47" t="str">
        <f aca="false">IFERROR(__xludf.dummyfunction("""COMPUTED_VALUE"""),"lophoctoan-946285")</f>
        <v>lophoctoan-946285</v>
      </c>
      <c r="AG465" s="46" t="str">
        <f aca="false">IFERROR(__xludf.dummyfunction("""COMPUTED_VALUE"""),"")</f>
        <v/>
      </c>
      <c r="AH465" s="53" t="b">
        <f aca="false">IFERROR(__xludf.dummyfunction("""COMPUTED_VALUE"""),TRUE())</f>
        <v>1</v>
      </c>
      <c r="AI465" s="35"/>
      <c r="AJ465" s="35"/>
      <c r="AK465" s="35"/>
      <c r="AL465" s="35"/>
      <c r="AM465" s="35"/>
      <c r="AN465" s="35"/>
      <c r="AO465" s="46"/>
    </row>
    <row r="466" customFormat="false" ht="15.75" hidden="false" customHeight="true" outlineLevel="0" collapsed="false">
      <c r="A466" s="37" t="str">
        <f aca="false">IFERROR(__xludf.dummyfunction("""COMPUTED_VALUE"""),"Đọc hiểu")</f>
        <v>Đọc hiểu</v>
      </c>
      <c r="B466" s="37" t="str">
        <f aca="false">IFERROR(__xludf.dummyfunction("""COMPUTED_VALUE"""),"TOV_TSA_DH15")</f>
        <v>TOV_TSA_DH15</v>
      </c>
      <c r="C466" s="59" t="str">
        <f aca="false">IFERROR(__xludf.dummyfunction("""COMPUTED_VALUE"""),"Câu hỏi điền từ vào chỗ trống và kéo thả")</f>
        <v>Câu hỏi điền từ vào chỗ trống và kéo thả</v>
      </c>
      <c r="D466" s="39" t="str">
        <f aca="false">IFERROR(__xludf.dummyfunction("""COMPUTED_VALUE"""),"Vũ Khắc Ngọc")</f>
        <v>Vũ Khắc Ngọc</v>
      </c>
      <c r="E466" s="40" t="n">
        <f aca="false">IFERROR(__xludf.dummyfunction("""COMPUTED_VALUE"""),46286)</f>
        <v>46286</v>
      </c>
      <c r="F466" s="41" t="n">
        <f aca="false">IFERROR(__xludf.dummyfunction("""COMPUTED_VALUE"""),2)</f>
        <v>2</v>
      </c>
      <c r="G466" s="37" t="str">
        <f aca="false">IFERROR(__xludf.dummyfunction("""COMPUTED_VALUE"""),"21:30-23:30")</f>
        <v>21:30-23:30</v>
      </c>
      <c r="H466" s="37"/>
      <c r="I466" s="37"/>
      <c r="J466" s="37"/>
      <c r="K466" s="68" t="str">
        <f aca="false">IFERROR(__xludf.dummyfunction("""COMPUTED_VALUE"""),"Hangvt3")</f>
        <v>Hangvt3</v>
      </c>
      <c r="L466" s="68" t="str">
        <f aca="false">IFERROR(__xludf.dummyfunction("""COMPUTED_VALUE"""),"Phan Đức Kiên")</f>
        <v>Phan Đức Kiên</v>
      </c>
      <c r="M466" s="71"/>
      <c r="N466" s="77" t="str">
        <f aca="false">IFERROR(__xludf.dummyfunction("""COMPUTED_VALUE"""),"3109")</f>
        <v>3109</v>
      </c>
      <c r="O466" s="63" t="n">
        <f aca="false">IFERROR(__xludf.dummyfunction("""COMPUTED_VALUE"""),167238)</f>
        <v>167238</v>
      </c>
      <c r="P466" s="63"/>
      <c r="Q466" s="63"/>
      <c r="R466" s="41"/>
      <c r="S466" s="41"/>
      <c r="T466" s="63"/>
      <c r="U466" s="63"/>
      <c r="V466" s="70" t="n">
        <f aca="false">IFERROR(__xludf.dummyfunction("""COMPUTED_VALUE"""),46289)</f>
        <v>46289</v>
      </c>
      <c r="W466" s="39"/>
      <c r="X466" s="41" t="str">
        <f aca="false">IFERROR(__xludf.dummyfunction("""COMPUTED_VALUE"""),"Huent7")</f>
        <v>Huent7</v>
      </c>
      <c r="Y466" s="44" t="str">
        <f aca="false">IFERROR(__xludf.dummyfunction("""COMPUTED_VALUE"""),"done")</f>
        <v>done</v>
      </c>
      <c r="Z466" s="57" t="str">
        <f aca="false">IFERROR(__xludf.dummyfunction("""COMPUTED_VALUE"""),"#N/A")</f>
        <v>#N/A</v>
      </c>
      <c r="AA466" s="57"/>
      <c r="AB466" s="41" t="n">
        <f aca="false">IFERROR(__xludf.dummyfunction("""COMPUTED_VALUE"""),9)</f>
        <v>9</v>
      </c>
      <c r="AC466" s="57" t="str">
        <f aca="false">IFERROR(__xludf.dummyfunction("""COMPUTED_VALUE"""),"gv.ngocvk@hocmai.edu.vn")</f>
        <v>gv.ngocvk@hocmai.edu.vn</v>
      </c>
      <c r="AD466" s="46" t="str">
        <f aca="false">IFERROR(__xludf.dummyfunction("""COMPUTED_VALUE"""),"duckien010607@gmail.com")</f>
        <v>duckien010607@gmail.com</v>
      </c>
      <c r="AE466" s="46"/>
      <c r="AF466" s="47" t="str">
        <f aca="false">IFERROR(__xludf.dummyfunction("""COMPUTED_VALUE"""),"lophoctoan-946286")</f>
        <v>lophoctoan-946286</v>
      </c>
      <c r="AG466" s="46" t="str">
        <f aca="false">IFERROR(__xludf.dummyfunction("""COMPUTED_VALUE"""),"")</f>
        <v/>
      </c>
      <c r="AH466" s="35"/>
      <c r="AI466" s="53" t="b">
        <f aca="false">IFERROR(__xludf.dummyfunction("""COMPUTED_VALUE"""),TRUE())</f>
        <v>1</v>
      </c>
      <c r="AJ466" s="35"/>
      <c r="AK466" s="35"/>
      <c r="AL466" s="35"/>
      <c r="AM466" s="35"/>
      <c r="AN466" s="35"/>
      <c r="AO466" s="46"/>
    </row>
    <row r="467" customFormat="false" ht="15.75" hidden="false" customHeight="true" outlineLevel="0" collapsed="false">
      <c r="A467" s="37" t="str">
        <f aca="false">IFERROR(__xludf.dummyfunction("""COMPUTED_VALUE"""),"Hóa học")</f>
        <v>Hóa học</v>
      </c>
      <c r="B467" s="37" t="str">
        <f aca="false">IFERROR(__xludf.dummyfunction("""COMPUTED_VALUE"""),"TOV_HT_HH15")</f>
        <v>TOV_HT_HH15</v>
      </c>
      <c r="C467" s="59" t="str">
        <f aca="false">IFERROR(__xludf.dummyfunction("""COMPUTED_VALUE"""),"Hợp chất chứa Nitrogen")</f>
        <v>Hợp chất chứa Nitrogen</v>
      </c>
      <c r="D467" s="39" t="str">
        <f aca="false">IFERROR(__xludf.dummyfunction("""COMPUTED_VALUE"""),"Chu Hải Long")</f>
        <v>Chu Hải Long</v>
      </c>
      <c r="E467" s="40" t="n">
        <f aca="false">IFERROR(__xludf.dummyfunction("""COMPUTED_VALUE"""),46286)</f>
        <v>46286</v>
      </c>
      <c r="F467" s="41" t="n">
        <f aca="false">IFERROR(__xludf.dummyfunction("""COMPUTED_VALUE"""),2)</f>
        <v>2</v>
      </c>
      <c r="G467" s="37" t="str">
        <f aca="false">IFERROR(__xludf.dummyfunction("""COMPUTED_VALUE"""),"19:45-21:45")</f>
        <v>19:45-21:45</v>
      </c>
      <c r="H467" s="37"/>
      <c r="I467" s="37"/>
      <c r="J467" s="37"/>
      <c r="K467" s="68" t="str">
        <f aca="false">IFERROR(__xludf.dummyfunction("""COMPUTED_VALUE"""),"Huebt")</f>
        <v>Huebt</v>
      </c>
      <c r="L467" s="68" t="str">
        <f aca="false">IFERROR(__xludf.dummyfunction("""COMPUTED_VALUE"""),"Võ Hương Giang")</f>
        <v>Võ Hương Giang</v>
      </c>
      <c r="M467" s="71"/>
      <c r="N467" s="77" t="str">
        <f aca="false">IFERROR(__xludf.dummyfunction("""COMPUTED_VALUE"""),"3120,3131")</f>
        <v>3120,3131</v>
      </c>
      <c r="O467" s="63" t="str">
        <f aca="false">IFERROR(__xludf.dummyfunction("""COMPUTED_VALUE"""),"167439,167451")</f>
        <v>167439,167451</v>
      </c>
      <c r="P467" s="63" t="str">
        <f aca="false">IFERROR(__xludf.dummyfunction("""COMPUTED_VALUE"""),"9032,9040,9021")</f>
        <v>9032,9040,9021</v>
      </c>
      <c r="Q467" s="63"/>
      <c r="R467" s="41"/>
      <c r="S467" s="41"/>
      <c r="T467" s="63"/>
      <c r="U467" s="63" t="n">
        <f aca="false">IFERROR(__xludf.dummyfunction("""COMPUTED_VALUE"""),10492)</f>
        <v>10492</v>
      </c>
      <c r="V467" s="70" t="n">
        <f aca="false">IFERROR(__xludf.dummyfunction("""COMPUTED_VALUE"""),46289)</f>
        <v>46289</v>
      </c>
      <c r="W467" s="39"/>
      <c r="X467" s="41" t="str">
        <f aca="false">IFERROR(__xludf.dummyfunction("""COMPUTED_VALUE"""),"Huebt")</f>
        <v>Huebt</v>
      </c>
      <c r="Y467" s="44"/>
      <c r="Z467" s="57" t="str">
        <f aca="false">IFERROR(__xludf.dummyfunction("""COMPUTED_VALUE"""),"#N/A")</f>
        <v>#N/A</v>
      </c>
      <c r="AA467" s="57"/>
      <c r="AB467" s="41" t="n">
        <f aca="false">IFERROR(__xludf.dummyfunction("""COMPUTED_VALUE"""),9)</f>
        <v>9</v>
      </c>
      <c r="AC467" s="57" t="str">
        <f aca="false">IFERROR(__xludf.dummyfunction("""COMPUTED_VALUE"""),"gv.longch@hocmai.edu.vn")</f>
        <v>gv.longch@hocmai.edu.vn</v>
      </c>
      <c r="AD467" s="46" t="str">
        <f aca="false">IFERROR(__xludf.dummyfunction("""COMPUTED_VALUE"""),"giangvh@ctv.hocmai.vn")</f>
        <v>giangvh@ctv.hocmai.vn</v>
      </c>
      <c r="AE467" s="46"/>
      <c r="AF467" s="74" t="b">
        <f aca="false">IFERROR(__xludf.dummyfunction("""COMPUTED_VALUE"""),FALSE())</f>
        <v>0</v>
      </c>
      <c r="AG467" s="46" t="str">
        <f aca="false">IFERROR(__xludf.dummyfunction("""COMPUTED_VALUE"""),"")</f>
        <v/>
      </c>
      <c r="AH467" s="35"/>
      <c r="AI467" s="35"/>
      <c r="AJ467" s="53" t="b">
        <f aca="false">IFERROR(__xludf.dummyfunction("""COMPUTED_VALUE"""),TRUE())</f>
        <v>1</v>
      </c>
      <c r="AK467" s="53" t="b">
        <f aca="false">IFERROR(__xludf.dummyfunction("""COMPUTED_VALUE"""),TRUE())</f>
        <v>1</v>
      </c>
      <c r="AL467" s="53" t="b">
        <f aca="false">IFERROR(__xludf.dummyfunction("""COMPUTED_VALUE"""),TRUE())</f>
        <v>1</v>
      </c>
      <c r="AM467" s="35"/>
      <c r="AN467" s="35"/>
      <c r="AO467" s="46"/>
    </row>
    <row r="468" customFormat="false" ht="15.75" hidden="false" customHeight="true" outlineLevel="0" collapsed="false">
      <c r="A468" s="37" t="str">
        <f aca="false">IFERROR(__xludf.dummyfunction("""COMPUTED_VALUE"""),"Toán")</f>
        <v>Toán</v>
      </c>
      <c r="B468" s="37" t="str">
        <f aca="false">IFERROR(__xludf.dummyfunction("""COMPUTED_VALUE"""),"TOV_TC_T14")</f>
        <v>TOV_TC_T14</v>
      </c>
      <c r="C468" s="59" t="str">
        <f aca="false">IFERROR(__xludf.dummyfunction("""COMPUTED_VALUE"""),"Các bài toán tính thể tích và các bài toán thực tế")</f>
        <v>Các bài toán tính thể tích và các bài toán thực tế</v>
      </c>
      <c r="D468" s="39" t="str">
        <f aca="false">IFERROR(__xludf.dummyfunction("""COMPUTED_VALUE"""),"Nguyễn Thanh Tùng")</f>
        <v>Nguyễn Thanh Tùng</v>
      </c>
      <c r="E468" s="40" t="n">
        <f aca="false">IFERROR(__xludf.dummyfunction("""COMPUTED_VALUE"""),46287)</f>
        <v>46287</v>
      </c>
      <c r="F468" s="41" t="n">
        <f aca="false">IFERROR(__xludf.dummyfunction("""COMPUTED_VALUE"""),3)</f>
        <v>3</v>
      </c>
      <c r="G468" s="37" t="str">
        <f aca="false">IFERROR(__xludf.dummyfunction("""COMPUTED_VALUE"""),"21:00-23:00")</f>
        <v>21:00-23:00</v>
      </c>
      <c r="H468" s="37"/>
      <c r="I468" s="37"/>
      <c r="J468" s="62"/>
      <c r="K468" s="68" t="str">
        <f aca="false">IFERROR(__xludf.dummyfunction("""COMPUTED_VALUE"""),"Lent")</f>
        <v>Lent</v>
      </c>
      <c r="L468" s="68" t="str">
        <f aca="false">IFERROR(__xludf.dummyfunction("""COMPUTED_VALUE"""),"Tưởng Thị Huyền Trang")</f>
        <v>Tưởng Thị Huyền Trang</v>
      </c>
      <c r="M468" s="71"/>
      <c r="N468" s="77" t="str">
        <f aca="false">IFERROR(__xludf.dummyfunction("""COMPUTED_VALUE"""),"3108,3117,3315,3127,3314")</f>
        <v>3108,3117,3315,3127,3314</v>
      </c>
      <c r="O468" s="63" t="str">
        <f aca="false">IFERROR(__xludf.dummyfunction("""COMPUTED_VALUE"""),"168382, 168597, 168338, 167472, 167072")</f>
        <v>168382, 168597, 168338, 167472, 167072</v>
      </c>
      <c r="P468" s="63" t="str">
        <f aca="false">IFERROR(__xludf.dummyfunction("""COMPUTED_VALUE"""),"9025,9028,9036,9104,9106,9017,9102")</f>
        <v>9025,9028,9036,9104,9106,9017,9102</v>
      </c>
      <c r="Q468" s="63" t="n">
        <f aca="false">IFERROR(__xludf.dummyfunction("""COMPUTED_VALUE"""),167072)</f>
        <v>167072</v>
      </c>
      <c r="R468" s="41"/>
      <c r="S468" s="41"/>
      <c r="T468" s="63"/>
      <c r="U468" s="63"/>
      <c r="V468" s="70" t="n">
        <f aca="false">IFERROR(__xludf.dummyfunction("""COMPUTED_VALUE"""),46290)</f>
        <v>46290</v>
      </c>
      <c r="W468" s="39"/>
      <c r="X468" s="41" t="str">
        <f aca="false">IFERROR(__xludf.dummyfunction("""COMPUTED_VALUE"""),"Lent")</f>
        <v>Lent</v>
      </c>
      <c r="Y468" s="44" t="str">
        <f aca="false">IFERROR(__xludf.dummyfunction("""COMPUTED_VALUE"""),"done")</f>
        <v>done</v>
      </c>
      <c r="Z468" s="57" t="str">
        <f aca="false">IFERROR(__xludf.dummyfunction("""COMPUTED_VALUE"""),"#N/A")</f>
        <v>#N/A</v>
      </c>
      <c r="AA468" s="57"/>
      <c r="AB468" s="41" t="n">
        <f aca="false">IFERROR(__xludf.dummyfunction("""COMPUTED_VALUE"""),9)</f>
        <v>9</v>
      </c>
      <c r="AC468" s="57" t="str">
        <f aca="false">IFERROR(__xludf.dummyfunction("""COMPUTED_VALUE"""),"gv.tungnt@hocmai.edu.vn ")</f>
        <v>gv.tungnt@hocmai.edu.vn </v>
      </c>
      <c r="AD468" s="46" t="str">
        <f aca="false">IFERROR(__xludf.dummyfunction("""COMPUTED_VALUE"""),"trangcrazy699@gmail.com")</f>
        <v>trangcrazy699@gmail.com</v>
      </c>
      <c r="AE468" s="46"/>
      <c r="AF468" s="47" t="str">
        <f aca="false">IFERROR(__xludf.dummyfunction("""COMPUTED_VALUE"""),"lophoctoan-946287")</f>
        <v>lophoctoan-946287</v>
      </c>
      <c r="AG468" s="46" t="str">
        <f aca="false">IFERROR(__xludf.dummyfunction("""COMPUTED_VALUE"""),"")</f>
        <v/>
      </c>
      <c r="AH468" s="35"/>
      <c r="AI468" s="53" t="b">
        <f aca="false">IFERROR(__xludf.dummyfunction("""COMPUTED_VALUE"""),TRUE())</f>
        <v>1</v>
      </c>
      <c r="AJ468" s="53" t="b">
        <f aca="false">IFERROR(__xludf.dummyfunction("""COMPUTED_VALUE"""),TRUE())</f>
        <v>1</v>
      </c>
      <c r="AK468" s="53" t="b">
        <f aca="false">IFERROR(__xludf.dummyfunction("""COMPUTED_VALUE"""),TRUE())</f>
        <v>1</v>
      </c>
      <c r="AL468" s="53" t="b">
        <f aca="false">IFERROR(__xludf.dummyfunction("""COMPUTED_VALUE"""),TRUE())</f>
        <v>1</v>
      </c>
      <c r="AM468" s="35"/>
      <c r="AN468" s="35"/>
      <c r="AO468" s="46"/>
    </row>
    <row r="469" customFormat="false" ht="15.75" hidden="false" customHeight="true" outlineLevel="0" collapsed="false">
      <c r="A469" s="37" t="str">
        <f aca="false">IFERROR(__xludf.dummyfunction("""COMPUTED_VALUE"""),"Tiếng Việt")</f>
        <v>Tiếng Việt</v>
      </c>
      <c r="B469" s="37" t="str">
        <f aca="false">IFERROR(__xludf.dummyfunction("""COMPUTED_VALUE"""),"TOV_V-ACT_TV12")</f>
        <v>TOV_V-ACT_TV12</v>
      </c>
      <c r="C469" s="59" t="str">
        <f aca="false">IFERROR(__xludf.dummyfunction("""COMPUTED_VALUE"""),"Kịch và phương pháp đọc hiểu kịch bản kịch_Phần 1")</f>
        <v>Kịch và phương pháp đọc hiểu kịch bản kịch_Phần 1</v>
      </c>
      <c r="D469" s="39" t="str">
        <f aca="false">IFERROR(__xludf.dummyfunction("""COMPUTED_VALUE"""),"Văn Trịnh Quỳnh An")</f>
        <v>Văn Trịnh Quỳnh An</v>
      </c>
      <c r="E469" s="40" t="n">
        <f aca="false">IFERROR(__xludf.dummyfunction("""COMPUTED_VALUE"""),46287)</f>
        <v>46287</v>
      </c>
      <c r="F469" s="41" t="n">
        <f aca="false">IFERROR(__xludf.dummyfunction("""COMPUTED_VALUE"""),3)</f>
        <v>3</v>
      </c>
      <c r="G469" s="37" t="str">
        <f aca="false">IFERROR(__xludf.dummyfunction("""COMPUTED_VALUE"""),"20:00-21:30")</f>
        <v>20:00-21:30</v>
      </c>
      <c r="H469" s="37"/>
      <c r="I469" s="37"/>
      <c r="J469" s="37"/>
      <c r="K469" s="68" t="str">
        <f aca="false">IFERROR(__xludf.dummyfunction("""COMPUTED_VALUE"""),"Hangvt3")</f>
        <v>Hangvt3</v>
      </c>
      <c r="L469" s="68" t="str">
        <f aca="false">IFERROR(__xludf.dummyfunction("""COMPUTED_VALUE"""),"Bùi Vĩnh Thọ")</f>
        <v>Bùi Vĩnh Thọ</v>
      </c>
      <c r="M469" s="71"/>
      <c r="N469" s="77" t="str">
        <f aca="false">IFERROR(__xludf.dummyfunction("""COMPUTED_VALUE"""),"3125,3338")</f>
        <v>3125,3338</v>
      </c>
      <c r="O469" s="73" t="n">
        <f aca="false">IFERROR(__xludf.dummyfunction("""COMPUTED_VALUE"""),167364.174779)</f>
        <v>167364.174779</v>
      </c>
      <c r="P469" s="63" t="n">
        <f aca="false">IFERROR(__xludf.dummyfunction("""COMPUTED_VALUE"""),174779)</f>
        <v>174779</v>
      </c>
      <c r="Q469" s="63"/>
      <c r="R469" s="41"/>
      <c r="S469" s="41"/>
      <c r="T469" s="63"/>
      <c r="U469" s="63"/>
      <c r="V469" s="70" t="n">
        <f aca="false">IFERROR(__xludf.dummyfunction("""COMPUTED_VALUE"""),46290)</f>
        <v>46290</v>
      </c>
      <c r="W469" s="39"/>
      <c r="X469" s="41" t="str">
        <f aca="false">IFERROR(__xludf.dummyfunction("""COMPUTED_VALUE"""),"Phuongdt")</f>
        <v>Phuongdt</v>
      </c>
      <c r="Y469" s="44" t="str">
        <f aca="false">IFERROR(__xludf.dummyfunction("""COMPUTED_VALUE"""),"done")</f>
        <v>done</v>
      </c>
      <c r="Z469" s="57" t="str">
        <f aca="false">IFERROR(__xludf.dummyfunction("""COMPUTED_VALUE"""),"#N/A")</f>
        <v>#N/A</v>
      </c>
      <c r="AA469" s="57"/>
      <c r="AB469" s="41" t="n">
        <f aca="false">IFERROR(__xludf.dummyfunction("""COMPUTED_VALUE"""),9)</f>
        <v>9</v>
      </c>
      <c r="AC469" s="57" t="str">
        <f aca="false">IFERROR(__xludf.dummyfunction("""COMPUTED_VALUE"""),"gv.anvtq@hocmai.edu.vn ")</f>
        <v>gv.anvtq@hocmai.edu.vn </v>
      </c>
      <c r="AD469" s="46" t="str">
        <f aca="false">IFERROR(__xludf.dummyfunction("""COMPUTED_VALUE"""),"vinhtho0704@gmail.com")</f>
        <v>vinhtho0704@gmail.com</v>
      </c>
      <c r="AE469" s="46"/>
      <c r="AF469" s="74" t="b">
        <f aca="false">IFERROR(__xludf.dummyfunction("""COMPUTED_VALUE"""),FALSE())</f>
        <v>0</v>
      </c>
      <c r="AG469" s="46" t="str">
        <f aca="false">IFERROR(__xludf.dummyfunction("""COMPUTED_VALUE"""),"")</f>
        <v/>
      </c>
      <c r="AH469" s="35"/>
      <c r="AI469" s="35"/>
      <c r="AJ469" s="35"/>
      <c r="AK469" s="35"/>
      <c r="AL469" s="35"/>
      <c r="AM469" s="53" t="b">
        <f aca="false">IFERROR(__xludf.dummyfunction("""COMPUTED_VALUE"""),TRUE())</f>
        <v>1</v>
      </c>
      <c r="AN469" s="53" t="b">
        <f aca="false">IFERROR(__xludf.dummyfunction("""COMPUTED_VALUE"""),TRUE())</f>
        <v>1</v>
      </c>
      <c r="AO469" s="46"/>
    </row>
    <row r="470" customFormat="false" ht="15.75" hidden="false" customHeight="true" outlineLevel="0" collapsed="false">
      <c r="A470" s="37" t="str">
        <f aca="false">IFERROR(__xludf.dummyfunction("""COMPUTED_VALUE"""),"Địa lí")</f>
        <v>Địa lí</v>
      </c>
      <c r="B470" s="37" t="str">
        <f aca="false">IFERROR(__xludf.dummyfunction("""COMPUTED_VALUE"""),"TOV_HSA_ĐL11")</f>
        <v>TOV_HSA_ĐL11</v>
      </c>
      <c r="C470" s="59" t="str">
        <f aca="false">IFERROR(__xludf.dummyfunction("""COMPUTED_VALUE"""),"Địa lí tự nhiên Việt Nam (phần 2)")</f>
        <v>Địa lí tự nhiên Việt Nam (phần 2)</v>
      </c>
      <c r="D470" s="39" t="str">
        <f aca="false">IFERROR(__xludf.dummyfunction("""COMPUTED_VALUE"""),"Nguyễn Văn Vinh")</f>
        <v>Nguyễn Văn Vinh</v>
      </c>
      <c r="E470" s="40" t="n">
        <f aca="false">IFERROR(__xludf.dummyfunction("""COMPUTED_VALUE"""),46287)</f>
        <v>46287</v>
      </c>
      <c r="F470" s="41" t="n">
        <f aca="false">IFERROR(__xludf.dummyfunction("""COMPUTED_VALUE"""),3)</f>
        <v>3</v>
      </c>
      <c r="G470" s="37" t="str">
        <f aca="false">IFERROR(__xludf.dummyfunction("""COMPUTED_VALUE"""),"18:30-20:30")</f>
        <v>18:30-20:30</v>
      </c>
      <c r="H470" s="37"/>
      <c r="I470" s="37"/>
      <c r="J470" s="37"/>
      <c r="K470" s="68" t="str">
        <f aca="false">IFERROR(__xludf.dummyfunction("""COMPUTED_VALUE"""),"Trinhntt")</f>
        <v>Trinhntt</v>
      </c>
      <c r="L470" s="68" t="str">
        <f aca="false">IFERROR(__xludf.dummyfunction("""COMPUTED_VALUE"""),"Phan Đức Kiên")</f>
        <v>Phan Đức Kiên</v>
      </c>
      <c r="M470" s="71"/>
      <c r="N470" s="77" t="str">
        <f aca="false">IFERROR(__xludf.dummyfunction("""COMPUTED_VALUE"""),"3123")</f>
        <v>3123</v>
      </c>
      <c r="O470" s="63" t="n">
        <f aca="false">IFERROR(__xludf.dummyfunction("""COMPUTED_VALUE"""),174757)</f>
        <v>174757</v>
      </c>
      <c r="P470" s="63"/>
      <c r="Q470" s="63" t="n">
        <f aca="false">IFERROR(__xludf.dummyfunction("""COMPUTED_VALUE"""),174757)</f>
        <v>174757</v>
      </c>
      <c r="R470" s="41"/>
      <c r="S470" s="41"/>
      <c r="T470" s="63"/>
      <c r="U470" s="63"/>
      <c r="V470" s="70" t="n">
        <f aca="false">IFERROR(__xludf.dummyfunction("""COMPUTED_VALUE"""),46290)</f>
        <v>46290</v>
      </c>
      <c r="W470" s="39"/>
      <c r="X470" s="41" t="str">
        <f aca="false">IFERROR(__xludf.dummyfunction("""COMPUTED_VALUE"""),"Huent7")</f>
        <v>Huent7</v>
      </c>
      <c r="Y470" s="44"/>
      <c r="Z470" s="57" t="str">
        <f aca="false">IFERROR(__xludf.dummyfunction("""COMPUTED_VALUE"""),"#N/A")</f>
        <v>#N/A</v>
      </c>
      <c r="AA470" s="57"/>
      <c r="AB470" s="41"/>
      <c r="AC470" s="57" t="str">
        <f aca="false">IFERROR(__xludf.dummyfunction("""COMPUTED_VALUE"""),"gv.vinhnv@hocmai.edu.vn")</f>
        <v>gv.vinhnv@hocmai.edu.vn</v>
      </c>
      <c r="AD470" s="46" t="str">
        <f aca="false">IFERROR(__xludf.dummyfunction("""COMPUTED_VALUE"""),"duckien010607@gmail.com")</f>
        <v>duckien010607@gmail.com</v>
      </c>
      <c r="AE470" s="46"/>
      <c r="AF470" s="74" t="b">
        <f aca="false">IFERROR(__xludf.dummyfunction("""COMPUTED_VALUE"""),FALSE())</f>
        <v>0</v>
      </c>
      <c r="AG470" s="46" t="str">
        <f aca="false">IFERROR(__xludf.dummyfunction("""COMPUTED_VALUE"""),"")</f>
        <v/>
      </c>
      <c r="AH470" s="35"/>
      <c r="AI470" s="35"/>
      <c r="AJ470" s="53" t="b">
        <f aca="false">IFERROR(__xludf.dummyfunction("""COMPUTED_VALUE"""),TRUE())</f>
        <v>1</v>
      </c>
      <c r="AK470" s="53" t="b">
        <f aca="false">IFERROR(__xludf.dummyfunction("""COMPUTED_VALUE"""),TRUE())</f>
        <v>1</v>
      </c>
      <c r="AL470" s="35"/>
      <c r="AM470" s="35"/>
      <c r="AN470" s="35"/>
      <c r="AO470" s="46"/>
    </row>
    <row r="471" customFormat="false" ht="15.75" hidden="false" customHeight="true" outlineLevel="0" collapsed="false">
      <c r="A471" s="37" t="str">
        <f aca="false">IFERROR(__xludf.dummyfunction("""COMPUTED_VALUE"""),"Định tính")</f>
        <v>Định tính</v>
      </c>
      <c r="B471" s="37" t="str">
        <f aca="false">IFERROR(__xludf.dummyfunction("""COMPUTED_VALUE"""),"TOV_HSA_DT13")</f>
        <v>TOV_HSA_DT13</v>
      </c>
      <c r="C471" s="59" t="str">
        <f aca="false">IFERROR(__xludf.dummyfunction("""COMPUTED_VALUE"""),"Văn bản nghị luận: Luận đề, luận điểm và lập luận trong văn bản")</f>
        <v>Văn bản nghị luận: Luận đề, luận điểm và lập luận trong văn bản</v>
      </c>
      <c r="D471" s="39" t="str">
        <f aca="false">IFERROR(__xludf.dummyfunction("""COMPUTED_VALUE"""),"Vương Thúy Hằng")</f>
        <v>Vương Thúy Hằng</v>
      </c>
      <c r="E471" s="40" t="n">
        <f aca="false">IFERROR(__xludf.dummyfunction("""COMPUTED_VALUE"""),46288)</f>
        <v>46288</v>
      </c>
      <c r="F471" s="41" t="n">
        <f aca="false">IFERROR(__xludf.dummyfunction("""COMPUTED_VALUE"""),4)</f>
        <v>4</v>
      </c>
      <c r="G471" s="37" t="str">
        <f aca="false">IFERROR(__xludf.dummyfunction("""COMPUTED_VALUE"""),"21:00-23:00")</f>
        <v>21:00-23:00</v>
      </c>
      <c r="H471" s="37"/>
      <c r="I471" s="37"/>
      <c r="J471" s="37"/>
      <c r="K471" s="68" t="str">
        <f aca="false">IFERROR(__xludf.dummyfunction("""COMPUTED_VALUE"""),"Hangvt3")</f>
        <v>Hangvt3</v>
      </c>
      <c r="L471" s="68" t="str">
        <f aca="false">IFERROR(__xludf.dummyfunction("""COMPUTED_VALUE"""),"Kiều Bảo Minh")</f>
        <v>Kiều Bảo Minh</v>
      </c>
      <c r="M471" s="71"/>
      <c r="N471" s="77" t="str">
        <f aca="false">IFERROR(__xludf.dummyfunction("""COMPUTED_VALUE"""),"3118")</f>
        <v>3118</v>
      </c>
      <c r="O471" s="63" t="n">
        <f aca="false">IFERROR(__xludf.dummyfunction("""COMPUTED_VALUE"""),167302)</f>
        <v>167302</v>
      </c>
      <c r="P471" s="63"/>
      <c r="Q471" s="63"/>
      <c r="R471" s="41"/>
      <c r="S471" s="41"/>
      <c r="T471" s="63"/>
      <c r="U471" s="63"/>
      <c r="V471" s="70" t="n">
        <f aca="false">IFERROR(__xludf.dummyfunction("""COMPUTED_VALUE"""),46291)</f>
        <v>46291</v>
      </c>
      <c r="W471" s="39"/>
      <c r="X471" s="41" t="str">
        <f aca="false">IFERROR(__xludf.dummyfunction("""COMPUTED_VALUE"""),"Phuongdt")</f>
        <v>Phuongdt</v>
      </c>
      <c r="Y471" s="44" t="str">
        <f aca="false">IFERROR(__xludf.dummyfunction("""COMPUTED_VALUE"""),"done")</f>
        <v>done</v>
      </c>
      <c r="Z471" s="57" t="str">
        <f aca="false">IFERROR(__xludf.dummyfunction("""COMPUTED_VALUE"""),"#N/A")</f>
        <v>#N/A</v>
      </c>
      <c r="AA471" s="57"/>
      <c r="AB471" s="41" t="n">
        <f aca="false">IFERROR(__xludf.dummyfunction("""COMPUTED_VALUE"""),9)</f>
        <v>9</v>
      </c>
      <c r="AC471" s="57" t="str">
        <f aca="false">IFERROR(__xludf.dummyfunction("""COMPUTED_VALUE"""),"gv.hangvt@hocmai.edu.vn ")</f>
        <v>gv.hangvt@hocmai.edu.vn </v>
      </c>
      <c r="AD471" s="46" t="str">
        <f aca="false">IFERROR(__xludf.dummyfunction("""COMPUTED_VALUE"""),"mkieu2662@gmail.com")</f>
        <v>mkieu2662@gmail.com</v>
      </c>
      <c r="AE471" s="46"/>
      <c r="AF471" s="74" t="b">
        <f aca="false">IFERROR(__xludf.dummyfunction("""COMPUTED_VALUE"""),FALSE())</f>
        <v>0</v>
      </c>
      <c r="AG471" s="46" t="str">
        <f aca="false">IFERROR(__xludf.dummyfunction("""COMPUTED_VALUE"""),"")</f>
        <v/>
      </c>
      <c r="AH471" s="35"/>
      <c r="AI471" s="35"/>
      <c r="AJ471" s="53" t="b">
        <f aca="false">IFERROR(__xludf.dummyfunction("""COMPUTED_VALUE"""),TRUE())</f>
        <v>1</v>
      </c>
      <c r="AK471" s="53" t="b">
        <f aca="false">IFERROR(__xludf.dummyfunction("""COMPUTED_VALUE"""),TRUE())</f>
        <v>1</v>
      </c>
      <c r="AL471" s="35"/>
      <c r="AM471" s="35"/>
      <c r="AN471" s="35"/>
      <c r="AO471" s="46"/>
    </row>
    <row r="472" customFormat="false" ht="15.75" hidden="false" customHeight="true" outlineLevel="0" collapsed="false">
      <c r="A472" s="37" t="str">
        <f aca="false">IFERROR(__xludf.dummyfunction("""COMPUTED_VALUE"""),"Ngữ văn")</f>
        <v>Ngữ văn</v>
      </c>
      <c r="B472" s="37" t="str">
        <f aca="false">IFERROR(__xludf.dummyfunction("""COMPUTED_VALUE"""),"TOV_TNTHPT_NV05")</f>
        <v>TOV_TNTHPT_NV05</v>
      </c>
      <c r="C472" s="59" t="str">
        <f aca="false">IFERROR(__xludf.dummyfunction("""COMPUTED_VALUE"""),"Hướng dẫn đọc và khai thác nội dung văn bản kí, tản văn")</f>
        <v>Hướng dẫn đọc và khai thác nội dung văn bản kí, tản văn</v>
      </c>
      <c r="D472" s="39" t="str">
        <f aca="false">IFERROR(__xludf.dummyfunction("""COMPUTED_VALUE"""),"Phạm Hữu Cường")</f>
        <v>Phạm Hữu Cường</v>
      </c>
      <c r="E472" s="40" t="n">
        <f aca="false">IFERROR(__xludf.dummyfunction("""COMPUTED_VALUE"""),46288)</f>
        <v>46288</v>
      </c>
      <c r="F472" s="41" t="n">
        <f aca="false">IFERROR(__xludf.dummyfunction("""COMPUTED_VALUE"""),4)</f>
        <v>4</v>
      </c>
      <c r="G472" s="37" t="str">
        <f aca="false">IFERROR(__xludf.dummyfunction("""COMPUTED_VALUE"""),"21:00-23:00")</f>
        <v>21:00-23:00</v>
      </c>
      <c r="H472" s="37"/>
      <c r="I472" s="37"/>
      <c r="J472" s="37"/>
      <c r="K472" s="68" t="str">
        <f aca="false">IFERROR(__xludf.dummyfunction("""COMPUTED_VALUE"""),"Hangvt3")</f>
        <v>Hangvt3</v>
      </c>
      <c r="L472" s="68" t="str">
        <f aca="false">IFERROR(__xludf.dummyfunction("""COMPUTED_VALUE"""),"Trần Đức Lương")</f>
        <v>Trần Đức Lương</v>
      </c>
      <c r="M472" s="71"/>
      <c r="N472" s="77" t="str">
        <f aca="false">IFERROR(__xludf.dummyfunction("""COMPUTED_VALUE"""),"3128")</f>
        <v>3128</v>
      </c>
      <c r="O472" s="63" t="n">
        <f aca="false">IFERROR(__xludf.dummyfunction("""COMPUTED_VALUE"""),167562)</f>
        <v>167562</v>
      </c>
      <c r="P472" s="63"/>
      <c r="Q472" s="63"/>
      <c r="R472" s="41"/>
      <c r="S472" s="41"/>
      <c r="T472" s="63"/>
      <c r="U472" s="63"/>
      <c r="V472" s="70" t="n">
        <f aca="false">IFERROR(__xludf.dummyfunction("""COMPUTED_VALUE"""),46291)</f>
        <v>46291</v>
      </c>
      <c r="W472" s="39"/>
      <c r="X472" s="41" t="str">
        <f aca="false">IFERROR(__xludf.dummyfunction("""COMPUTED_VALUE"""),"Phuongdt")</f>
        <v>Phuongdt</v>
      </c>
      <c r="Y472" s="44"/>
      <c r="Z472" s="57" t="str">
        <f aca="false">IFERROR(__xludf.dummyfunction("""COMPUTED_VALUE"""),"#N/A")</f>
        <v>#N/A</v>
      </c>
      <c r="AA472" s="57"/>
      <c r="AB472" s="41" t="n">
        <f aca="false">IFERROR(__xludf.dummyfunction("""COMPUTED_VALUE"""),9)</f>
        <v>9</v>
      </c>
      <c r="AC472" s="57" t="str">
        <f aca="false">IFERROR(__xludf.dummyfunction("""COMPUTED_VALUE"""),"gv.cuongph@hocmai.edu.vn ")</f>
        <v>gv.cuongph@hocmai.edu.vn </v>
      </c>
      <c r="AD472" s="46" t="str">
        <f aca="false">IFERROR(__xludf.dummyfunction("""COMPUTED_VALUE"""),"ss.hsa01@ctv.hocmai.vn")</f>
        <v>ss.hsa01@ctv.hocmai.vn</v>
      </c>
      <c r="AE472" s="46"/>
      <c r="AF472" s="74" t="b">
        <f aca="false">IFERROR(__xludf.dummyfunction("""COMPUTED_VALUE"""),FALSE())</f>
        <v>0</v>
      </c>
      <c r="AG472" s="46" t="str">
        <f aca="false">IFERROR(__xludf.dummyfunction("""COMPUTED_VALUE"""),"")</f>
        <v/>
      </c>
      <c r="AH472" s="35"/>
      <c r="AI472" s="35"/>
      <c r="AJ472" s="35"/>
      <c r="AK472" s="35"/>
      <c r="AL472" s="53" t="b">
        <f aca="false">IFERROR(__xludf.dummyfunction("""COMPUTED_VALUE"""),TRUE())</f>
        <v>1</v>
      </c>
      <c r="AM472" s="35"/>
      <c r="AN472" s="35"/>
      <c r="AO472" s="46"/>
    </row>
    <row r="473" customFormat="false" ht="15.75" hidden="false" customHeight="true" outlineLevel="0" collapsed="false">
      <c r="A473" s="37" t="str">
        <f aca="false">IFERROR(__xludf.dummyfunction("""COMPUTED_VALUE"""),"Vật lí")</f>
        <v>Vật lí</v>
      </c>
      <c r="B473" s="37" t="str">
        <f aca="false">IFERROR(__xludf.dummyfunction("""COMPUTED_VALUE"""),"TOV_TSA_L14")</f>
        <v>TOV_TSA_L14</v>
      </c>
      <c r="C473" s="59" t="str">
        <f aca="false">IFERROR(__xludf.dummyfunction("""COMPUTED_VALUE"""),"Khí lí tưởng và mô hình động học phân tử")</f>
        <v>Khí lí tưởng và mô hình động học phân tử</v>
      </c>
      <c r="D473" s="39" t="str">
        <f aca="false">IFERROR(__xludf.dummyfunction("""COMPUTED_VALUE"""),"Thiều Thị Dung")</f>
        <v>Thiều Thị Dung</v>
      </c>
      <c r="E473" s="40" t="n">
        <f aca="false">IFERROR(__xludf.dummyfunction("""COMPUTED_VALUE"""),46289)</f>
        <v>46289</v>
      </c>
      <c r="F473" s="41" t="n">
        <f aca="false">IFERROR(__xludf.dummyfunction("""COMPUTED_VALUE"""),5)</f>
        <v>5</v>
      </c>
      <c r="G473" s="37" t="str">
        <f aca="false">IFERROR(__xludf.dummyfunction("""COMPUTED_VALUE"""),"21:00-23:00")</f>
        <v>21:00-23:00</v>
      </c>
      <c r="H473" s="37"/>
      <c r="I473" s="37"/>
      <c r="J473" s="37"/>
      <c r="K473" s="68" t="str">
        <f aca="false">IFERROR(__xludf.dummyfunction("""COMPUTED_VALUE"""),"Trangnth2")</f>
        <v>Trangnth2</v>
      </c>
      <c r="L473" s="68" t="str">
        <f aca="false">IFERROR(__xludf.dummyfunction("""COMPUTED_VALUE"""),"Trần Đức Lương")</f>
        <v>Trần Đức Lương</v>
      </c>
      <c r="M473" s="71"/>
      <c r="N473" s="77" t="str">
        <f aca="false">IFERROR(__xludf.dummyfunction("""COMPUTED_VALUE"""),"3110")</f>
        <v>3110</v>
      </c>
      <c r="O473" s="63" t="n">
        <f aca="false">IFERROR(__xludf.dummyfunction("""COMPUTED_VALUE"""),167273)</f>
        <v>167273</v>
      </c>
      <c r="P473" s="63"/>
      <c r="Q473" s="63"/>
      <c r="R473" s="41"/>
      <c r="S473" s="41"/>
      <c r="T473" s="63"/>
      <c r="U473" s="63"/>
      <c r="V473" s="70" t="n">
        <f aca="false">IFERROR(__xludf.dummyfunction("""COMPUTED_VALUE"""),46292)</f>
        <v>46292</v>
      </c>
      <c r="W473" s="39"/>
      <c r="X473" s="41" t="str">
        <f aca="false">IFERROR(__xludf.dummyfunction("""COMPUTED_VALUE"""),"Trangnth2")</f>
        <v>Trangnth2</v>
      </c>
      <c r="Y473" s="44"/>
      <c r="Z473" s="57" t="str">
        <f aca="false">IFERROR(__xludf.dummyfunction("""COMPUTED_VALUE"""),"#N/A")</f>
        <v>#N/A</v>
      </c>
      <c r="AA473" s="57"/>
      <c r="AB473" s="41" t="n">
        <f aca="false">IFERROR(__xludf.dummyfunction("""COMPUTED_VALUE"""),9)</f>
        <v>9</v>
      </c>
      <c r="AC473" s="57" t="str">
        <f aca="false">IFERROR(__xludf.dummyfunction("""COMPUTED_VALUE"""),"dungtt2@hocmai.vn                ")</f>
        <v>dungtt2@hocmai.vn                </v>
      </c>
      <c r="AD473" s="46" t="str">
        <f aca="false">IFERROR(__xludf.dummyfunction("""COMPUTED_VALUE"""),"ss.hsa01@ctv.hocmai.vn")</f>
        <v>ss.hsa01@ctv.hocmai.vn</v>
      </c>
      <c r="AE473" s="46"/>
      <c r="AF473" s="74" t="b">
        <f aca="false">IFERROR(__xludf.dummyfunction("""COMPUTED_VALUE"""),FALSE())</f>
        <v>0</v>
      </c>
      <c r="AG473" s="46" t="str">
        <f aca="false">IFERROR(__xludf.dummyfunction("""COMPUTED_VALUE"""),"")</f>
        <v/>
      </c>
      <c r="AH473" s="35"/>
      <c r="AI473" s="53" t="b">
        <f aca="false">IFERROR(__xludf.dummyfunction("""COMPUTED_VALUE"""),TRUE())</f>
        <v>1</v>
      </c>
      <c r="AJ473" s="35"/>
      <c r="AK473" s="35"/>
      <c r="AL473" s="35"/>
      <c r="AM473" s="35"/>
      <c r="AN473" s="35"/>
      <c r="AO473" s="46"/>
    </row>
    <row r="474" customFormat="false" ht="15.75" hidden="false" customHeight="true" outlineLevel="0" collapsed="false">
      <c r="A474" s="37" t="str">
        <f aca="false">IFERROR(__xludf.dummyfunction("""COMPUTED_VALUE"""),"Vật lí")</f>
        <v>Vật lí</v>
      </c>
      <c r="B474" s="37" t="str">
        <f aca="false">IFERROR(__xludf.dummyfunction("""COMPUTED_VALUE"""),"TOV_HT_VL15")</f>
        <v>TOV_HT_VL15</v>
      </c>
      <c r="C474" s="59" t="str">
        <f aca="false">IFERROR(__xludf.dummyfunction("""COMPUTED_VALUE"""),"Đồ thị – Phương trình trạng thái khí lí tưởng")</f>
        <v>Đồ thị – Phương trình trạng thái khí lí tưởng</v>
      </c>
      <c r="D474" s="39" t="str">
        <f aca="false">IFERROR(__xludf.dummyfunction("""COMPUTED_VALUE"""),"Nguyễn Hữu Tình")</f>
        <v>Nguyễn Hữu Tình</v>
      </c>
      <c r="E474" s="40" t="n">
        <f aca="false">IFERROR(__xludf.dummyfunction("""COMPUTED_VALUE"""),46289)</f>
        <v>46289</v>
      </c>
      <c r="F474" s="41" t="n">
        <f aca="false">IFERROR(__xludf.dummyfunction("""COMPUTED_VALUE"""),5)</f>
        <v>5</v>
      </c>
      <c r="G474" s="37" t="str">
        <f aca="false">IFERROR(__xludf.dummyfunction("""COMPUTED_VALUE"""),"21:00-23:00")</f>
        <v>21:00-23:00</v>
      </c>
      <c r="H474" s="37"/>
      <c r="I474" s="37"/>
      <c r="J474" s="37"/>
      <c r="K474" s="68" t="str">
        <f aca="false">IFERROR(__xludf.dummyfunction("""COMPUTED_VALUE"""),"Trangnth2")</f>
        <v>Trangnth2</v>
      </c>
      <c r="L474" s="68" t="str">
        <f aca="false">IFERROR(__xludf.dummyfunction("""COMPUTED_VALUE"""),"Kiều Bảo Minh")</f>
        <v>Kiều Bảo Minh</v>
      </c>
      <c r="M474" s="71"/>
      <c r="N474" s="80" t="str">
        <f aca="false">IFERROR(__xludf.dummyfunction("""COMPUTED_VALUE"""),"3119,3130")</f>
        <v>3119,3130</v>
      </c>
      <c r="O474" s="73" t="n">
        <f aca="false">IFERROR(__xludf.dummyfunction("""COMPUTED_VALUE"""),167530.167577)</f>
        <v>167530.167577</v>
      </c>
      <c r="P474" s="63" t="str">
        <f aca="false">IFERROR(__xludf.dummyfunction("""COMPUTED_VALUE"""),"9031,9039,9020")</f>
        <v>9031,9039,9020</v>
      </c>
      <c r="Q474" s="63"/>
      <c r="R474" s="41"/>
      <c r="S474" s="41"/>
      <c r="T474" s="63"/>
      <c r="U474" s="63" t="n">
        <f aca="false">IFERROR(__xludf.dummyfunction("""COMPUTED_VALUE"""),10471)</f>
        <v>10471</v>
      </c>
      <c r="V474" s="70" t="n">
        <f aca="false">IFERROR(__xludf.dummyfunction("""COMPUTED_VALUE"""),46292)</f>
        <v>46292</v>
      </c>
      <c r="W474" s="39"/>
      <c r="X474" s="41" t="str">
        <f aca="false">IFERROR(__xludf.dummyfunction("""COMPUTED_VALUE"""),"Trangnth2")</f>
        <v>Trangnth2</v>
      </c>
      <c r="Y474" s="44"/>
      <c r="Z474" s="57" t="str">
        <f aca="false">IFERROR(__xludf.dummyfunction("""COMPUTED_VALUE"""),"#N/A")</f>
        <v>#N/A</v>
      </c>
      <c r="AA474" s="57"/>
      <c r="AB474" s="41" t="n">
        <f aca="false">IFERROR(__xludf.dummyfunction("""COMPUTED_VALUE"""),9)</f>
        <v>9</v>
      </c>
      <c r="AC474" s="57" t="str">
        <f aca="false">IFERROR(__xludf.dummyfunction("""COMPUTED_VALUE"""),"gv.tinhnh@hocmai.edu.vn ")</f>
        <v>gv.tinhnh@hocmai.edu.vn </v>
      </c>
      <c r="AD474" s="46" t="str">
        <f aca="false">IFERROR(__xludf.dummyfunction("""COMPUTED_VALUE"""),"mkieu2662@gmail.com")</f>
        <v>mkieu2662@gmail.com</v>
      </c>
      <c r="AE474" s="46"/>
      <c r="AF474" s="74" t="b">
        <f aca="false">IFERROR(__xludf.dummyfunction("""COMPUTED_VALUE"""),FALSE())</f>
        <v>0</v>
      </c>
      <c r="AG474" s="46" t="str">
        <f aca="false">IFERROR(__xludf.dummyfunction("""COMPUTED_VALUE"""),"")</f>
        <v/>
      </c>
      <c r="AH474" s="35"/>
      <c r="AI474" s="35"/>
      <c r="AJ474" s="53" t="b">
        <f aca="false">IFERROR(__xludf.dummyfunction("""COMPUTED_VALUE"""),TRUE())</f>
        <v>1</v>
      </c>
      <c r="AK474" s="53" t="b">
        <f aca="false">IFERROR(__xludf.dummyfunction("""COMPUTED_VALUE"""),TRUE())</f>
        <v>1</v>
      </c>
      <c r="AL474" s="53" t="b">
        <f aca="false">IFERROR(__xludf.dummyfunction("""COMPUTED_VALUE"""),TRUE())</f>
        <v>1</v>
      </c>
      <c r="AM474" s="35"/>
      <c r="AN474" s="35"/>
      <c r="AO474" s="46"/>
    </row>
    <row r="475" customFormat="false" ht="15.75" hidden="false" customHeight="true" outlineLevel="0" collapsed="false">
      <c r="A475" s="37" t="str">
        <f aca="false">IFERROR(__xludf.dummyfunction("""COMPUTED_VALUE"""),"Toán")</f>
        <v>Toán</v>
      </c>
      <c r="B475" s="37" t="str">
        <f aca="false">IFERROR(__xludf.dummyfunction("""COMPUTED_VALUE"""),"TOA_V-ACT_T14")</f>
        <v>TOA_V-ACT_T14</v>
      </c>
      <c r="C475" s="59" t="str">
        <f aca="false">IFERROR(__xludf.dummyfunction("""COMPUTED_VALUE"""),"Phương pháp, kĩ năng xử lí các bài toán về hình học Oxy (P2)")</f>
        <v>Phương pháp, kĩ năng xử lí các bài toán về hình học Oxy (P2)</v>
      </c>
      <c r="D475" s="39" t="str">
        <f aca="false">IFERROR(__xludf.dummyfunction("""COMPUTED_VALUE"""),"Nguyễn Hoài Nam")</f>
        <v>Nguyễn Hoài Nam</v>
      </c>
      <c r="E475" s="40" t="n">
        <f aca="false">IFERROR(__xludf.dummyfunction("""COMPUTED_VALUE"""),46289)</f>
        <v>46289</v>
      </c>
      <c r="F475" s="41" t="n">
        <f aca="false">IFERROR(__xludf.dummyfunction("""COMPUTED_VALUE"""),5)</f>
        <v>5</v>
      </c>
      <c r="G475" s="37" t="str">
        <f aca="false">IFERROR(__xludf.dummyfunction("""COMPUTED_VALUE"""),"21:00-22:30")</f>
        <v>21:00-22:30</v>
      </c>
      <c r="H475" s="37"/>
      <c r="I475" s="37"/>
      <c r="J475" s="37"/>
      <c r="K475" s="68" t="str">
        <f aca="false">IFERROR(__xludf.dummyfunction("""COMPUTED_VALUE"""),"Lent")</f>
        <v>Lent</v>
      </c>
      <c r="L475" s="68" t="str">
        <f aca="false">IFERROR(__xludf.dummyfunction("""COMPUTED_VALUE"""),"Lường Nhật Nam")</f>
        <v>Lường Nhật Nam</v>
      </c>
      <c r="M475" s="71"/>
      <c r="N475" s="77" t="str">
        <f aca="false">IFERROR(__xludf.dummyfunction("""COMPUTED_VALUE"""),"3124,3316")</f>
        <v>3124,3316</v>
      </c>
      <c r="O475" s="73" t="n">
        <f aca="false">IFERROR(__xludf.dummyfunction("""COMPUTED_VALUE"""),167202.166868)</f>
        <v>167202.166868</v>
      </c>
      <c r="P475" s="63" t="n">
        <f aca="false">IFERROR(__xludf.dummyfunction("""COMPUTED_VALUE"""),9044.9108)</f>
        <v>9044.9108</v>
      </c>
      <c r="Q475" s="63" t="n">
        <f aca="false">IFERROR(__xludf.dummyfunction("""COMPUTED_VALUE"""),167202)</f>
        <v>167202</v>
      </c>
      <c r="R475" s="41" t="n">
        <f aca="false">IFERROR(__xludf.dummyfunction("""COMPUTED_VALUE"""),166868)</f>
        <v>166868</v>
      </c>
      <c r="S475" s="41"/>
      <c r="T475" s="63"/>
      <c r="U475" s="63"/>
      <c r="V475" s="70" t="n">
        <f aca="false">IFERROR(__xludf.dummyfunction("""COMPUTED_VALUE"""),46292)</f>
        <v>46292</v>
      </c>
      <c r="W475" s="39"/>
      <c r="X475" s="41" t="str">
        <f aca="false">IFERROR(__xludf.dummyfunction("""COMPUTED_VALUE"""),"Lent")</f>
        <v>Lent</v>
      </c>
      <c r="Y475" s="44" t="str">
        <f aca="false">IFERROR(__xludf.dummyfunction("""COMPUTED_VALUE"""),"done")</f>
        <v>done</v>
      </c>
      <c r="Z475" s="57" t="str">
        <f aca="false">IFERROR(__xludf.dummyfunction("""COMPUTED_VALUE"""),"#N/A")</f>
        <v>#N/A</v>
      </c>
      <c r="AA475" s="57"/>
      <c r="AB475" s="41" t="n">
        <f aca="false">IFERROR(__xludf.dummyfunction("""COMPUTED_VALUE"""),9)</f>
        <v>9</v>
      </c>
      <c r="AC475" s="57" t="str">
        <f aca="false">IFERROR(__xludf.dummyfunction("""COMPUTED_VALUE"""),"gv.namnh@hocmai.edu.vn ")</f>
        <v>gv.namnh@hocmai.edu.vn </v>
      </c>
      <c r="AD475" s="46" t="str">
        <f aca="false">IFERROR(__xludf.dummyfunction("""COMPUTED_VALUE"""),"nhatnam1092@gmail.com")</f>
        <v>nhatnam1092@gmail.com</v>
      </c>
      <c r="AE475" s="46"/>
      <c r="AF475" s="47" t="str">
        <f aca="false">IFERROR(__xludf.dummyfunction("""COMPUTED_VALUE"""),"lophoctoan-946289")</f>
        <v>lophoctoan-946289</v>
      </c>
      <c r="AG475" s="46" t="str">
        <f aca="false">IFERROR(__xludf.dummyfunction("""COMPUTED_VALUE"""),"")</f>
        <v/>
      </c>
      <c r="AH475" s="35"/>
      <c r="AI475" s="35"/>
      <c r="AJ475" s="35"/>
      <c r="AK475" s="35"/>
      <c r="AL475" s="35"/>
      <c r="AM475" s="53" t="b">
        <f aca="false">IFERROR(__xludf.dummyfunction("""COMPUTED_VALUE"""),TRUE())</f>
        <v>1</v>
      </c>
      <c r="AN475" s="53" t="b">
        <f aca="false">IFERROR(__xludf.dummyfunction("""COMPUTED_VALUE"""),TRUE())</f>
        <v>1</v>
      </c>
      <c r="AO475" s="46"/>
    </row>
    <row r="476" customFormat="false" ht="15.75" hidden="false" customHeight="true" outlineLevel="0" collapsed="false">
      <c r="A476" s="37" t="str">
        <f aca="false">IFERROR(__xludf.dummyfunction("""COMPUTED_VALUE"""),"Toán")</f>
        <v>Toán</v>
      </c>
      <c r="B476" s="37" t="str">
        <f aca="false">IFERROR(__xludf.dummyfunction("""COMPUTED_VALUE"""),"TOV_TSA_T15")</f>
        <v>TOV_TSA_T15</v>
      </c>
      <c r="C476" s="59" t="str">
        <f aca="false">IFERROR(__xludf.dummyfunction("""COMPUTED_VALUE"""),"Phương trình lượng giác")</f>
        <v>Phương trình lượng giác</v>
      </c>
      <c r="D476" s="39" t="str">
        <f aca="false">IFERROR(__xludf.dummyfunction("""COMPUTED_VALUE"""),"Nguyễn Thanh Tùng")</f>
        <v>Nguyễn Thanh Tùng</v>
      </c>
      <c r="E476" s="40" t="n">
        <f aca="false">IFERROR(__xludf.dummyfunction("""COMPUTED_VALUE"""),46290)</f>
        <v>46290</v>
      </c>
      <c r="F476" s="41" t="n">
        <f aca="false">IFERROR(__xludf.dummyfunction("""COMPUTED_VALUE"""),6)</f>
        <v>6</v>
      </c>
      <c r="G476" s="37" t="str">
        <f aca="false">IFERROR(__xludf.dummyfunction("""COMPUTED_VALUE"""),"18:00-20:00")</f>
        <v>18:00-20:00</v>
      </c>
      <c r="H476" s="37"/>
      <c r="I476" s="37"/>
      <c r="J476" s="62"/>
      <c r="K476" s="68" t="str">
        <f aca="false">IFERROR(__xludf.dummyfunction("""COMPUTED_VALUE"""),"Locdd")</f>
        <v>Locdd</v>
      </c>
      <c r="L476" s="68" t="str">
        <f aca="false">IFERROR(__xludf.dummyfunction("""COMPUTED_VALUE"""),"Tưởng Thị Huyền Trang")</f>
        <v>Tưởng Thị Huyền Trang</v>
      </c>
      <c r="M476" s="71"/>
      <c r="N476" s="77" t="str">
        <f aca="false">IFERROR(__xludf.dummyfunction("""COMPUTED_VALUE"""),"3108")</f>
        <v>3108</v>
      </c>
      <c r="O476" s="63" t="n">
        <f aca="false">IFERROR(__xludf.dummyfunction("""COMPUTED_VALUE"""),168383)</f>
        <v>168383</v>
      </c>
      <c r="P476" s="63"/>
      <c r="Q476" s="63"/>
      <c r="R476" s="41"/>
      <c r="S476" s="41"/>
      <c r="T476" s="63"/>
      <c r="U476" s="63"/>
      <c r="V476" s="70" t="n">
        <f aca="false">IFERROR(__xludf.dummyfunction("""COMPUTED_VALUE"""),46293)</f>
        <v>46293</v>
      </c>
      <c r="W476" s="39"/>
      <c r="X476" s="41" t="str">
        <f aca="false">IFERROR(__xludf.dummyfunction("""COMPUTED_VALUE"""),"Locdd")</f>
        <v>Locdd</v>
      </c>
      <c r="Y476" s="44" t="str">
        <f aca="false">IFERROR(__xludf.dummyfunction("""COMPUTED_VALUE"""),"done")</f>
        <v>done</v>
      </c>
      <c r="Z476" s="57" t="str">
        <f aca="false">IFERROR(__xludf.dummyfunction("""COMPUTED_VALUE"""),"#N/A")</f>
        <v>#N/A</v>
      </c>
      <c r="AA476" s="57"/>
      <c r="AB476" s="41" t="n">
        <f aca="false">IFERROR(__xludf.dummyfunction("""COMPUTED_VALUE"""),9)</f>
        <v>9</v>
      </c>
      <c r="AC476" s="57" t="str">
        <f aca="false">IFERROR(__xludf.dummyfunction("""COMPUTED_VALUE"""),"gv.tungnt@hocmai.edu.vn ")</f>
        <v>gv.tungnt@hocmai.edu.vn </v>
      </c>
      <c r="AD476" s="46" t="str">
        <f aca="false">IFERROR(__xludf.dummyfunction("""COMPUTED_VALUE"""),"trangcrazy699@gmail.com")</f>
        <v>trangcrazy699@gmail.com</v>
      </c>
      <c r="AE476" s="46"/>
      <c r="AF476" s="47" t="str">
        <f aca="false">IFERROR(__xludf.dummyfunction("""COMPUTED_VALUE"""),"lophoctoan-946290")</f>
        <v>lophoctoan-946290</v>
      </c>
      <c r="AG476" s="46" t="str">
        <f aca="false">IFERROR(__xludf.dummyfunction("""COMPUTED_VALUE"""),"")</f>
        <v/>
      </c>
      <c r="AH476" s="35"/>
      <c r="AI476" s="53" t="b">
        <f aca="false">IFERROR(__xludf.dummyfunction("""COMPUTED_VALUE"""),TRUE())</f>
        <v>1</v>
      </c>
      <c r="AJ476" s="35"/>
      <c r="AK476" s="35"/>
      <c r="AL476" s="35"/>
      <c r="AM476" s="35"/>
      <c r="AN476" s="35"/>
      <c r="AO476" s="46"/>
    </row>
    <row r="477" customFormat="false" ht="15.75" hidden="false" customHeight="true" outlineLevel="0" collapsed="false">
      <c r="A477" s="37" t="str">
        <f aca="false">IFERROR(__xludf.dummyfunction("""COMPUTED_VALUE"""),"Sinh học")</f>
        <v>Sinh học</v>
      </c>
      <c r="B477" s="37" t="str">
        <f aca="false">IFERROR(__xludf.dummyfunction("""COMPUTED_VALUE"""),"TOV_HT_SH15")</f>
        <v>TOV_HT_SH15</v>
      </c>
      <c r="C477" s="59" t="str">
        <f aca="false">IFERROR(__xludf.dummyfunction("""COMPUTED_VALUE"""),"Di truyền NST: Cơ sở TB học + Đột biến NST + Quy luật Mendel")</f>
        <v>Di truyền NST: Cơ sở TB học + Đột biến NST + Quy luật Mendel</v>
      </c>
      <c r="D477" s="39" t="str">
        <f aca="false">IFERROR(__xludf.dummyfunction("""COMPUTED_VALUE"""),"Nguyễn Dương Ánh Hồng")</f>
        <v>Nguyễn Dương Ánh Hồng</v>
      </c>
      <c r="E477" s="40" t="n">
        <f aca="false">IFERROR(__xludf.dummyfunction("""COMPUTED_VALUE"""),46290)</f>
        <v>46290</v>
      </c>
      <c r="F477" s="41" t="n">
        <f aca="false">IFERROR(__xludf.dummyfunction("""COMPUTED_VALUE"""),6)</f>
        <v>6</v>
      </c>
      <c r="G477" s="37" t="str">
        <f aca="false">IFERROR(__xludf.dummyfunction("""COMPUTED_VALUE"""),"19:30-21:30")</f>
        <v>19:30-21:30</v>
      </c>
      <c r="H477" s="37"/>
      <c r="I477" s="37"/>
      <c r="J477" s="37"/>
      <c r="K477" s="68" t="str">
        <f aca="false">IFERROR(__xludf.dummyfunction("""COMPUTED_VALUE"""),"Phuongdt")</f>
        <v>Phuongdt</v>
      </c>
      <c r="L477" s="68" t="str">
        <f aca="false">IFERROR(__xludf.dummyfunction("""COMPUTED_VALUE"""),"Phan Đức Kiên")</f>
        <v>Phan Đức Kiên</v>
      </c>
      <c r="M477" s="71"/>
      <c r="N477" s="77" t="str">
        <f aca="false">IFERROR(__xludf.dummyfunction("""COMPUTED_VALUE"""),"3121,3132")</f>
        <v>3121,3132</v>
      </c>
      <c r="O477" s="73" t="n">
        <f aca="false">IFERROR(__xludf.dummyfunction("""COMPUTED_VALUE"""),167332.167346)</f>
        <v>167332.167346</v>
      </c>
      <c r="P477" s="63" t="str">
        <f aca="false">IFERROR(__xludf.dummyfunction("""COMPUTED_VALUE"""),"9033,9041,9022")</f>
        <v>9033,9041,9022</v>
      </c>
      <c r="Q477" s="63"/>
      <c r="R477" s="41"/>
      <c r="S477" s="41"/>
      <c r="T477" s="63" t="n">
        <f aca="false">IFERROR(__xludf.dummyfunction("""COMPUTED_VALUE"""),23846)</f>
        <v>23846</v>
      </c>
      <c r="U477" s="63"/>
      <c r="V477" s="70" t="n">
        <f aca="false">IFERROR(__xludf.dummyfunction("""COMPUTED_VALUE"""),46293)</f>
        <v>46293</v>
      </c>
      <c r="W477" s="39"/>
      <c r="X477" s="41" t="str">
        <f aca="false">IFERROR(__xludf.dummyfunction("""COMPUTED_VALUE"""),"Phuongdt")</f>
        <v>Phuongdt</v>
      </c>
      <c r="Y477" s="44"/>
      <c r="Z477" s="57" t="str">
        <f aca="false">IFERROR(__xludf.dummyfunction("""COMPUTED_VALUE"""),"#N/A")</f>
        <v>#N/A</v>
      </c>
      <c r="AA477" s="57"/>
      <c r="AB477" s="41" t="n">
        <f aca="false">IFERROR(__xludf.dummyfunction("""COMPUTED_VALUE"""),9)</f>
        <v>9</v>
      </c>
      <c r="AC477" s="57" t="str">
        <f aca="false">IFERROR(__xludf.dummyfunction("""COMPUTED_VALUE"""),"gv.hongnda@hocmai.edu.vn ")</f>
        <v>gv.hongnda@hocmai.edu.vn </v>
      </c>
      <c r="AD477" s="46" t="str">
        <f aca="false">IFERROR(__xludf.dummyfunction("""COMPUTED_VALUE"""),"duckien010607@gmail.com")</f>
        <v>duckien010607@gmail.com</v>
      </c>
      <c r="AE477" s="46"/>
      <c r="AF477" s="74" t="b">
        <f aca="false">IFERROR(__xludf.dummyfunction("""COMPUTED_VALUE"""),FALSE())</f>
        <v>0</v>
      </c>
      <c r="AG477" s="46" t="str">
        <f aca="false">IFERROR(__xludf.dummyfunction("""COMPUTED_VALUE"""),"")</f>
        <v/>
      </c>
      <c r="AH477" s="35"/>
      <c r="AI477" s="35"/>
      <c r="AJ477" s="53" t="b">
        <f aca="false">IFERROR(__xludf.dummyfunction("""COMPUTED_VALUE"""),TRUE())</f>
        <v>1</v>
      </c>
      <c r="AK477" s="53" t="b">
        <f aca="false">IFERROR(__xludf.dummyfunction("""COMPUTED_VALUE"""),TRUE())</f>
        <v>1</v>
      </c>
      <c r="AL477" s="53" t="b">
        <f aca="false">IFERROR(__xludf.dummyfunction("""COMPUTED_VALUE"""),TRUE())</f>
        <v>1</v>
      </c>
      <c r="AM477" s="35"/>
      <c r="AN477" s="35"/>
      <c r="AO477" s="46"/>
    </row>
    <row r="478" customFormat="false" ht="15.75" hidden="false" customHeight="true" outlineLevel="0" collapsed="false">
      <c r="A478" s="37" t="str">
        <f aca="false">IFERROR(__xludf.dummyfunction("""COMPUTED_VALUE"""),"Lịch sử")</f>
        <v>Lịch sử</v>
      </c>
      <c r="B478" s="37" t="str">
        <f aca="false">IFERROR(__xludf.dummyfunction("""COMPUTED_VALUE"""),"TOV_HSA_LS13")</f>
        <v>TOV_HSA_LS13</v>
      </c>
      <c r="C478" s="59" t="str">
        <f aca="false">IFERROR(__xludf.dummyfunction("""COMPUTED_VALUE"""),"Cách mạng tháng Tám năm 1945")</f>
        <v>Cách mạng tháng Tám năm 1945</v>
      </c>
      <c r="D478" s="39" t="str">
        <f aca="false">IFERROR(__xludf.dummyfunction("""COMPUTED_VALUE"""),"Dương Thị Huyền")</f>
        <v>Dương Thị Huyền</v>
      </c>
      <c r="E478" s="40" t="n">
        <f aca="false">IFERROR(__xludf.dummyfunction("""COMPUTED_VALUE"""),46290)</f>
        <v>46290</v>
      </c>
      <c r="F478" s="41" t="n">
        <f aca="false">IFERROR(__xludf.dummyfunction("""COMPUTED_VALUE"""),6)</f>
        <v>6</v>
      </c>
      <c r="G478" s="37" t="str">
        <f aca="false">IFERROR(__xludf.dummyfunction("""COMPUTED_VALUE"""),"21:30-23:30")</f>
        <v>21:30-23:30</v>
      </c>
      <c r="H478" s="37"/>
      <c r="I478" s="37"/>
      <c r="J478" s="37"/>
      <c r="K478" s="68" t="str">
        <f aca="false">IFERROR(__xludf.dummyfunction("""COMPUTED_VALUE"""),"Trinhntt")</f>
        <v>Trinhntt</v>
      </c>
      <c r="L478" s="68" t="str">
        <f aca="false">IFERROR(__xludf.dummyfunction("""COMPUTED_VALUE"""),"Phan Đức Kiên")</f>
        <v>Phan Đức Kiên</v>
      </c>
      <c r="M478" s="71"/>
      <c r="N478" s="77" t="str">
        <f aca="false">IFERROR(__xludf.dummyfunction("""COMPUTED_VALUE"""),"3122")</f>
        <v>3122</v>
      </c>
      <c r="O478" s="63" t="n">
        <f aca="false">IFERROR(__xludf.dummyfunction("""COMPUTED_VALUE"""),174740)</f>
        <v>174740</v>
      </c>
      <c r="P478" s="63"/>
      <c r="Q478" s="63"/>
      <c r="R478" s="41"/>
      <c r="S478" s="41"/>
      <c r="T478" s="63"/>
      <c r="U478" s="63"/>
      <c r="V478" s="70" t="n">
        <f aca="false">IFERROR(__xludf.dummyfunction("""COMPUTED_VALUE"""),46293)</f>
        <v>46293</v>
      </c>
      <c r="W478" s="39"/>
      <c r="X478" s="41" t="str">
        <f aca="false">IFERROR(__xludf.dummyfunction("""COMPUTED_VALUE"""),"Huent7")</f>
        <v>Huent7</v>
      </c>
      <c r="Y478" s="44"/>
      <c r="Z478" s="57" t="str">
        <f aca="false">IFERROR(__xludf.dummyfunction("""COMPUTED_VALUE"""),"#N/A")</f>
        <v>#N/A</v>
      </c>
      <c r="AA478" s="57"/>
      <c r="AB478" s="41"/>
      <c r="AC478" s="57" t="str">
        <f aca="false">IFERROR(__xludf.dummyfunction("""COMPUTED_VALUE"""),"gv.huyendt2@hocmai.edu.vn")</f>
        <v>gv.huyendt2@hocmai.edu.vn</v>
      </c>
      <c r="AD478" s="46" t="str">
        <f aca="false">IFERROR(__xludf.dummyfunction("""COMPUTED_VALUE"""),"duckien010607@gmail.com")</f>
        <v>duckien010607@gmail.com</v>
      </c>
      <c r="AE478" s="46"/>
      <c r="AF478" s="74" t="b">
        <f aca="false">IFERROR(__xludf.dummyfunction("""COMPUTED_VALUE"""),FALSE())</f>
        <v>0</v>
      </c>
      <c r="AG478" s="46" t="str">
        <f aca="false">IFERROR(__xludf.dummyfunction("""COMPUTED_VALUE"""),"")</f>
        <v/>
      </c>
      <c r="AH478" s="35"/>
      <c r="AI478" s="35"/>
      <c r="AJ478" s="53" t="b">
        <f aca="false">IFERROR(__xludf.dummyfunction("""COMPUTED_VALUE"""),TRUE())</f>
        <v>1</v>
      </c>
      <c r="AK478" s="53" t="b">
        <f aca="false">IFERROR(__xludf.dummyfunction("""COMPUTED_VALUE"""),TRUE())</f>
        <v>1</v>
      </c>
      <c r="AL478" s="35"/>
      <c r="AM478" s="35"/>
      <c r="AN478" s="35"/>
      <c r="AO478" s="46"/>
    </row>
    <row r="479" customFormat="false" ht="15.75" hidden="false" customHeight="true" outlineLevel="0" collapsed="false">
      <c r="A479" s="37" t="str">
        <f aca="false">IFERROR(__xludf.dummyfunction("""COMPUTED_VALUE"""),"Hóa học")</f>
        <v>Hóa học</v>
      </c>
      <c r="B479" s="37" t="str">
        <f aca="false">IFERROR(__xludf.dummyfunction("""COMPUTED_VALUE"""),"TOV_TSA_H08")</f>
        <v>TOV_TSA_H08</v>
      </c>
      <c r="C479" s="59" t="str">
        <f aca="false">IFERROR(__xludf.dummyfunction("""COMPUTED_VALUE"""),"Kim loại IA, IIA – Xử lí tình huống đời sống")</f>
        <v>Kim loại IA, IIA – Xử lí tình huống đời sống</v>
      </c>
      <c r="D479" s="39" t="str">
        <f aca="false">IFERROR(__xludf.dummyfunction("""COMPUTED_VALUE"""),"Vũ Khắc Ngọc")</f>
        <v>Vũ Khắc Ngọc</v>
      </c>
      <c r="E479" s="40" t="n">
        <f aca="false">IFERROR(__xludf.dummyfunction("""COMPUTED_VALUE"""),46291)</f>
        <v>46291</v>
      </c>
      <c r="F479" s="41" t="n">
        <f aca="false">IFERROR(__xludf.dummyfunction("""COMPUTED_VALUE"""),7)</f>
        <v>7</v>
      </c>
      <c r="G479" s="37" t="str">
        <f aca="false">IFERROR(__xludf.dummyfunction("""COMPUTED_VALUE"""),"21:30-23:30")</f>
        <v>21:30-23:30</v>
      </c>
      <c r="H479" s="37"/>
      <c r="I479" s="37"/>
      <c r="J479" s="37"/>
      <c r="K479" s="68" t="str">
        <f aca="false">IFERROR(__xludf.dummyfunction("""COMPUTED_VALUE"""),"Huebt")</f>
        <v>Huebt</v>
      </c>
      <c r="L479" s="68" t="str">
        <f aca="false">IFERROR(__xludf.dummyfunction("""COMPUTED_VALUE"""),"Bùi Vĩnh Thọ")</f>
        <v>Bùi Vĩnh Thọ</v>
      </c>
      <c r="M479" s="71"/>
      <c r="N479" s="77" t="str">
        <f aca="false">IFERROR(__xludf.dummyfunction("""COMPUTED_VALUE"""),"3110")</f>
        <v>3110</v>
      </c>
      <c r="O479" s="63" t="n">
        <f aca="false">IFERROR(__xludf.dummyfunction("""COMPUTED_VALUE"""),167274)</f>
        <v>167274</v>
      </c>
      <c r="P479" s="63"/>
      <c r="Q479" s="63"/>
      <c r="R479" s="41"/>
      <c r="S479" s="41"/>
      <c r="T479" s="63"/>
      <c r="U479" s="63" t="n">
        <f aca="false">IFERROR(__xludf.dummyfunction("""COMPUTED_VALUE"""),10606)</f>
        <v>10606</v>
      </c>
      <c r="V479" s="70" t="n">
        <f aca="false">IFERROR(__xludf.dummyfunction("""COMPUTED_VALUE"""),46294)</f>
        <v>46294</v>
      </c>
      <c r="W479" s="39"/>
      <c r="X479" s="41" t="str">
        <f aca="false">IFERROR(__xludf.dummyfunction("""COMPUTED_VALUE"""),"Huebt")</f>
        <v>Huebt</v>
      </c>
      <c r="Y479" s="44" t="str">
        <f aca="false">IFERROR(__xludf.dummyfunction("""COMPUTED_VALUE"""),"done")</f>
        <v>done</v>
      </c>
      <c r="Z479" s="57" t="str">
        <f aca="false">IFERROR(__xludf.dummyfunction("""COMPUTED_VALUE"""),"#N/A")</f>
        <v>#N/A</v>
      </c>
      <c r="AA479" s="57"/>
      <c r="AB479" s="41" t="n">
        <f aca="false">IFERROR(__xludf.dummyfunction("""COMPUTED_VALUE"""),9)</f>
        <v>9</v>
      </c>
      <c r="AC479" s="57" t="str">
        <f aca="false">IFERROR(__xludf.dummyfunction("""COMPUTED_VALUE"""),"gv.ngocvk@hocmai.edu.vn")</f>
        <v>gv.ngocvk@hocmai.edu.vn</v>
      </c>
      <c r="AD479" s="46" t="str">
        <f aca="false">IFERROR(__xludf.dummyfunction("""COMPUTED_VALUE"""),"vinhtho0704@gmail.com")</f>
        <v>vinhtho0704@gmail.com</v>
      </c>
      <c r="AE479" s="46"/>
      <c r="AF479" s="74" t="b">
        <f aca="false">IFERROR(__xludf.dummyfunction("""COMPUTED_VALUE"""),FALSE())</f>
        <v>0</v>
      </c>
      <c r="AG479" s="46" t="str">
        <f aca="false">IFERROR(__xludf.dummyfunction("""COMPUTED_VALUE"""),"")</f>
        <v/>
      </c>
      <c r="AH479" s="35"/>
      <c r="AI479" s="53" t="b">
        <f aca="false">IFERROR(__xludf.dummyfunction("""COMPUTED_VALUE"""),TRUE())</f>
        <v>1</v>
      </c>
      <c r="AJ479" s="35"/>
      <c r="AK479" s="35"/>
      <c r="AL479" s="35"/>
      <c r="AM479" s="35"/>
      <c r="AN479" s="35"/>
      <c r="AO479" s="46"/>
    </row>
    <row r="480" customFormat="false" ht="15.75" hidden="false" customHeight="true" outlineLevel="0" collapsed="false">
      <c r="A480" s="37" t="str">
        <f aca="false">IFERROR(__xludf.dummyfunction("""COMPUTED_VALUE"""),"Khoa học")</f>
        <v>Khoa học</v>
      </c>
      <c r="B480" s="37" t="str">
        <f aca="false">IFERROR(__xludf.dummyfunction("""COMPUTED_VALUE"""),"TOS_V-ACT_KH15")</f>
        <v>TOS_V-ACT_KH15</v>
      </c>
      <c r="C480" s="59" t="str">
        <f aca="false">IFERROR(__xludf.dummyfunction("""COMPUTED_VALUE"""),"Thực hành truy tìm bằng chứng cho câu hỏi không có sẵn thông tin (P1).")</f>
        <v>Thực hành truy tìm bằng chứng cho câu hỏi không có sẵn thông tin (P1).</v>
      </c>
      <c r="D480" s="39" t="str">
        <f aca="false">IFERROR(__xludf.dummyfunction("""COMPUTED_VALUE"""),"Lê Văn Minh")</f>
        <v>Lê Văn Minh</v>
      </c>
      <c r="E480" s="40" t="n">
        <f aca="false">IFERROR(__xludf.dummyfunction("""COMPUTED_VALUE"""),46291)</f>
        <v>46291</v>
      </c>
      <c r="F480" s="41" t="n">
        <f aca="false">IFERROR(__xludf.dummyfunction("""COMPUTED_VALUE"""),7)</f>
        <v>7</v>
      </c>
      <c r="G480" s="37" t="str">
        <f aca="false">IFERROR(__xludf.dummyfunction("""COMPUTED_VALUE"""),"20:30-22:00")</f>
        <v>20:30-22:00</v>
      </c>
      <c r="H480" s="37"/>
      <c r="I480" s="37"/>
      <c r="J480" s="37"/>
      <c r="K480" s="68" t="str">
        <f aca="false">IFERROR(__xludf.dummyfunction("""COMPUTED_VALUE"""),"Kimnq")</f>
        <v>Kimnq</v>
      </c>
      <c r="L480" s="68" t="str">
        <f aca="false">IFERROR(__xludf.dummyfunction("""COMPUTED_VALUE"""),"Lê Quốc Việt")</f>
        <v>Lê Quốc Việt</v>
      </c>
      <c r="M480" s="71"/>
      <c r="N480" s="77" t="str">
        <f aca="false">IFERROR(__xludf.dummyfunction("""COMPUTED_VALUE"""),"3340,3126")</f>
        <v>3340,3126</v>
      </c>
      <c r="O480" s="73" t="n">
        <f aca="false">IFERROR(__xludf.dummyfunction("""COMPUTED_VALUE"""),167506.167393)</f>
        <v>167506.167393</v>
      </c>
      <c r="P480" s="63"/>
      <c r="Q480" s="63"/>
      <c r="R480" s="41"/>
      <c r="S480" s="41"/>
      <c r="T480" s="63"/>
      <c r="U480" s="63"/>
      <c r="V480" s="70" t="n">
        <f aca="false">IFERROR(__xludf.dummyfunction("""COMPUTED_VALUE"""),46294)</f>
        <v>46294</v>
      </c>
      <c r="W480" s="39"/>
      <c r="X480" s="41" t="str">
        <f aca="false">IFERROR(__xludf.dummyfunction("""COMPUTED_VALUE"""),"Kimnq")</f>
        <v>Kimnq</v>
      </c>
      <c r="Y480" s="44" t="str">
        <f aca="false">IFERROR(__xludf.dummyfunction("""COMPUTED_VALUE"""),"done")</f>
        <v>done</v>
      </c>
      <c r="Z480" s="57" t="str">
        <f aca="false">IFERROR(__xludf.dummyfunction("""COMPUTED_VALUE"""),"#N/A")</f>
        <v>#N/A</v>
      </c>
      <c r="AA480" s="57"/>
      <c r="AB480" s="41" t="n">
        <f aca="false">IFERROR(__xludf.dummyfunction("""COMPUTED_VALUE"""),9)</f>
        <v>9</v>
      </c>
      <c r="AC480" s="57" t="str">
        <f aca="false">IFERROR(__xludf.dummyfunction("""COMPUTED_VALUE"""),"gv.minhlv@hocmai.edu.vn		")</f>
        <v>gv.minhlv@hocmai.edu.vn		</v>
      </c>
      <c r="AD480" s="46" t="str">
        <f aca="false">IFERROR(__xludf.dummyfunction("""COMPUTED_VALUE"""),"Ralph02091@gmail.com")</f>
        <v>Ralph02091@gmail.com</v>
      </c>
      <c r="AE480" s="46"/>
      <c r="AF480" s="47" t="str">
        <f aca="false">IFERROR(__xludf.dummyfunction("""COMPUTED_VALUE"""),"lophoctoan-946291")</f>
        <v>lophoctoan-946291</v>
      </c>
      <c r="AG480" s="46" t="str">
        <f aca="false">IFERROR(__xludf.dummyfunction("""COMPUTED_VALUE"""),"")</f>
        <v/>
      </c>
      <c r="AH480" s="35"/>
      <c r="AI480" s="35"/>
      <c r="AJ480" s="35"/>
      <c r="AK480" s="35"/>
      <c r="AL480" s="35"/>
      <c r="AM480" s="53" t="b">
        <f aca="false">IFERROR(__xludf.dummyfunction("""COMPUTED_VALUE"""),TRUE())</f>
        <v>1</v>
      </c>
      <c r="AN480" s="53" t="b">
        <f aca="false">IFERROR(__xludf.dummyfunction("""COMPUTED_VALUE"""),TRUE())</f>
        <v>1</v>
      </c>
      <c r="AO480" s="46"/>
    </row>
    <row r="481" customFormat="false" ht="15.75" hidden="false" customHeight="true" outlineLevel="0" collapsed="false">
      <c r="A481" s="37" t="str">
        <f aca="false">IFERROR(__xludf.dummyfunction("""COMPUTED_VALUE"""),"Toán")</f>
        <v>Toán</v>
      </c>
      <c r="B481" s="37" t="str">
        <f aca="false">IFERROR(__xludf.dummyfunction("""COMPUTED_VALUE"""),"NT_N_24")</f>
        <v>NT_N_24</v>
      </c>
      <c r="C481" s="59" t="str">
        <f aca="false">IFERROR(__xludf.dummyfunction("""COMPUTED_VALUE"""),"Ứng dụng tích phân trong các bài toán thực tế (P1)")</f>
        <v>Ứng dụng tích phân trong các bài toán thực tế (P1)</v>
      </c>
      <c r="D481" s="39" t="str">
        <f aca="false">IFERROR(__xludf.dummyfunction("""COMPUTED_VALUE"""),"Nguyễn Hoài Nam")</f>
        <v>Nguyễn Hoài Nam</v>
      </c>
      <c r="E481" s="40" t="n">
        <f aca="false">IFERROR(__xludf.dummyfunction("""COMPUTED_VALUE"""),46292)</f>
        <v>46292</v>
      </c>
      <c r="F481" s="41" t="str">
        <f aca="false">IFERROR(__xludf.dummyfunction("""COMPUTED_VALUE"""),"CN")</f>
        <v>CN</v>
      </c>
      <c r="G481" s="37" t="str">
        <f aca="false">IFERROR(__xludf.dummyfunction("""COMPUTED_VALUE"""),"21:00-22:30")</f>
        <v>21:00-22:30</v>
      </c>
      <c r="H481" s="37"/>
      <c r="I481" s="37"/>
      <c r="J481" s="37"/>
      <c r="K481" s="68" t="str">
        <f aca="false">IFERROR(__xludf.dummyfunction("""COMPUTED_VALUE"""),"lent")</f>
        <v>lent</v>
      </c>
      <c r="L481" s="68" t="str">
        <f aca="false">IFERROR(__xludf.dummyfunction("""COMPUTED_VALUE"""),"Tưởng Thị Huyền Trang")</f>
        <v>Tưởng Thị Huyền Trang</v>
      </c>
      <c r="M481" s="69" t="str">
        <f aca="false">IFERROR(__xludf.dummyfunction("""COMPUTED_VALUE"""),"https://hocmai.sharepoint.com/Education_Development/Lists/San_xuat_video/DispForm.aspx?ID=12211")</f>
        <v>https://hocmai.sharepoint.com/Education_Development/Lists/San_xuat_video/DispForm.aspx?ID=12211</v>
      </c>
      <c r="N481" s="78" t="n">
        <f aca="false">IFERROR(__xludf.dummyfunction("""COMPUTED_VALUE"""),3313)</f>
        <v>3313</v>
      </c>
      <c r="O481" s="63" t="n">
        <f aca="false">IFERROR(__xludf.dummyfunction("""COMPUTED_VALUE"""),166648)</f>
        <v>166648</v>
      </c>
      <c r="P481" s="63"/>
      <c r="Q481" s="63" t="n">
        <f aca="false">IFERROR(__xludf.dummyfunction("""COMPUTED_VALUE"""),8047)</f>
        <v>8047</v>
      </c>
      <c r="R481" s="41"/>
      <c r="S481" s="41"/>
      <c r="T481" s="63" t="n">
        <f aca="false">IFERROR(__xludf.dummyfunction("""COMPUTED_VALUE"""),8048)</f>
        <v>8048</v>
      </c>
      <c r="U481" s="63"/>
      <c r="V481" s="70" t="n">
        <f aca="false">IFERROR(__xludf.dummyfunction("""COMPUTED_VALUE"""),46294)</f>
        <v>46294</v>
      </c>
      <c r="W481" s="39"/>
      <c r="X481" s="41" t="str">
        <f aca="false">IFERROR(__xludf.dummyfunction("""COMPUTED_VALUE"""),"Huent7")</f>
        <v>Huent7</v>
      </c>
      <c r="Y481" s="44"/>
      <c r="Z481" s="57"/>
      <c r="AA481" s="57"/>
      <c r="AB481" s="41" t="n">
        <f aca="false">IFERROR(__xludf.dummyfunction("""COMPUTED_VALUE"""),9)</f>
        <v>9</v>
      </c>
      <c r="AC481" s="57"/>
      <c r="AD481" s="46"/>
      <c r="AE481" s="46"/>
      <c r="AF481" s="47" t="str">
        <f aca="false">IFERROR(__xludf.dummyfunction("""COMPUTED_VALUE"""),"lophoctoan-946292")</f>
        <v>lophoctoan-946292</v>
      </c>
      <c r="AG481" s="46" t="str">
        <f aca="false">IFERROR(__xludf.dummyfunction("""COMPUTED_VALUE"""),"")</f>
        <v/>
      </c>
      <c r="AH481" s="53" t="b">
        <f aca="false">IFERROR(__xludf.dummyfunction("""COMPUTED_VALUE"""),TRUE())</f>
        <v>1</v>
      </c>
      <c r="AI481" s="35"/>
      <c r="AJ481" s="35"/>
      <c r="AK481" s="35"/>
      <c r="AL481" s="35"/>
      <c r="AM481" s="35"/>
      <c r="AN481" s="35"/>
      <c r="AO481" s="46"/>
    </row>
    <row r="482" customFormat="false" ht="15.75" hidden="false" customHeight="true" outlineLevel="0" collapsed="false">
      <c r="A482" s="37" t="str">
        <f aca="false">IFERROR(__xludf.dummyfunction("""COMPUTED_VALUE"""),"Toán")</f>
        <v>Toán</v>
      </c>
      <c r="B482" s="37" t="str">
        <f aca="false">IFERROR(__xludf.dummyfunction("""COMPUTED_VALUE"""),"NT_T_40")</f>
        <v>NT_T_40</v>
      </c>
      <c r="C482" s="59" t="str">
        <f aca="false">IFERROR(__xludf.dummyfunction("""COMPUTED_VALUE"""),"Phương pháp viết phương trình đường thẳng và mặt cầu")</f>
        <v>Phương pháp viết phương trình đường thẳng và mặt cầu</v>
      </c>
      <c r="D482" s="39" t="str">
        <f aca="false">IFERROR(__xludf.dummyfunction("""COMPUTED_VALUE"""),"Nguyễn Thanh Tùng")</f>
        <v>Nguyễn Thanh Tùng</v>
      </c>
      <c r="E482" s="40" t="n">
        <f aca="false">IFERROR(__xludf.dummyfunction("""COMPUTED_VALUE"""),46292)</f>
        <v>46292</v>
      </c>
      <c r="F482" s="41" t="str">
        <f aca="false">IFERROR(__xludf.dummyfunction("""COMPUTED_VALUE"""),"CN")</f>
        <v>CN</v>
      </c>
      <c r="G482" s="37" t="str">
        <f aca="false">IFERROR(__xludf.dummyfunction("""COMPUTED_VALUE"""),"18:00-20:00")</f>
        <v>18:00-20:00</v>
      </c>
      <c r="H482" s="37"/>
      <c r="I482" s="37"/>
      <c r="J482" s="62"/>
      <c r="K482" s="68" t="str">
        <f aca="false">IFERROR(__xludf.dummyfunction("""COMPUTED_VALUE"""),"Khanhnl")</f>
        <v>Khanhnl</v>
      </c>
      <c r="L482" s="68" t="str">
        <f aca="false">IFERROR(__xludf.dummyfunction("""COMPUTED_VALUE"""),"Tưởng Thị Huyền Trang")</f>
        <v>Tưởng Thị Huyền Trang</v>
      </c>
      <c r="M482" s="69" t="str">
        <f aca="false">IFERROR(__xludf.dummyfunction("""COMPUTED_VALUE"""),"https://hocmai.sharepoint.com/Education_Development/Lists/San_xuat_video/DispForm.aspx?ID=12179")</f>
        <v>https://hocmai.sharepoint.com/Education_Development/Lists/San_xuat_video/DispForm.aspx?ID=12179</v>
      </c>
      <c r="N482" s="63" t="n">
        <f aca="false">IFERROR(__xludf.dummyfunction("""COMPUTED_VALUE"""),3312)</f>
        <v>3312</v>
      </c>
      <c r="O482" s="63" t="n">
        <f aca="false">IFERROR(__xludf.dummyfunction("""COMPUTED_VALUE"""),166573)</f>
        <v>166573</v>
      </c>
      <c r="P482" s="63"/>
      <c r="Q482" s="63" t="n">
        <f aca="false">IFERROR(__xludf.dummyfunction("""COMPUTED_VALUE"""),7963)</f>
        <v>7963</v>
      </c>
      <c r="R482" s="41"/>
      <c r="S482" s="41"/>
      <c r="T482" s="63" t="n">
        <f aca="false">IFERROR(__xludf.dummyfunction("""COMPUTED_VALUE"""),7964)</f>
        <v>7964</v>
      </c>
      <c r="U482" s="63"/>
      <c r="V482" s="70" t="n">
        <f aca="false">IFERROR(__xludf.dummyfunction("""COMPUTED_VALUE"""),46302)</f>
        <v>46302</v>
      </c>
      <c r="W482" s="39"/>
      <c r="X482" s="41" t="str">
        <f aca="false">IFERROR(__xludf.dummyfunction("""COMPUTED_VALUE"""),"Huent7")</f>
        <v>Huent7</v>
      </c>
      <c r="Y482" s="44"/>
      <c r="Z482" s="57"/>
      <c r="AA482" s="57"/>
      <c r="AB482" s="41" t="n">
        <f aca="false">IFERROR(__xludf.dummyfunction("""COMPUTED_VALUE"""),9)</f>
        <v>9</v>
      </c>
      <c r="AC482" s="57"/>
      <c r="AD482" s="46"/>
      <c r="AE482" s="46"/>
      <c r="AF482" s="47" t="str">
        <f aca="false">IFERROR(__xludf.dummyfunction("""COMPUTED_VALUE"""),"lophoctoan-946292")</f>
        <v>lophoctoan-946292</v>
      </c>
      <c r="AG482" s="46" t="str">
        <f aca="false">IFERROR(__xludf.dummyfunction("""COMPUTED_VALUE"""),"")</f>
        <v/>
      </c>
      <c r="AH482" s="53" t="b">
        <f aca="false">IFERROR(__xludf.dummyfunction("""COMPUTED_VALUE"""),TRUE())</f>
        <v>1</v>
      </c>
      <c r="AI482" s="35"/>
      <c r="AJ482" s="35"/>
      <c r="AK482" s="35"/>
      <c r="AL482" s="35"/>
      <c r="AM482" s="35"/>
      <c r="AN482" s="35"/>
      <c r="AO482" s="46"/>
    </row>
    <row r="483" customFormat="false" ht="15.75" hidden="false" customHeight="true" outlineLevel="0" collapsed="false">
      <c r="A483" s="37" t="str">
        <f aca="false">IFERROR(__xludf.dummyfunction("""COMPUTED_VALUE"""),"Đọc hiểu")</f>
        <v>Đọc hiểu</v>
      </c>
      <c r="B483" s="37" t="str">
        <f aca="false">IFERROR(__xludf.dummyfunction("""COMPUTED_VALUE"""),"TOV_TSA_DH16")</f>
        <v>TOV_TSA_DH16</v>
      </c>
      <c r="C483" s="59" t="str">
        <f aca="false">IFERROR(__xludf.dummyfunction("""COMPUTED_VALUE"""),"Luyện tập xử lý dạng câu hỏi điền từ và kéo thả")</f>
        <v>Luyện tập xử lý dạng câu hỏi điền từ và kéo thả</v>
      </c>
      <c r="D483" s="39" t="str">
        <f aca="false">IFERROR(__xludf.dummyfunction("""COMPUTED_VALUE"""),"Vũ Khắc Ngọc")</f>
        <v>Vũ Khắc Ngọc</v>
      </c>
      <c r="E483" s="40" t="n">
        <f aca="false">IFERROR(__xludf.dummyfunction("""COMPUTED_VALUE"""),46293)</f>
        <v>46293</v>
      </c>
      <c r="F483" s="41" t="n">
        <f aca="false">IFERROR(__xludf.dummyfunction("""COMPUTED_VALUE"""),2)</f>
        <v>2</v>
      </c>
      <c r="G483" s="37" t="str">
        <f aca="false">IFERROR(__xludf.dummyfunction("""COMPUTED_VALUE"""),"21:30-23:30")</f>
        <v>21:30-23:30</v>
      </c>
      <c r="H483" s="37"/>
      <c r="I483" s="37"/>
      <c r="J483" s="37"/>
      <c r="K483" s="68" t="str">
        <f aca="false">IFERROR(__xludf.dummyfunction("""COMPUTED_VALUE"""),"Hangvt3")</f>
        <v>Hangvt3</v>
      </c>
      <c r="L483" s="68" t="str">
        <f aca="false">IFERROR(__xludf.dummyfunction("""COMPUTED_VALUE"""),"Phan Đức Kiên")</f>
        <v>Phan Đức Kiên</v>
      </c>
      <c r="M483" s="71"/>
      <c r="N483" s="77" t="str">
        <f aca="false">IFERROR(__xludf.dummyfunction("""COMPUTED_VALUE"""),"3109")</f>
        <v>3109</v>
      </c>
      <c r="O483" s="63" t="n">
        <f aca="false">IFERROR(__xludf.dummyfunction("""COMPUTED_VALUE"""),167239)</f>
        <v>167239</v>
      </c>
      <c r="P483" s="63"/>
      <c r="Q483" s="63"/>
      <c r="R483" s="41"/>
      <c r="S483" s="41"/>
      <c r="T483" s="63"/>
      <c r="U483" s="63"/>
      <c r="V483" s="70" t="n">
        <f aca="false">IFERROR(__xludf.dummyfunction("""COMPUTED_VALUE"""),46296)</f>
        <v>46296</v>
      </c>
      <c r="W483" s="39"/>
      <c r="X483" s="41" t="str">
        <f aca="false">IFERROR(__xludf.dummyfunction("""COMPUTED_VALUE"""),"Huent7")</f>
        <v>Huent7</v>
      </c>
      <c r="Y483" s="44" t="str">
        <f aca="false">IFERROR(__xludf.dummyfunction("""COMPUTED_VALUE"""),"done")</f>
        <v>done</v>
      </c>
      <c r="Z483" s="57" t="str">
        <f aca="false">IFERROR(__xludf.dummyfunction("""COMPUTED_VALUE"""),"#N/A")</f>
        <v>#N/A</v>
      </c>
      <c r="AA483" s="57"/>
      <c r="AB483" s="41" t="n">
        <f aca="false">IFERROR(__xludf.dummyfunction("""COMPUTED_VALUE"""),9)</f>
        <v>9</v>
      </c>
      <c r="AC483" s="57" t="str">
        <f aca="false">IFERROR(__xludf.dummyfunction("""COMPUTED_VALUE"""),"gv.ngocvk@hocmai.edu.vn")</f>
        <v>gv.ngocvk@hocmai.edu.vn</v>
      </c>
      <c r="AD483" s="46" t="str">
        <f aca="false">IFERROR(__xludf.dummyfunction("""COMPUTED_VALUE"""),"duckien010607@gmail.com")</f>
        <v>duckien010607@gmail.com</v>
      </c>
      <c r="AE483" s="46"/>
      <c r="AF483" s="47" t="str">
        <f aca="false">IFERROR(__xludf.dummyfunction("""COMPUTED_VALUE"""),"lophoctoan-946293")</f>
        <v>lophoctoan-946293</v>
      </c>
      <c r="AG483" s="46" t="str">
        <f aca="false">IFERROR(__xludf.dummyfunction("""COMPUTED_VALUE"""),"")</f>
        <v/>
      </c>
      <c r="AH483" s="35"/>
      <c r="AI483" s="53" t="b">
        <f aca="false">IFERROR(__xludf.dummyfunction("""COMPUTED_VALUE"""),TRUE())</f>
        <v>1</v>
      </c>
      <c r="AJ483" s="35"/>
      <c r="AK483" s="35"/>
      <c r="AL483" s="35"/>
      <c r="AM483" s="35"/>
      <c r="AN483" s="35"/>
      <c r="AO483" s="46"/>
    </row>
    <row r="484" customFormat="false" ht="15.75" hidden="false" customHeight="true" outlineLevel="0" collapsed="false">
      <c r="A484" s="37" t="str">
        <f aca="false">IFERROR(__xludf.dummyfunction("""COMPUTED_VALUE"""),"Hóa học")</f>
        <v>Hóa học</v>
      </c>
      <c r="B484" s="37" t="str">
        <f aca="false">IFERROR(__xludf.dummyfunction("""COMPUTED_VALUE"""),"TOV_HT_HH16")</f>
        <v>TOV_HT_HH16</v>
      </c>
      <c r="C484" s="59" t="str">
        <f aca="false">IFERROR(__xludf.dummyfunction("""COMPUTED_VALUE"""),"Polymer – vật liệu polymer")</f>
        <v>Polymer – vật liệu polymer</v>
      </c>
      <c r="D484" s="39" t="str">
        <f aca="false">IFERROR(__xludf.dummyfunction("""COMPUTED_VALUE"""),"Chu Hải Long")</f>
        <v>Chu Hải Long</v>
      </c>
      <c r="E484" s="40" t="n">
        <f aca="false">IFERROR(__xludf.dummyfunction("""COMPUTED_VALUE"""),46293)</f>
        <v>46293</v>
      </c>
      <c r="F484" s="41" t="n">
        <f aca="false">IFERROR(__xludf.dummyfunction("""COMPUTED_VALUE"""),2)</f>
        <v>2</v>
      </c>
      <c r="G484" s="37" t="str">
        <f aca="false">IFERROR(__xludf.dummyfunction("""COMPUTED_VALUE"""),"19:45-21:45")</f>
        <v>19:45-21:45</v>
      </c>
      <c r="H484" s="37"/>
      <c r="I484" s="37"/>
      <c r="J484" s="37"/>
      <c r="K484" s="68" t="str">
        <f aca="false">IFERROR(__xludf.dummyfunction("""COMPUTED_VALUE"""),"Huebt")</f>
        <v>Huebt</v>
      </c>
      <c r="L484" s="68" t="str">
        <f aca="false">IFERROR(__xludf.dummyfunction("""COMPUTED_VALUE"""),"Võ Hương Giang")</f>
        <v>Võ Hương Giang</v>
      </c>
      <c r="M484" s="71"/>
      <c r="N484" s="77" t="str">
        <f aca="false">IFERROR(__xludf.dummyfunction("""COMPUTED_VALUE"""),"3120,3131")</f>
        <v>3120,3131</v>
      </c>
      <c r="O484" s="63" t="str">
        <f aca="false">IFERROR(__xludf.dummyfunction("""COMPUTED_VALUE"""),"167440,167452")</f>
        <v>167440,167452</v>
      </c>
      <c r="P484" s="63" t="str">
        <f aca="false">IFERROR(__xludf.dummyfunction("""COMPUTED_VALUE"""),"9032,9040,9021")</f>
        <v>9032,9040,9021</v>
      </c>
      <c r="Q484" s="63"/>
      <c r="R484" s="41"/>
      <c r="S484" s="41"/>
      <c r="T484" s="63"/>
      <c r="U484" s="63" t="n">
        <f aca="false">IFERROR(__xludf.dummyfunction("""COMPUTED_VALUE"""),10493)</f>
        <v>10493</v>
      </c>
      <c r="V484" s="70" t="n">
        <f aca="false">IFERROR(__xludf.dummyfunction("""COMPUTED_VALUE"""),46296)</f>
        <v>46296</v>
      </c>
      <c r="W484" s="39"/>
      <c r="X484" s="41" t="str">
        <f aca="false">IFERROR(__xludf.dummyfunction("""COMPUTED_VALUE"""),"Huebt")</f>
        <v>Huebt</v>
      </c>
      <c r="Y484" s="44"/>
      <c r="Z484" s="57" t="str">
        <f aca="false">IFERROR(__xludf.dummyfunction("""COMPUTED_VALUE"""),"#N/A")</f>
        <v>#N/A</v>
      </c>
      <c r="AA484" s="57"/>
      <c r="AB484" s="41" t="n">
        <f aca="false">IFERROR(__xludf.dummyfunction("""COMPUTED_VALUE"""),9)</f>
        <v>9</v>
      </c>
      <c r="AC484" s="57" t="str">
        <f aca="false">IFERROR(__xludf.dummyfunction("""COMPUTED_VALUE"""),"gv.longch@hocmai.edu.vn")</f>
        <v>gv.longch@hocmai.edu.vn</v>
      </c>
      <c r="AD484" s="46" t="str">
        <f aca="false">IFERROR(__xludf.dummyfunction("""COMPUTED_VALUE"""),"giangvh@ctv.hocmai.vn")</f>
        <v>giangvh@ctv.hocmai.vn</v>
      </c>
      <c r="AE484" s="46"/>
      <c r="AF484" s="74" t="b">
        <f aca="false">IFERROR(__xludf.dummyfunction("""COMPUTED_VALUE"""),FALSE())</f>
        <v>0</v>
      </c>
      <c r="AG484" s="46" t="str">
        <f aca="false">IFERROR(__xludf.dummyfunction("""COMPUTED_VALUE"""),"")</f>
        <v/>
      </c>
      <c r="AH484" s="35"/>
      <c r="AI484" s="35"/>
      <c r="AJ484" s="53" t="b">
        <f aca="false">IFERROR(__xludf.dummyfunction("""COMPUTED_VALUE"""),TRUE())</f>
        <v>1</v>
      </c>
      <c r="AK484" s="53" t="b">
        <f aca="false">IFERROR(__xludf.dummyfunction("""COMPUTED_VALUE"""),TRUE())</f>
        <v>1</v>
      </c>
      <c r="AL484" s="53" t="b">
        <f aca="false">IFERROR(__xludf.dummyfunction("""COMPUTED_VALUE"""),TRUE())</f>
        <v>1</v>
      </c>
      <c r="AM484" s="35"/>
      <c r="AN484" s="35"/>
      <c r="AO484" s="46"/>
    </row>
    <row r="485" customFormat="false" ht="15.75" hidden="false" customHeight="true" outlineLevel="0" collapsed="false">
      <c r="A485" s="37" t="str">
        <f aca="false">IFERROR(__xludf.dummyfunction("""COMPUTED_VALUE"""),"Toán")</f>
        <v>Toán</v>
      </c>
      <c r="B485" s="37" t="str">
        <f aca="false">IFERROR(__xludf.dummyfunction("""COMPUTED_VALUE"""),"TOV_TC_T15")</f>
        <v>TOV_TC_T15</v>
      </c>
      <c r="C485" s="59" t="str">
        <f aca="false">IFERROR(__xludf.dummyfunction("""COMPUTED_VALUE"""),"Nguyên hàm, tích phân và phương pháp tính")</f>
        <v>Nguyên hàm, tích phân và phương pháp tính</v>
      </c>
      <c r="D485" s="39" t="str">
        <f aca="false">IFERROR(__xludf.dummyfunction("""COMPUTED_VALUE"""),"Nguyễn Thanh Tùng")</f>
        <v>Nguyễn Thanh Tùng</v>
      </c>
      <c r="E485" s="40" t="n">
        <f aca="false">IFERROR(__xludf.dummyfunction("""COMPUTED_VALUE"""),46294)</f>
        <v>46294</v>
      </c>
      <c r="F485" s="41" t="n">
        <f aca="false">IFERROR(__xludf.dummyfunction("""COMPUTED_VALUE"""),3)</f>
        <v>3</v>
      </c>
      <c r="G485" s="37" t="str">
        <f aca="false">IFERROR(__xludf.dummyfunction("""COMPUTED_VALUE"""),"21:00-23:00")</f>
        <v>21:00-23:00</v>
      </c>
      <c r="H485" s="37"/>
      <c r="I485" s="37"/>
      <c r="J485" s="37"/>
      <c r="K485" s="68" t="str">
        <f aca="false">IFERROR(__xludf.dummyfunction("""COMPUTED_VALUE"""),"Lent")</f>
        <v>Lent</v>
      </c>
      <c r="L485" s="68" t="str">
        <f aca="false">IFERROR(__xludf.dummyfunction("""COMPUTED_VALUE"""),"Tưởng Thị Huyền Trang")</f>
        <v>Tưởng Thị Huyền Trang</v>
      </c>
      <c r="M485" s="71"/>
      <c r="N485" s="77" t="str">
        <f aca="false">IFERROR(__xludf.dummyfunction("""COMPUTED_VALUE"""),"3108,3117,3315,3127,3314")</f>
        <v>3108,3117,3315,3127,3314</v>
      </c>
      <c r="O485" s="63" t="str">
        <f aca="false">IFERROR(__xludf.dummyfunction("""COMPUTED_VALUE"""),"168384, 168599, 168340, 167473, 167073")</f>
        <v>168384, 168599, 168340, 167473, 167073</v>
      </c>
      <c r="P485" s="63" t="str">
        <f aca="false">IFERROR(__xludf.dummyfunction("""COMPUTED_VALUE"""),"9025,9028,9036,9104,9106,9017,9102")</f>
        <v>9025,9028,9036,9104,9106,9017,9102</v>
      </c>
      <c r="Q485" s="63" t="n">
        <f aca="false">IFERROR(__xludf.dummyfunction("""COMPUTED_VALUE"""),167073)</f>
        <v>167073</v>
      </c>
      <c r="R485" s="41"/>
      <c r="S485" s="41"/>
      <c r="T485" s="63"/>
      <c r="U485" s="63"/>
      <c r="V485" s="70" t="n">
        <f aca="false">IFERROR(__xludf.dummyfunction("""COMPUTED_VALUE"""),46297)</f>
        <v>46297</v>
      </c>
      <c r="W485" s="39"/>
      <c r="X485" s="41" t="str">
        <f aca="false">IFERROR(__xludf.dummyfunction("""COMPUTED_VALUE"""),"Lent")</f>
        <v>Lent</v>
      </c>
      <c r="Y485" s="44" t="str">
        <f aca="false">IFERROR(__xludf.dummyfunction("""COMPUTED_VALUE"""),"done")</f>
        <v>done</v>
      </c>
      <c r="Z485" s="57" t="str">
        <f aca="false">IFERROR(__xludf.dummyfunction("""COMPUTED_VALUE"""),"#N/A")</f>
        <v>#N/A</v>
      </c>
      <c r="AA485" s="57"/>
      <c r="AB485" s="41" t="n">
        <f aca="false">IFERROR(__xludf.dummyfunction("""COMPUTED_VALUE"""),9)</f>
        <v>9</v>
      </c>
      <c r="AC485" s="57" t="str">
        <f aca="false">IFERROR(__xludf.dummyfunction("""COMPUTED_VALUE"""),"gv.tungnt@hocmai.edu.vn ")</f>
        <v>gv.tungnt@hocmai.edu.vn </v>
      </c>
      <c r="AD485" s="46" t="str">
        <f aca="false">IFERROR(__xludf.dummyfunction("""COMPUTED_VALUE"""),"trangcrazy699@gmail.com")</f>
        <v>trangcrazy699@gmail.com</v>
      </c>
      <c r="AE485" s="46"/>
      <c r="AF485" s="47" t="str">
        <f aca="false">IFERROR(__xludf.dummyfunction("""COMPUTED_VALUE"""),"lophoctoan-946294")</f>
        <v>lophoctoan-946294</v>
      </c>
      <c r="AG485" s="46" t="str">
        <f aca="false">IFERROR(__xludf.dummyfunction("""COMPUTED_VALUE"""),"")</f>
        <v/>
      </c>
      <c r="AH485" s="35"/>
      <c r="AI485" s="53" t="b">
        <f aca="false">IFERROR(__xludf.dummyfunction("""COMPUTED_VALUE"""),TRUE())</f>
        <v>1</v>
      </c>
      <c r="AJ485" s="53" t="b">
        <f aca="false">IFERROR(__xludf.dummyfunction("""COMPUTED_VALUE"""),TRUE())</f>
        <v>1</v>
      </c>
      <c r="AK485" s="53" t="b">
        <f aca="false">IFERROR(__xludf.dummyfunction("""COMPUTED_VALUE"""),TRUE())</f>
        <v>1</v>
      </c>
      <c r="AL485" s="53" t="b">
        <f aca="false">IFERROR(__xludf.dummyfunction("""COMPUTED_VALUE"""),TRUE())</f>
        <v>1</v>
      </c>
      <c r="AM485" s="35"/>
      <c r="AN485" s="35"/>
      <c r="AO485" s="46"/>
    </row>
    <row r="486" customFormat="false" ht="15.75" hidden="false" customHeight="true" outlineLevel="0" collapsed="false">
      <c r="A486" s="37" t="str">
        <f aca="false">IFERROR(__xludf.dummyfunction("""COMPUTED_VALUE"""),"Tiếng Việt")</f>
        <v>Tiếng Việt</v>
      </c>
      <c r="B486" s="37" t="str">
        <f aca="false">IFERROR(__xludf.dummyfunction("""COMPUTED_VALUE"""),"TOV_V-ACT_TV13")</f>
        <v>TOV_V-ACT_TV13</v>
      </c>
      <c r="C486" s="59" t="str">
        <f aca="false">IFERROR(__xludf.dummyfunction("""COMPUTED_VALUE"""),"Kịch và phương pháp đọc hiểu kịch bản kịch_Phần 2")</f>
        <v>Kịch và phương pháp đọc hiểu kịch bản kịch_Phần 2</v>
      </c>
      <c r="D486" s="39" t="str">
        <f aca="false">IFERROR(__xludf.dummyfunction("""COMPUTED_VALUE"""),"Văn Trịnh Quỳnh An")</f>
        <v>Văn Trịnh Quỳnh An</v>
      </c>
      <c r="E486" s="40" t="n">
        <f aca="false">IFERROR(__xludf.dummyfunction("""COMPUTED_VALUE"""),46294)</f>
        <v>46294</v>
      </c>
      <c r="F486" s="41" t="n">
        <f aca="false">IFERROR(__xludf.dummyfunction("""COMPUTED_VALUE"""),3)</f>
        <v>3</v>
      </c>
      <c r="G486" s="37" t="str">
        <f aca="false">IFERROR(__xludf.dummyfunction("""COMPUTED_VALUE"""),"20:00-21:30")</f>
        <v>20:00-21:30</v>
      </c>
      <c r="H486" s="37"/>
      <c r="I486" s="37"/>
      <c r="J486" s="37"/>
      <c r="K486" s="68" t="str">
        <f aca="false">IFERROR(__xludf.dummyfunction("""COMPUTED_VALUE"""),"Hangvt3")</f>
        <v>Hangvt3</v>
      </c>
      <c r="L486" s="68" t="str">
        <f aca="false">IFERROR(__xludf.dummyfunction("""COMPUTED_VALUE"""),"Bùi Vĩnh Thọ")</f>
        <v>Bùi Vĩnh Thọ</v>
      </c>
      <c r="M486" s="71"/>
      <c r="N486" s="77" t="str">
        <f aca="false">IFERROR(__xludf.dummyfunction("""COMPUTED_VALUE"""),"3125,3338")</f>
        <v>3125,3338</v>
      </c>
      <c r="O486" s="73" t="n">
        <f aca="false">IFERROR(__xludf.dummyfunction("""COMPUTED_VALUE"""),167365.17478)</f>
        <v>167365.17478</v>
      </c>
      <c r="P486" s="63" t="n">
        <f aca="false">IFERROR(__xludf.dummyfunction("""COMPUTED_VALUE"""),174780)</f>
        <v>174780</v>
      </c>
      <c r="Q486" s="63"/>
      <c r="R486" s="41"/>
      <c r="S486" s="41"/>
      <c r="T486" s="63"/>
      <c r="U486" s="63"/>
      <c r="V486" s="70" t="n">
        <f aca="false">IFERROR(__xludf.dummyfunction("""COMPUTED_VALUE"""),46297)</f>
        <v>46297</v>
      </c>
      <c r="W486" s="39"/>
      <c r="X486" s="41" t="str">
        <f aca="false">IFERROR(__xludf.dummyfunction("""COMPUTED_VALUE"""),"Phuongdt")</f>
        <v>Phuongdt</v>
      </c>
      <c r="Y486" s="44" t="str">
        <f aca="false">IFERROR(__xludf.dummyfunction("""COMPUTED_VALUE"""),"done")</f>
        <v>done</v>
      </c>
      <c r="Z486" s="57" t="str">
        <f aca="false">IFERROR(__xludf.dummyfunction("""COMPUTED_VALUE"""),"#N/A")</f>
        <v>#N/A</v>
      </c>
      <c r="AA486" s="57"/>
      <c r="AB486" s="41" t="n">
        <f aca="false">IFERROR(__xludf.dummyfunction("""COMPUTED_VALUE"""),9)</f>
        <v>9</v>
      </c>
      <c r="AC486" s="57" t="str">
        <f aca="false">IFERROR(__xludf.dummyfunction("""COMPUTED_VALUE"""),"gv.anvtq@hocmai.edu.vn ")</f>
        <v>gv.anvtq@hocmai.edu.vn </v>
      </c>
      <c r="AD486" s="46" t="str">
        <f aca="false">IFERROR(__xludf.dummyfunction("""COMPUTED_VALUE"""),"vinhtho0704@gmail.com")</f>
        <v>vinhtho0704@gmail.com</v>
      </c>
      <c r="AE486" s="46"/>
      <c r="AF486" s="74" t="b">
        <f aca="false">IFERROR(__xludf.dummyfunction("""COMPUTED_VALUE"""),FALSE())</f>
        <v>0</v>
      </c>
      <c r="AG486" s="46" t="str">
        <f aca="false">IFERROR(__xludf.dummyfunction("""COMPUTED_VALUE"""),"")</f>
        <v/>
      </c>
      <c r="AH486" s="35"/>
      <c r="AI486" s="35"/>
      <c r="AJ486" s="35"/>
      <c r="AK486" s="35"/>
      <c r="AL486" s="35"/>
      <c r="AM486" s="53" t="b">
        <f aca="false">IFERROR(__xludf.dummyfunction("""COMPUTED_VALUE"""),TRUE())</f>
        <v>1</v>
      </c>
      <c r="AN486" s="53" t="b">
        <f aca="false">IFERROR(__xludf.dummyfunction("""COMPUTED_VALUE"""),TRUE())</f>
        <v>1</v>
      </c>
      <c r="AO486" s="46"/>
    </row>
    <row r="487" customFormat="false" ht="15.75" hidden="false" customHeight="true" outlineLevel="0" collapsed="false">
      <c r="A487" s="37" t="str">
        <f aca="false">IFERROR(__xludf.dummyfunction("""COMPUTED_VALUE"""),"Địa lí")</f>
        <v>Địa lí</v>
      </c>
      <c r="B487" s="37" t="str">
        <f aca="false">IFERROR(__xludf.dummyfunction("""COMPUTED_VALUE"""),"TOV_HSA_ĐL12")</f>
        <v>TOV_HSA_ĐL12</v>
      </c>
      <c r="C487" s="59" t="str">
        <f aca="false">IFERROR(__xludf.dummyfunction("""COMPUTED_VALUE"""),"Địa lí dân cư Việt Nam")</f>
        <v>Địa lí dân cư Việt Nam</v>
      </c>
      <c r="D487" s="39" t="str">
        <f aca="false">IFERROR(__xludf.dummyfunction("""COMPUTED_VALUE"""),"Nguyễn Văn Vinh")</f>
        <v>Nguyễn Văn Vinh</v>
      </c>
      <c r="E487" s="40" t="n">
        <f aca="false">IFERROR(__xludf.dummyfunction("""COMPUTED_VALUE"""),46294)</f>
        <v>46294</v>
      </c>
      <c r="F487" s="41" t="n">
        <f aca="false">IFERROR(__xludf.dummyfunction("""COMPUTED_VALUE"""),3)</f>
        <v>3</v>
      </c>
      <c r="G487" s="37" t="str">
        <f aca="false">IFERROR(__xludf.dummyfunction("""COMPUTED_VALUE"""),"18:30-20:30")</f>
        <v>18:30-20:30</v>
      </c>
      <c r="H487" s="37"/>
      <c r="I487" s="37"/>
      <c r="J487" s="37"/>
      <c r="K487" s="68" t="str">
        <f aca="false">IFERROR(__xludf.dummyfunction("""COMPUTED_VALUE"""),"Trinhntt")</f>
        <v>Trinhntt</v>
      </c>
      <c r="L487" s="68" t="str">
        <f aca="false">IFERROR(__xludf.dummyfunction("""COMPUTED_VALUE"""),"Phan Đức Kiên")</f>
        <v>Phan Đức Kiên</v>
      </c>
      <c r="M487" s="71"/>
      <c r="N487" s="77" t="str">
        <f aca="false">IFERROR(__xludf.dummyfunction("""COMPUTED_VALUE"""),"3123")</f>
        <v>3123</v>
      </c>
      <c r="O487" s="63" t="n">
        <f aca="false">IFERROR(__xludf.dummyfunction("""COMPUTED_VALUE"""),174758)</f>
        <v>174758</v>
      </c>
      <c r="P487" s="63"/>
      <c r="Q487" s="63" t="n">
        <f aca="false">IFERROR(__xludf.dummyfunction("""COMPUTED_VALUE"""),174758)</f>
        <v>174758</v>
      </c>
      <c r="R487" s="41"/>
      <c r="S487" s="41"/>
      <c r="T487" s="63"/>
      <c r="U487" s="63"/>
      <c r="V487" s="70" t="n">
        <f aca="false">IFERROR(__xludf.dummyfunction("""COMPUTED_VALUE"""),46297)</f>
        <v>46297</v>
      </c>
      <c r="W487" s="39"/>
      <c r="X487" s="41" t="str">
        <f aca="false">IFERROR(__xludf.dummyfunction("""COMPUTED_VALUE"""),"Huent7")</f>
        <v>Huent7</v>
      </c>
      <c r="Y487" s="44"/>
      <c r="Z487" s="57" t="str">
        <f aca="false">IFERROR(__xludf.dummyfunction("""COMPUTED_VALUE"""),"#N/A")</f>
        <v>#N/A</v>
      </c>
      <c r="AA487" s="57"/>
      <c r="AB487" s="41"/>
      <c r="AC487" s="57" t="str">
        <f aca="false">IFERROR(__xludf.dummyfunction("""COMPUTED_VALUE"""),"gv.vinhnv@hocmai.edu.vn")</f>
        <v>gv.vinhnv@hocmai.edu.vn</v>
      </c>
      <c r="AD487" s="46" t="str">
        <f aca="false">IFERROR(__xludf.dummyfunction("""COMPUTED_VALUE"""),"duckien010607@gmail.com")</f>
        <v>duckien010607@gmail.com</v>
      </c>
      <c r="AE487" s="46"/>
      <c r="AF487" s="74" t="b">
        <f aca="false">IFERROR(__xludf.dummyfunction("""COMPUTED_VALUE"""),FALSE())</f>
        <v>0</v>
      </c>
      <c r="AG487" s="46" t="str">
        <f aca="false">IFERROR(__xludf.dummyfunction("""COMPUTED_VALUE"""),"")</f>
        <v/>
      </c>
      <c r="AH487" s="35"/>
      <c r="AI487" s="35"/>
      <c r="AJ487" s="53" t="b">
        <f aca="false">IFERROR(__xludf.dummyfunction("""COMPUTED_VALUE"""),TRUE())</f>
        <v>1</v>
      </c>
      <c r="AK487" s="53" t="b">
        <f aca="false">IFERROR(__xludf.dummyfunction("""COMPUTED_VALUE"""),TRUE())</f>
        <v>1</v>
      </c>
      <c r="AL487" s="35"/>
      <c r="AM487" s="35"/>
      <c r="AN487" s="35"/>
      <c r="AO487" s="46"/>
    </row>
    <row r="488" customFormat="false" ht="15.75" hidden="false" customHeight="true" outlineLevel="0" collapsed="false">
      <c r="A488" s="37" t="str">
        <f aca="false">IFERROR(__xludf.dummyfunction("""COMPUTED_VALUE"""),"Định tính")</f>
        <v>Định tính</v>
      </c>
      <c r="B488" s="37" t="str">
        <f aca="false">IFERROR(__xludf.dummyfunction("""COMPUTED_VALUE"""),"TOV_HSA_DT14")</f>
        <v>TOV_HSA_DT14</v>
      </c>
      <c r="C488" s="59" t="str">
        <f aca="false">IFERROR(__xludf.dummyfunction("""COMPUTED_VALUE"""),"Văn bản thông tin: Đặc trưng kiểu văn bản và phương pháp đọc hiểu")</f>
        <v>Văn bản thông tin: Đặc trưng kiểu văn bản và phương pháp đọc hiểu</v>
      </c>
      <c r="D488" s="39" t="str">
        <f aca="false">IFERROR(__xludf.dummyfunction("""COMPUTED_VALUE"""),"Vương Thúy Hằng")</f>
        <v>Vương Thúy Hằng</v>
      </c>
      <c r="E488" s="40" t="n">
        <f aca="false">IFERROR(__xludf.dummyfunction("""COMPUTED_VALUE"""),46295)</f>
        <v>46295</v>
      </c>
      <c r="F488" s="41" t="n">
        <f aca="false">IFERROR(__xludf.dummyfunction("""COMPUTED_VALUE"""),4)</f>
        <v>4</v>
      </c>
      <c r="G488" s="37" t="str">
        <f aca="false">IFERROR(__xludf.dummyfunction("""COMPUTED_VALUE"""),"21:00-23:00")</f>
        <v>21:00-23:00</v>
      </c>
      <c r="H488" s="37"/>
      <c r="I488" s="37"/>
      <c r="J488" s="37"/>
      <c r="K488" s="68" t="str">
        <f aca="false">IFERROR(__xludf.dummyfunction("""COMPUTED_VALUE"""),"Hangvt3")</f>
        <v>Hangvt3</v>
      </c>
      <c r="L488" s="68" t="str">
        <f aca="false">IFERROR(__xludf.dummyfunction("""COMPUTED_VALUE"""),"Kiều Bảo Minh")</f>
        <v>Kiều Bảo Minh</v>
      </c>
      <c r="M488" s="71"/>
      <c r="N488" s="77" t="str">
        <f aca="false">IFERROR(__xludf.dummyfunction("""COMPUTED_VALUE"""),"3118")</f>
        <v>3118</v>
      </c>
      <c r="O488" s="63" t="n">
        <f aca="false">IFERROR(__xludf.dummyfunction("""COMPUTED_VALUE"""),167303)</f>
        <v>167303</v>
      </c>
      <c r="P488" s="63"/>
      <c r="Q488" s="63"/>
      <c r="R488" s="41"/>
      <c r="S488" s="41"/>
      <c r="T488" s="63"/>
      <c r="U488" s="63"/>
      <c r="V488" s="70" t="n">
        <f aca="false">IFERROR(__xludf.dummyfunction("""COMPUTED_VALUE"""),46298)</f>
        <v>46298</v>
      </c>
      <c r="W488" s="39"/>
      <c r="X488" s="41" t="str">
        <f aca="false">IFERROR(__xludf.dummyfunction("""COMPUTED_VALUE"""),"Phuongdt")</f>
        <v>Phuongdt</v>
      </c>
      <c r="Y488" s="44" t="str">
        <f aca="false">IFERROR(__xludf.dummyfunction("""COMPUTED_VALUE"""),"done")</f>
        <v>done</v>
      </c>
      <c r="Z488" s="57" t="str">
        <f aca="false">IFERROR(__xludf.dummyfunction("""COMPUTED_VALUE"""),"#N/A")</f>
        <v>#N/A</v>
      </c>
      <c r="AA488" s="57"/>
      <c r="AB488" s="41" t="n">
        <f aca="false">IFERROR(__xludf.dummyfunction("""COMPUTED_VALUE"""),9)</f>
        <v>9</v>
      </c>
      <c r="AC488" s="57" t="str">
        <f aca="false">IFERROR(__xludf.dummyfunction("""COMPUTED_VALUE"""),"gv.hangvt@hocmai.edu.vn ")</f>
        <v>gv.hangvt@hocmai.edu.vn </v>
      </c>
      <c r="AD488" s="46" t="str">
        <f aca="false">IFERROR(__xludf.dummyfunction("""COMPUTED_VALUE"""),"mkieu2662@gmail.com")</f>
        <v>mkieu2662@gmail.com</v>
      </c>
      <c r="AE488" s="46"/>
      <c r="AF488" s="74" t="b">
        <f aca="false">IFERROR(__xludf.dummyfunction("""COMPUTED_VALUE"""),FALSE())</f>
        <v>0</v>
      </c>
      <c r="AG488" s="46" t="str">
        <f aca="false">IFERROR(__xludf.dummyfunction("""COMPUTED_VALUE"""),"")</f>
        <v/>
      </c>
      <c r="AH488" s="35"/>
      <c r="AI488" s="35"/>
      <c r="AJ488" s="53" t="b">
        <f aca="false">IFERROR(__xludf.dummyfunction("""COMPUTED_VALUE"""),TRUE())</f>
        <v>1</v>
      </c>
      <c r="AK488" s="53" t="b">
        <f aca="false">IFERROR(__xludf.dummyfunction("""COMPUTED_VALUE"""),TRUE())</f>
        <v>1</v>
      </c>
      <c r="AL488" s="35"/>
      <c r="AM488" s="35"/>
      <c r="AN488" s="35"/>
      <c r="AO488" s="46"/>
    </row>
    <row r="489" customFormat="false" ht="15.75" hidden="false" customHeight="true" outlineLevel="0" collapsed="false">
      <c r="A489" s="37" t="str">
        <f aca="false">IFERROR(__xludf.dummyfunction("""COMPUTED_VALUE"""),"Ngữ văn")</f>
        <v>Ngữ văn</v>
      </c>
      <c r="B489" s="37" t="str">
        <f aca="false">IFERROR(__xludf.dummyfunction("""COMPUTED_VALUE"""),"TOV_TNTHPT_NV06")</f>
        <v>TOV_TNTHPT_NV06</v>
      </c>
      <c r="C489" s="59" t="str">
        <f aca="false">IFERROR(__xludf.dummyfunction("""COMPUTED_VALUE"""),"Phương pháp xử lí nhóm câu hỏi về thông điệp, liên hệ, so sánh")</f>
        <v>Phương pháp xử lí nhóm câu hỏi về thông điệp, liên hệ, so sánh</v>
      </c>
      <c r="D489" s="39" t="str">
        <f aca="false">IFERROR(__xludf.dummyfunction("""COMPUTED_VALUE"""),"Phạm Hữu Cường")</f>
        <v>Phạm Hữu Cường</v>
      </c>
      <c r="E489" s="40" t="n">
        <f aca="false">IFERROR(__xludf.dummyfunction("""COMPUTED_VALUE"""),46295)</f>
        <v>46295</v>
      </c>
      <c r="F489" s="41" t="n">
        <f aca="false">IFERROR(__xludf.dummyfunction("""COMPUTED_VALUE"""),4)</f>
        <v>4</v>
      </c>
      <c r="G489" s="37" t="str">
        <f aca="false">IFERROR(__xludf.dummyfunction("""COMPUTED_VALUE"""),"21:00-23:00")</f>
        <v>21:00-23:00</v>
      </c>
      <c r="H489" s="37"/>
      <c r="I489" s="37"/>
      <c r="J489" s="37"/>
      <c r="K489" s="68" t="str">
        <f aca="false">IFERROR(__xludf.dummyfunction("""COMPUTED_VALUE"""),"Hangvt3")</f>
        <v>Hangvt3</v>
      </c>
      <c r="L489" s="68" t="str">
        <f aca="false">IFERROR(__xludf.dummyfunction("""COMPUTED_VALUE"""),"Trần Đức Lương")</f>
        <v>Trần Đức Lương</v>
      </c>
      <c r="M489" s="71"/>
      <c r="N489" s="77" t="str">
        <f aca="false">IFERROR(__xludf.dummyfunction("""COMPUTED_VALUE"""),"3128")</f>
        <v>3128</v>
      </c>
      <c r="O489" s="63" t="n">
        <f aca="false">IFERROR(__xludf.dummyfunction("""COMPUTED_VALUE"""),167563)</f>
        <v>167563</v>
      </c>
      <c r="P489" s="63"/>
      <c r="Q489" s="63"/>
      <c r="R489" s="41"/>
      <c r="S489" s="41"/>
      <c r="T489" s="63"/>
      <c r="U489" s="63"/>
      <c r="V489" s="70" t="n">
        <f aca="false">IFERROR(__xludf.dummyfunction("""COMPUTED_VALUE"""),46298)</f>
        <v>46298</v>
      </c>
      <c r="W489" s="39"/>
      <c r="X489" s="41" t="str">
        <f aca="false">IFERROR(__xludf.dummyfunction("""COMPUTED_VALUE"""),"Phuongdt")</f>
        <v>Phuongdt</v>
      </c>
      <c r="Y489" s="44"/>
      <c r="Z489" s="57" t="str">
        <f aca="false">IFERROR(__xludf.dummyfunction("""COMPUTED_VALUE"""),"#N/A")</f>
        <v>#N/A</v>
      </c>
      <c r="AA489" s="57"/>
      <c r="AB489" s="41" t="n">
        <f aca="false">IFERROR(__xludf.dummyfunction("""COMPUTED_VALUE"""),9)</f>
        <v>9</v>
      </c>
      <c r="AC489" s="57" t="str">
        <f aca="false">IFERROR(__xludf.dummyfunction("""COMPUTED_VALUE"""),"gv.cuongph@hocmai.edu.vn ")</f>
        <v>gv.cuongph@hocmai.edu.vn </v>
      </c>
      <c r="AD489" s="46" t="str">
        <f aca="false">IFERROR(__xludf.dummyfunction("""COMPUTED_VALUE"""),"ss.hsa01@ctv.hocmai.vn")</f>
        <v>ss.hsa01@ctv.hocmai.vn</v>
      </c>
      <c r="AE489" s="46"/>
      <c r="AF489" s="74" t="b">
        <f aca="false">IFERROR(__xludf.dummyfunction("""COMPUTED_VALUE"""),FALSE())</f>
        <v>0</v>
      </c>
      <c r="AG489" s="46" t="str">
        <f aca="false">IFERROR(__xludf.dummyfunction("""COMPUTED_VALUE"""),"")</f>
        <v/>
      </c>
      <c r="AH489" s="35"/>
      <c r="AI489" s="35"/>
      <c r="AJ489" s="35"/>
      <c r="AK489" s="35"/>
      <c r="AL489" s="53" t="b">
        <f aca="false">IFERROR(__xludf.dummyfunction("""COMPUTED_VALUE"""),TRUE())</f>
        <v>1</v>
      </c>
      <c r="AM489" s="35"/>
      <c r="AN489" s="35"/>
      <c r="AO489" s="46"/>
    </row>
    <row r="490" customFormat="false" ht="15.75" hidden="false" customHeight="true" outlineLevel="0" collapsed="false">
      <c r="A490" s="37" t="str">
        <f aca="false">IFERROR(__xludf.dummyfunction("""COMPUTED_VALUE"""),"Vật lí")</f>
        <v>Vật lí</v>
      </c>
      <c r="B490" s="37" t="str">
        <f aca="false">IFERROR(__xludf.dummyfunction("""COMPUTED_VALUE"""),"TOV_TSA_L15")</f>
        <v>TOV_TSA_L15</v>
      </c>
      <c r="C490" s="59" t="str">
        <f aca="false">IFERROR(__xludf.dummyfunction("""COMPUTED_VALUE"""),"Phóng xạ, hạt nhân và lượng tử ánh sáng")</f>
        <v>Phóng xạ, hạt nhân và lượng tử ánh sáng</v>
      </c>
      <c r="D490" s="39" t="str">
        <f aca="false">IFERROR(__xludf.dummyfunction("""COMPUTED_VALUE"""),"Thiều Thị Dung")</f>
        <v>Thiều Thị Dung</v>
      </c>
      <c r="E490" s="40" t="n">
        <f aca="false">IFERROR(__xludf.dummyfunction("""COMPUTED_VALUE"""),46296)</f>
        <v>46296</v>
      </c>
      <c r="F490" s="41" t="n">
        <f aca="false">IFERROR(__xludf.dummyfunction("""COMPUTED_VALUE"""),5)</f>
        <v>5</v>
      </c>
      <c r="G490" s="37" t="str">
        <f aca="false">IFERROR(__xludf.dummyfunction("""COMPUTED_VALUE"""),"21:00-23:00")</f>
        <v>21:00-23:00</v>
      </c>
      <c r="H490" s="37"/>
      <c r="I490" s="37"/>
      <c r="J490" s="37"/>
      <c r="K490" s="68" t="str">
        <f aca="false">IFERROR(__xludf.dummyfunction("""COMPUTED_VALUE"""),"Trangnth2")</f>
        <v>Trangnth2</v>
      </c>
      <c r="L490" s="68" t="str">
        <f aca="false">IFERROR(__xludf.dummyfunction("""COMPUTED_VALUE"""),"Trần Đức Lương")</f>
        <v>Trần Đức Lương</v>
      </c>
      <c r="M490" s="71"/>
      <c r="N490" s="77" t="str">
        <f aca="false">IFERROR(__xludf.dummyfunction("""COMPUTED_VALUE"""),"3110")</f>
        <v>3110</v>
      </c>
      <c r="O490" s="63" t="n">
        <f aca="false">IFERROR(__xludf.dummyfunction("""COMPUTED_VALUE"""),167275)</f>
        <v>167275</v>
      </c>
      <c r="P490" s="63"/>
      <c r="Q490" s="63"/>
      <c r="R490" s="41"/>
      <c r="S490" s="41"/>
      <c r="T490" s="63"/>
      <c r="U490" s="63"/>
      <c r="V490" s="70" t="n">
        <f aca="false">IFERROR(__xludf.dummyfunction("""COMPUTED_VALUE"""),46299)</f>
        <v>46299</v>
      </c>
      <c r="W490" s="39"/>
      <c r="X490" s="41" t="str">
        <f aca="false">IFERROR(__xludf.dummyfunction("""COMPUTED_VALUE"""),"Trangnth2")</f>
        <v>Trangnth2</v>
      </c>
      <c r="Y490" s="44"/>
      <c r="Z490" s="57" t="str">
        <f aca="false">IFERROR(__xludf.dummyfunction("""COMPUTED_VALUE"""),"#N/A")</f>
        <v>#N/A</v>
      </c>
      <c r="AA490" s="57"/>
      <c r="AB490" s="41" t="n">
        <f aca="false">IFERROR(__xludf.dummyfunction("""COMPUTED_VALUE"""),10)</f>
        <v>10</v>
      </c>
      <c r="AC490" s="57" t="str">
        <f aca="false">IFERROR(__xludf.dummyfunction("""COMPUTED_VALUE"""),"dungtt2@hocmai.vn                ")</f>
        <v>dungtt2@hocmai.vn                </v>
      </c>
      <c r="AD490" s="46" t="str">
        <f aca="false">IFERROR(__xludf.dummyfunction("""COMPUTED_VALUE"""),"ss.hsa01@ctv.hocmai.vn")</f>
        <v>ss.hsa01@ctv.hocmai.vn</v>
      </c>
      <c r="AE490" s="46"/>
      <c r="AF490" s="74" t="b">
        <f aca="false">IFERROR(__xludf.dummyfunction("""COMPUTED_VALUE"""),FALSE())</f>
        <v>0</v>
      </c>
      <c r="AG490" s="46" t="str">
        <f aca="false">IFERROR(__xludf.dummyfunction("""COMPUTED_VALUE"""),"")</f>
        <v/>
      </c>
      <c r="AH490" s="35"/>
      <c r="AI490" s="53" t="b">
        <f aca="false">IFERROR(__xludf.dummyfunction("""COMPUTED_VALUE"""),TRUE())</f>
        <v>1</v>
      </c>
      <c r="AJ490" s="35"/>
      <c r="AK490" s="35"/>
      <c r="AL490" s="35"/>
      <c r="AM490" s="35"/>
      <c r="AN490" s="35"/>
      <c r="AO490" s="46"/>
    </row>
    <row r="491" customFormat="false" ht="15.75" hidden="false" customHeight="true" outlineLevel="0" collapsed="false">
      <c r="A491" s="37" t="str">
        <f aca="false">IFERROR(__xludf.dummyfunction("""COMPUTED_VALUE"""),"Vật lí")</f>
        <v>Vật lí</v>
      </c>
      <c r="B491" s="37" t="str">
        <f aca="false">IFERROR(__xludf.dummyfunction("""COMPUTED_VALUE"""),"TOV_HT_VL16")</f>
        <v>TOV_HT_VL16</v>
      </c>
      <c r="C491" s="59" t="str">
        <f aca="false">IFERROR(__xludf.dummyfunction("""COMPUTED_VALUE"""),"Từ trường – Lực từ")</f>
        <v>Từ trường – Lực từ</v>
      </c>
      <c r="D491" s="39" t="str">
        <f aca="false">IFERROR(__xludf.dummyfunction("""COMPUTED_VALUE"""),"Nguyễn Hữu Tình")</f>
        <v>Nguyễn Hữu Tình</v>
      </c>
      <c r="E491" s="40" t="n">
        <f aca="false">IFERROR(__xludf.dummyfunction("""COMPUTED_VALUE"""),46296)</f>
        <v>46296</v>
      </c>
      <c r="F491" s="41" t="n">
        <f aca="false">IFERROR(__xludf.dummyfunction("""COMPUTED_VALUE"""),5)</f>
        <v>5</v>
      </c>
      <c r="G491" s="37" t="str">
        <f aca="false">IFERROR(__xludf.dummyfunction("""COMPUTED_VALUE"""),"21:00-23:00")</f>
        <v>21:00-23:00</v>
      </c>
      <c r="H491" s="37"/>
      <c r="I491" s="37"/>
      <c r="J491" s="37"/>
      <c r="K491" s="68" t="str">
        <f aca="false">IFERROR(__xludf.dummyfunction("""COMPUTED_VALUE"""),"Trangnth2")</f>
        <v>Trangnth2</v>
      </c>
      <c r="L491" s="68" t="str">
        <f aca="false">IFERROR(__xludf.dummyfunction("""COMPUTED_VALUE"""),"Kiều Bảo Minh")</f>
        <v>Kiều Bảo Minh</v>
      </c>
      <c r="M491" s="71"/>
      <c r="N491" s="80" t="str">
        <f aca="false">IFERROR(__xludf.dummyfunction("""COMPUTED_VALUE"""),"3119,3130")</f>
        <v>3119,3130</v>
      </c>
      <c r="O491" s="73" t="n">
        <f aca="false">IFERROR(__xludf.dummyfunction("""COMPUTED_VALUE"""),167531.167578)</f>
        <v>167531.167578</v>
      </c>
      <c r="P491" s="63" t="str">
        <f aca="false">IFERROR(__xludf.dummyfunction("""COMPUTED_VALUE"""),"9031,9039,9020")</f>
        <v>9031,9039,9020</v>
      </c>
      <c r="Q491" s="63"/>
      <c r="R491" s="41"/>
      <c r="S491" s="41"/>
      <c r="T491" s="63"/>
      <c r="U491" s="63" t="n">
        <f aca="false">IFERROR(__xludf.dummyfunction("""COMPUTED_VALUE"""),10472)</f>
        <v>10472</v>
      </c>
      <c r="V491" s="70" t="n">
        <f aca="false">IFERROR(__xludf.dummyfunction("""COMPUTED_VALUE"""),46299)</f>
        <v>46299</v>
      </c>
      <c r="W491" s="39"/>
      <c r="X491" s="41" t="str">
        <f aca="false">IFERROR(__xludf.dummyfunction("""COMPUTED_VALUE"""),"Trangnth2")</f>
        <v>Trangnth2</v>
      </c>
      <c r="Y491" s="44"/>
      <c r="Z491" s="57" t="str">
        <f aca="false">IFERROR(__xludf.dummyfunction("""COMPUTED_VALUE"""),"#N/A")</f>
        <v>#N/A</v>
      </c>
      <c r="AA491" s="57"/>
      <c r="AB491" s="41" t="n">
        <f aca="false">IFERROR(__xludf.dummyfunction("""COMPUTED_VALUE"""),10)</f>
        <v>10</v>
      </c>
      <c r="AC491" s="57" t="str">
        <f aca="false">IFERROR(__xludf.dummyfunction("""COMPUTED_VALUE"""),"gv.tinhnh@hocmai.edu.vn ")</f>
        <v>gv.tinhnh@hocmai.edu.vn </v>
      </c>
      <c r="AD491" s="46" t="str">
        <f aca="false">IFERROR(__xludf.dummyfunction("""COMPUTED_VALUE"""),"mkieu2662@gmail.com")</f>
        <v>mkieu2662@gmail.com</v>
      </c>
      <c r="AE491" s="46"/>
      <c r="AF491" s="74" t="b">
        <f aca="false">IFERROR(__xludf.dummyfunction("""COMPUTED_VALUE"""),FALSE())</f>
        <v>0</v>
      </c>
      <c r="AG491" s="46" t="str">
        <f aca="false">IFERROR(__xludf.dummyfunction("""COMPUTED_VALUE"""),"")</f>
        <v/>
      </c>
      <c r="AH491" s="35"/>
      <c r="AI491" s="35"/>
      <c r="AJ491" s="53" t="b">
        <f aca="false">IFERROR(__xludf.dummyfunction("""COMPUTED_VALUE"""),TRUE())</f>
        <v>1</v>
      </c>
      <c r="AK491" s="53" t="b">
        <f aca="false">IFERROR(__xludf.dummyfunction("""COMPUTED_VALUE"""),TRUE())</f>
        <v>1</v>
      </c>
      <c r="AL491" s="53" t="b">
        <f aca="false">IFERROR(__xludf.dummyfunction("""COMPUTED_VALUE"""),TRUE())</f>
        <v>1</v>
      </c>
      <c r="AM491" s="35"/>
      <c r="AN491" s="35"/>
      <c r="AO491" s="46"/>
    </row>
    <row r="492" customFormat="false" ht="15.75" hidden="false" customHeight="true" outlineLevel="0" collapsed="false">
      <c r="A492" s="37" t="str">
        <f aca="false">IFERROR(__xludf.dummyfunction("""COMPUTED_VALUE"""),"Toán")</f>
        <v>Toán</v>
      </c>
      <c r="B492" s="37" t="str">
        <f aca="false">IFERROR(__xludf.dummyfunction("""COMPUTED_VALUE"""),"TOA_V-ACT_T15")</f>
        <v>TOA_V-ACT_T15</v>
      </c>
      <c r="C492" s="59" t="str">
        <f aca="false">IFERROR(__xludf.dummyfunction("""COMPUTED_VALUE"""),"Các bài toán đặc thù về nguyên hàm - tích phân (P1)")</f>
        <v>Các bài toán đặc thù về nguyên hàm - tích phân (P1)</v>
      </c>
      <c r="D492" s="39" t="str">
        <f aca="false">IFERROR(__xludf.dummyfunction("""COMPUTED_VALUE"""),"Nguyễn Hoài Nam")</f>
        <v>Nguyễn Hoài Nam</v>
      </c>
      <c r="E492" s="40" t="n">
        <f aca="false">IFERROR(__xludf.dummyfunction("""COMPUTED_VALUE"""),46296)</f>
        <v>46296</v>
      </c>
      <c r="F492" s="41" t="n">
        <f aca="false">IFERROR(__xludf.dummyfunction("""COMPUTED_VALUE"""),5)</f>
        <v>5</v>
      </c>
      <c r="G492" s="37" t="str">
        <f aca="false">IFERROR(__xludf.dummyfunction("""COMPUTED_VALUE"""),"21:00-22:30")</f>
        <v>21:00-22:30</v>
      </c>
      <c r="H492" s="37"/>
      <c r="I492" s="37"/>
      <c r="J492" s="37"/>
      <c r="K492" s="68" t="str">
        <f aca="false">IFERROR(__xludf.dummyfunction("""COMPUTED_VALUE"""),"Lent")</f>
        <v>Lent</v>
      </c>
      <c r="L492" s="68" t="str">
        <f aca="false">IFERROR(__xludf.dummyfunction("""COMPUTED_VALUE"""),"Lường Nhật Nam")</f>
        <v>Lường Nhật Nam</v>
      </c>
      <c r="M492" s="71"/>
      <c r="N492" s="77" t="str">
        <f aca="false">IFERROR(__xludf.dummyfunction("""COMPUTED_VALUE"""),"3124,3316")</f>
        <v>3124,3316</v>
      </c>
      <c r="O492" s="73" t="n">
        <f aca="false">IFERROR(__xludf.dummyfunction("""COMPUTED_VALUE"""),167203.166869)</f>
        <v>167203.166869</v>
      </c>
      <c r="P492" s="63" t="n">
        <f aca="false">IFERROR(__xludf.dummyfunction("""COMPUTED_VALUE"""),9044.9108)</f>
        <v>9044.9108</v>
      </c>
      <c r="Q492" s="63" t="n">
        <f aca="false">IFERROR(__xludf.dummyfunction("""COMPUTED_VALUE"""),167203)</f>
        <v>167203</v>
      </c>
      <c r="R492" s="41" t="n">
        <f aca="false">IFERROR(__xludf.dummyfunction("""COMPUTED_VALUE"""),166869)</f>
        <v>166869</v>
      </c>
      <c r="S492" s="41"/>
      <c r="T492" s="63"/>
      <c r="U492" s="63"/>
      <c r="V492" s="70" t="n">
        <f aca="false">IFERROR(__xludf.dummyfunction("""COMPUTED_VALUE"""),46299)</f>
        <v>46299</v>
      </c>
      <c r="W492" s="39"/>
      <c r="X492" s="41" t="str">
        <f aca="false">IFERROR(__xludf.dummyfunction("""COMPUTED_VALUE"""),"Lent")</f>
        <v>Lent</v>
      </c>
      <c r="Y492" s="44" t="str">
        <f aca="false">IFERROR(__xludf.dummyfunction("""COMPUTED_VALUE"""),"done")</f>
        <v>done</v>
      </c>
      <c r="Z492" s="57" t="str">
        <f aca="false">IFERROR(__xludf.dummyfunction("""COMPUTED_VALUE"""),"#N/A")</f>
        <v>#N/A</v>
      </c>
      <c r="AA492" s="57"/>
      <c r="AB492" s="41" t="n">
        <f aca="false">IFERROR(__xludf.dummyfunction("""COMPUTED_VALUE"""),10)</f>
        <v>10</v>
      </c>
      <c r="AC492" s="57" t="str">
        <f aca="false">IFERROR(__xludf.dummyfunction("""COMPUTED_VALUE"""),"gv.namnh@hocmai.edu.vn ")</f>
        <v>gv.namnh@hocmai.edu.vn </v>
      </c>
      <c r="AD492" s="46" t="str">
        <f aca="false">IFERROR(__xludf.dummyfunction("""COMPUTED_VALUE"""),"nhatnam1092@gmail.com")</f>
        <v>nhatnam1092@gmail.com</v>
      </c>
      <c r="AE492" s="46"/>
      <c r="AF492" s="47" t="str">
        <f aca="false">IFERROR(__xludf.dummyfunction("""COMPUTED_VALUE"""),"lophoctoan-946296")</f>
        <v>lophoctoan-946296</v>
      </c>
      <c r="AG492" s="46" t="str">
        <f aca="false">IFERROR(__xludf.dummyfunction("""COMPUTED_VALUE"""),"")</f>
        <v/>
      </c>
      <c r="AH492" s="35"/>
      <c r="AI492" s="35"/>
      <c r="AJ492" s="35"/>
      <c r="AK492" s="35"/>
      <c r="AL492" s="35"/>
      <c r="AM492" s="53" t="b">
        <f aca="false">IFERROR(__xludf.dummyfunction("""COMPUTED_VALUE"""),TRUE())</f>
        <v>1</v>
      </c>
      <c r="AN492" s="53" t="b">
        <f aca="false">IFERROR(__xludf.dummyfunction("""COMPUTED_VALUE"""),TRUE())</f>
        <v>1</v>
      </c>
      <c r="AO492" s="46"/>
    </row>
    <row r="493" customFormat="false" ht="15.75" hidden="false" customHeight="true" outlineLevel="0" collapsed="false">
      <c r="A493" s="37" t="str">
        <f aca="false">IFERROR(__xludf.dummyfunction("""COMPUTED_VALUE"""),"Toán")</f>
        <v>Toán</v>
      </c>
      <c r="B493" s="37" t="str">
        <f aca="false">IFERROR(__xludf.dummyfunction("""COMPUTED_VALUE"""),"TOV_TSA_T16")</f>
        <v>TOV_TSA_T16</v>
      </c>
      <c r="C493" s="59" t="str">
        <f aca="false">IFERROR(__xludf.dummyfunction("""COMPUTED_VALUE"""),"Cấp số cộng, cấp số nhân và các dạng toán liên quan")</f>
        <v>Cấp số cộng, cấp số nhân và các dạng toán liên quan</v>
      </c>
      <c r="D493" s="39" t="str">
        <f aca="false">IFERROR(__xludf.dummyfunction("""COMPUTED_VALUE"""),"Nguyễn Thanh Tùng")</f>
        <v>Nguyễn Thanh Tùng</v>
      </c>
      <c r="E493" s="40" t="n">
        <f aca="false">IFERROR(__xludf.dummyfunction("""COMPUTED_VALUE"""),46297)</f>
        <v>46297</v>
      </c>
      <c r="F493" s="41" t="n">
        <f aca="false">IFERROR(__xludf.dummyfunction("""COMPUTED_VALUE"""),6)</f>
        <v>6</v>
      </c>
      <c r="G493" s="37" t="str">
        <f aca="false">IFERROR(__xludf.dummyfunction("""COMPUTED_VALUE"""),"18:00-20:00")</f>
        <v>18:00-20:00</v>
      </c>
      <c r="H493" s="37"/>
      <c r="I493" s="37"/>
      <c r="J493" s="62"/>
      <c r="K493" s="68" t="str">
        <f aca="false">IFERROR(__xludf.dummyfunction("""COMPUTED_VALUE"""),"Locdd")</f>
        <v>Locdd</v>
      </c>
      <c r="L493" s="68" t="str">
        <f aca="false">IFERROR(__xludf.dummyfunction("""COMPUTED_VALUE"""),"Tưởng Thị Huyền Trang")</f>
        <v>Tưởng Thị Huyền Trang</v>
      </c>
      <c r="M493" s="71"/>
      <c r="N493" s="77" t="str">
        <f aca="false">IFERROR(__xludf.dummyfunction("""COMPUTED_VALUE"""),"3108")</f>
        <v>3108</v>
      </c>
      <c r="O493" s="63" t="n">
        <f aca="false">IFERROR(__xludf.dummyfunction("""COMPUTED_VALUE"""),168385)</f>
        <v>168385</v>
      </c>
      <c r="P493" s="63"/>
      <c r="Q493" s="63"/>
      <c r="R493" s="41"/>
      <c r="S493" s="41"/>
      <c r="T493" s="63"/>
      <c r="U493" s="63"/>
      <c r="V493" s="70" t="n">
        <f aca="false">IFERROR(__xludf.dummyfunction("""COMPUTED_VALUE"""),46300)</f>
        <v>46300</v>
      </c>
      <c r="W493" s="39"/>
      <c r="X493" s="41" t="str">
        <f aca="false">IFERROR(__xludf.dummyfunction("""COMPUTED_VALUE"""),"Locdd")</f>
        <v>Locdd</v>
      </c>
      <c r="Y493" s="44" t="str">
        <f aca="false">IFERROR(__xludf.dummyfunction("""COMPUTED_VALUE"""),"done")</f>
        <v>done</v>
      </c>
      <c r="Z493" s="57" t="str">
        <f aca="false">IFERROR(__xludf.dummyfunction("""COMPUTED_VALUE"""),"#N/A")</f>
        <v>#N/A</v>
      </c>
      <c r="AA493" s="57"/>
      <c r="AB493" s="41" t="n">
        <f aca="false">IFERROR(__xludf.dummyfunction("""COMPUTED_VALUE"""),10)</f>
        <v>10</v>
      </c>
      <c r="AC493" s="57" t="str">
        <f aca="false">IFERROR(__xludf.dummyfunction("""COMPUTED_VALUE"""),"gv.tungnt@hocmai.edu.vn ")</f>
        <v>gv.tungnt@hocmai.edu.vn </v>
      </c>
      <c r="AD493" s="46" t="str">
        <f aca="false">IFERROR(__xludf.dummyfunction("""COMPUTED_VALUE"""),"trangcrazy699@gmail.com")</f>
        <v>trangcrazy699@gmail.com</v>
      </c>
      <c r="AE493" s="46"/>
      <c r="AF493" s="47" t="str">
        <f aca="false">IFERROR(__xludf.dummyfunction("""COMPUTED_VALUE"""),"lophoctoan-946297")</f>
        <v>lophoctoan-946297</v>
      </c>
      <c r="AG493" s="46" t="str">
        <f aca="false">IFERROR(__xludf.dummyfunction("""COMPUTED_VALUE"""),"")</f>
        <v/>
      </c>
      <c r="AH493" s="35"/>
      <c r="AI493" s="53" t="b">
        <f aca="false">IFERROR(__xludf.dummyfunction("""COMPUTED_VALUE"""),TRUE())</f>
        <v>1</v>
      </c>
      <c r="AJ493" s="35"/>
      <c r="AK493" s="35"/>
      <c r="AL493" s="35"/>
      <c r="AM493" s="35"/>
      <c r="AN493" s="35"/>
      <c r="AO493" s="46"/>
    </row>
    <row r="494" customFormat="false" ht="15.75" hidden="false" customHeight="true" outlineLevel="0" collapsed="false">
      <c r="A494" s="37" t="str">
        <f aca="false">IFERROR(__xludf.dummyfunction("""COMPUTED_VALUE"""),"Sinh học")</f>
        <v>Sinh học</v>
      </c>
      <c r="B494" s="37" t="str">
        <f aca="false">IFERROR(__xludf.dummyfunction("""COMPUTED_VALUE"""),"TOV_HT_SH16")</f>
        <v>TOV_HT_SH16</v>
      </c>
      <c r="C494" s="59" t="str">
        <f aca="false">IFERROR(__xludf.dummyfunction("""COMPUTED_VALUE"""),"Quy luật DT mở rộng: Tương tác – Liên kết – Hoán vị – LK giới tính")</f>
        <v>Quy luật DT mở rộng: Tương tác – Liên kết – Hoán vị – LK giới tính</v>
      </c>
      <c r="D494" s="39" t="str">
        <f aca="false">IFERROR(__xludf.dummyfunction("""COMPUTED_VALUE"""),"Nguyễn Dương Ánh Hồng")</f>
        <v>Nguyễn Dương Ánh Hồng</v>
      </c>
      <c r="E494" s="40" t="n">
        <f aca="false">IFERROR(__xludf.dummyfunction("""COMPUTED_VALUE"""),46297)</f>
        <v>46297</v>
      </c>
      <c r="F494" s="41" t="n">
        <f aca="false">IFERROR(__xludf.dummyfunction("""COMPUTED_VALUE"""),6)</f>
        <v>6</v>
      </c>
      <c r="G494" s="37" t="str">
        <f aca="false">IFERROR(__xludf.dummyfunction("""COMPUTED_VALUE"""),"19:30-21:30")</f>
        <v>19:30-21:30</v>
      </c>
      <c r="H494" s="37"/>
      <c r="I494" s="37"/>
      <c r="J494" s="37"/>
      <c r="K494" s="68" t="str">
        <f aca="false">IFERROR(__xludf.dummyfunction("""COMPUTED_VALUE"""),"Phuongdt")</f>
        <v>Phuongdt</v>
      </c>
      <c r="L494" s="68" t="str">
        <f aca="false">IFERROR(__xludf.dummyfunction("""COMPUTED_VALUE"""),"Phan Đức Kiên")</f>
        <v>Phan Đức Kiên</v>
      </c>
      <c r="M494" s="71"/>
      <c r="N494" s="77" t="str">
        <f aca="false">IFERROR(__xludf.dummyfunction("""COMPUTED_VALUE"""),"3121,3132")</f>
        <v>3121,3132</v>
      </c>
      <c r="O494" s="73" t="n">
        <f aca="false">IFERROR(__xludf.dummyfunction("""COMPUTED_VALUE"""),167333.167347)</f>
        <v>167333.167347</v>
      </c>
      <c r="P494" s="63" t="str">
        <f aca="false">IFERROR(__xludf.dummyfunction("""COMPUTED_VALUE"""),"9033,9041,9022")</f>
        <v>9033,9041,9022</v>
      </c>
      <c r="Q494" s="63"/>
      <c r="R494" s="41"/>
      <c r="S494" s="41"/>
      <c r="T494" s="63" t="n">
        <f aca="false">IFERROR(__xludf.dummyfunction("""COMPUTED_VALUE"""),23848)</f>
        <v>23848</v>
      </c>
      <c r="U494" s="63"/>
      <c r="V494" s="70" t="n">
        <f aca="false">IFERROR(__xludf.dummyfunction("""COMPUTED_VALUE"""),46300)</f>
        <v>46300</v>
      </c>
      <c r="W494" s="39"/>
      <c r="X494" s="41" t="str">
        <f aca="false">IFERROR(__xludf.dummyfunction("""COMPUTED_VALUE"""),"Phuongdt")</f>
        <v>Phuongdt</v>
      </c>
      <c r="Y494" s="44"/>
      <c r="Z494" s="57" t="str">
        <f aca="false">IFERROR(__xludf.dummyfunction("""COMPUTED_VALUE"""),"#N/A")</f>
        <v>#N/A</v>
      </c>
      <c r="AA494" s="57"/>
      <c r="AB494" s="41" t="n">
        <f aca="false">IFERROR(__xludf.dummyfunction("""COMPUTED_VALUE"""),10)</f>
        <v>10</v>
      </c>
      <c r="AC494" s="57" t="str">
        <f aca="false">IFERROR(__xludf.dummyfunction("""COMPUTED_VALUE"""),"gv.hongnda@hocmai.edu.vn ")</f>
        <v>gv.hongnda@hocmai.edu.vn </v>
      </c>
      <c r="AD494" s="46" t="str">
        <f aca="false">IFERROR(__xludf.dummyfunction("""COMPUTED_VALUE"""),"duckien010607@gmail.com")</f>
        <v>duckien010607@gmail.com</v>
      </c>
      <c r="AE494" s="46"/>
      <c r="AF494" s="74" t="b">
        <f aca="false">IFERROR(__xludf.dummyfunction("""COMPUTED_VALUE"""),FALSE())</f>
        <v>0</v>
      </c>
      <c r="AG494" s="46" t="str">
        <f aca="false">IFERROR(__xludf.dummyfunction("""COMPUTED_VALUE"""),"")</f>
        <v/>
      </c>
      <c r="AH494" s="35"/>
      <c r="AI494" s="35"/>
      <c r="AJ494" s="53" t="b">
        <f aca="false">IFERROR(__xludf.dummyfunction("""COMPUTED_VALUE"""),TRUE())</f>
        <v>1</v>
      </c>
      <c r="AK494" s="53" t="b">
        <f aca="false">IFERROR(__xludf.dummyfunction("""COMPUTED_VALUE"""),TRUE())</f>
        <v>1</v>
      </c>
      <c r="AL494" s="53" t="b">
        <f aca="false">IFERROR(__xludf.dummyfunction("""COMPUTED_VALUE"""),TRUE())</f>
        <v>1</v>
      </c>
      <c r="AM494" s="35"/>
      <c r="AN494" s="35"/>
      <c r="AO494" s="46"/>
    </row>
    <row r="495" customFormat="false" ht="15.75" hidden="false" customHeight="true" outlineLevel="0" collapsed="false">
      <c r="A495" s="37" t="str">
        <f aca="false">IFERROR(__xludf.dummyfunction("""COMPUTED_VALUE"""),"Lịch sử")</f>
        <v>Lịch sử</v>
      </c>
      <c r="B495" s="37" t="str">
        <f aca="false">IFERROR(__xludf.dummyfunction("""COMPUTED_VALUE"""),"TOV_HSA_LS14")</f>
        <v>TOV_HSA_LS14</v>
      </c>
      <c r="C495" s="59" t="str">
        <f aca="false">IFERROR(__xludf.dummyfunction("""COMPUTED_VALUE"""),"Cuộc kháng chiến chống Pháp (1945 - 1954)")</f>
        <v>Cuộc kháng chiến chống Pháp (1945 - 1954)</v>
      </c>
      <c r="D495" s="39" t="str">
        <f aca="false">IFERROR(__xludf.dummyfunction("""COMPUTED_VALUE"""),"Dương Thị Huyền")</f>
        <v>Dương Thị Huyền</v>
      </c>
      <c r="E495" s="40" t="n">
        <f aca="false">IFERROR(__xludf.dummyfunction("""COMPUTED_VALUE"""),46297)</f>
        <v>46297</v>
      </c>
      <c r="F495" s="41" t="n">
        <f aca="false">IFERROR(__xludf.dummyfunction("""COMPUTED_VALUE"""),6)</f>
        <v>6</v>
      </c>
      <c r="G495" s="37" t="str">
        <f aca="false">IFERROR(__xludf.dummyfunction("""COMPUTED_VALUE"""),"21:30-23:30")</f>
        <v>21:30-23:30</v>
      </c>
      <c r="H495" s="37"/>
      <c r="I495" s="37"/>
      <c r="J495" s="37"/>
      <c r="K495" s="68" t="str">
        <f aca="false">IFERROR(__xludf.dummyfunction("""COMPUTED_VALUE"""),"Trinhntt")</f>
        <v>Trinhntt</v>
      </c>
      <c r="L495" s="68" t="str">
        <f aca="false">IFERROR(__xludf.dummyfunction("""COMPUTED_VALUE"""),"Phan Đức Kiên")</f>
        <v>Phan Đức Kiên</v>
      </c>
      <c r="M495" s="71"/>
      <c r="N495" s="77" t="str">
        <f aca="false">IFERROR(__xludf.dummyfunction("""COMPUTED_VALUE"""),"3122")</f>
        <v>3122</v>
      </c>
      <c r="O495" s="63" t="n">
        <f aca="false">IFERROR(__xludf.dummyfunction("""COMPUTED_VALUE"""),174741)</f>
        <v>174741</v>
      </c>
      <c r="P495" s="63"/>
      <c r="Q495" s="63"/>
      <c r="R495" s="41"/>
      <c r="S495" s="41"/>
      <c r="T495" s="63"/>
      <c r="U495" s="63"/>
      <c r="V495" s="70" t="n">
        <f aca="false">IFERROR(__xludf.dummyfunction("""COMPUTED_VALUE"""),46300)</f>
        <v>46300</v>
      </c>
      <c r="W495" s="39"/>
      <c r="X495" s="41" t="str">
        <f aca="false">IFERROR(__xludf.dummyfunction("""COMPUTED_VALUE"""),"Huent7")</f>
        <v>Huent7</v>
      </c>
      <c r="Y495" s="44"/>
      <c r="Z495" s="57" t="str">
        <f aca="false">IFERROR(__xludf.dummyfunction("""COMPUTED_VALUE"""),"#N/A")</f>
        <v>#N/A</v>
      </c>
      <c r="AA495" s="57"/>
      <c r="AB495" s="41"/>
      <c r="AC495" s="57" t="str">
        <f aca="false">IFERROR(__xludf.dummyfunction("""COMPUTED_VALUE"""),"gv.huyendt2@hocmai.edu.vn")</f>
        <v>gv.huyendt2@hocmai.edu.vn</v>
      </c>
      <c r="AD495" s="46" t="str">
        <f aca="false">IFERROR(__xludf.dummyfunction("""COMPUTED_VALUE"""),"duckien010607@gmail.com")</f>
        <v>duckien010607@gmail.com</v>
      </c>
      <c r="AE495" s="46"/>
      <c r="AF495" s="74" t="b">
        <f aca="false">IFERROR(__xludf.dummyfunction("""COMPUTED_VALUE"""),FALSE())</f>
        <v>0</v>
      </c>
      <c r="AG495" s="46" t="str">
        <f aca="false">IFERROR(__xludf.dummyfunction("""COMPUTED_VALUE"""),"")</f>
        <v/>
      </c>
      <c r="AH495" s="46"/>
      <c r="AI495" s="46"/>
      <c r="AJ495" s="81" t="b">
        <f aca="false">IFERROR(__xludf.dummyfunction("""COMPUTED_VALUE"""),TRUE())</f>
        <v>1</v>
      </c>
      <c r="AK495" s="81" t="b">
        <f aca="false">IFERROR(__xludf.dummyfunction("""COMPUTED_VALUE"""),TRUE())</f>
        <v>1</v>
      </c>
      <c r="AL495" s="46"/>
      <c r="AM495" s="46"/>
      <c r="AN495" s="46"/>
      <c r="AO495" s="46"/>
    </row>
    <row r="496" customFormat="false" ht="15.75" hidden="false" customHeight="true" outlineLevel="0" collapsed="false">
      <c r="A496" s="37" t="str">
        <f aca="false">IFERROR(__xludf.dummyfunction("""COMPUTED_VALUE"""),"Sinh học")</f>
        <v>Sinh học</v>
      </c>
      <c r="B496" s="37" t="str">
        <f aca="false">IFERROR(__xludf.dummyfunction("""COMPUTED_VALUE"""),"TOV_TSA_S08")</f>
        <v>TOV_TSA_S08</v>
      </c>
      <c r="C496" s="59" t="str">
        <f aca="false">IFERROR(__xludf.dummyfunction("""COMPUTED_VALUE"""),"Cơ sở của sự di truyền và biến dị")</f>
        <v>Cơ sở của sự di truyền và biến dị</v>
      </c>
      <c r="D496" s="39" t="str">
        <f aca="false">IFERROR(__xludf.dummyfunction("""COMPUTED_VALUE"""),"Vũ Khắc Ngọc")</f>
        <v>Vũ Khắc Ngọc</v>
      </c>
      <c r="E496" s="40" t="n">
        <f aca="false">IFERROR(__xludf.dummyfunction("""COMPUTED_VALUE"""),46298)</f>
        <v>46298</v>
      </c>
      <c r="F496" s="41" t="n">
        <f aca="false">IFERROR(__xludf.dummyfunction("""COMPUTED_VALUE"""),7)</f>
        <v>7</v>
      </c>
      <c r="G496" s="37" t="str">
        <f aca="false">IFERROR(__xludf.dummyfunction("""COMPUTED_VALUE"""),"21:30-23:30")</f>
        <v>21:30-23:30</v>
      </c>
      <c r="H496" s="37"/>
      <c r="I496" s="37"/>
      <c r="J496" s="37"/>
      <c r="K496" s="68" t="str">
        <f aca="false">IFERROR(__xludf.dummyfunction("""COMPUTED_VALUE"""),"Phuongdt")</f>
        <v>Phuongdt</v>
      </c>
      <c r="L496" s="68" t="str">
        <f aca="false">IFERROR(__xludf.dummyfunction("""COMPUTED_VALUE"""),"Bùi Vĩnh Thọ")</f>
        <v>Bùi Vĩnh Thọ</v>
      </c>
      <c r="M496" s="71"/>
      <c r="N496" s="77" t="str">
        <f aca="false">IFERROR(__xludf.dummyfunction("""COMPUTED_VALUE"""),"3110")</f>
        <v>3110</v>
      </c>
      <c r="O496" s="63" t="n">
        <f aca="false">IFERROR(__xludf.dummyfunction("""COMPUTED_VALUE"""),167276)</f>
        <v>167276</v>
      </c>
      <c r="P496" s="63"/>
      <c r="Q496" s="63"/>
      <c r="R496" s="41"/>
      <c r="S496" s="41"/>
      <c r="T496" s="63" t="n">
        <f aca="false">IFERROR(__xludf.dummyfunction("""COMPUTED_VALUE"""),23685)</f>
        <v>23685</v>
      </c>
      <c r="U496" s="63" t="n">
        <f aca="false">IFERROR(__xludf.dummyfunction("""COMPUTED_VALUE"""),10618)</f>
        <v>10618</v>
      </c>
      <c r="V496" s="70" t="n">
        <f aca="false">IFERROR(__xludf.dummyfunction("""COMPUTED_VALUE"""),46301)</f>
        <v>46301</v>
      </c>
      <c r="W496" s="39"/>
      <c r="X496" s="41" t="str">
        <f aca="false">IFERROR(__xludf.dummyfunction("""COMPUTED_VALUE"""),"Phuongdt")</f>
        <v>Phuongdt</v>
      </c>
      <c r="Y496" s="44" t="str">
        <f aca="false">IFERROR(__xludf.dummyfunction("""COMPUTED_VALUE"""),"done")</f>
        <v>done</v>
      </c>
      <c r="Z496" s="57" t="str">
        <f aca="false">IFERROR(__xludf.dummyfunction("""COMPUTED_VALUE"""),"#N/A")</f>
        <v>#N/A</v>
      </c>
      <c r="AA496" s="57"/>
      <c r="AB496" s="41" t="n">
        <f aca="false">IFERROR(__xludf.dummyfunction("""COMPUTED_VALUE"""),10)</f>
        <v>10</v>
      </c>
      <c r="AC496" s="57" t="str">
        <f aca="false">IFERROR(__xludf.dummyfunction("""COMPUTED_VALUE"""),"gv.ngocvk@hocmai.edu.vn")</f>
        <v>gv.ngocvk@hocmai.edu.vn</v>
      </c>
      <c r="AD496" s="46" t="str">
        <f aca="false">IFERROR(__xludf.dummyfunction("""COMPUTED_VALUE"""),"vinhtho0704@gmail.com")</f>
        <v>vinhtho0704@gmail.com</v>
      </c>
      <c r="AE496" s="46"/>
      <c r="AF496" s="74" t="b">
        <f aca="false">IFERROR(__xludf.dummyfunction("""COMPUTED_VALUE"""),FALSE())</f>
        <v>0</v>
      </c>
      <c r="AG496" s="46" t="str">
        <f aca="false">IFERROR(__xludf.dummyfunction("""COMPUTED_VALUE"""),"")</f>
        <v/>
      </c>
      <c r="AH496" s="46"/>
      <c r="AI496" s="81" t="b">
        <f aca="false">IFERROR(__xludf.dummyfunction("""COMPUTED_VALUE"""),TRUE())</f>
        <v>1</v>
      </c>
      <c r="AJ496" s="46"/>
      <c r="AK496" s="46"/>
      <c r="AL496" s="46"/>
      <c r="AM496" s="46"/>
      <c r="AN496" s="46"/>
      <c r="AO496" s="46"/>
    </row>
    <row r="497" customFormat="false" ht="15.75" hidden="false" customHeight="true" outlineLevel="0" collapsed="false">
      <c r="A497" s="37" t="str">
        <f aca="false">IFERROR(__xludf.dummyfunction("""COMPUTED_VALUE"""),"Khoa học")</f>
        <v>Khoa học</v>
      </c>
      <c r="B497" s="37" t="str">
        <f aca="false">IFERROR(__xludf.dummyfunction("""COMPUTED_VALUE"""),"TOS_V-ACT_KH16")</f>
        <v>TOS_V-ACT_KH16</v>
      </c>
      <c r="C497" s="59" t="str">
        <f aca="false">IFERROR(__xludf.dummyfunction("""COMPUTED_VALUE"""),"Thực hành truy tìm bằng chứng cho câu hỏi không có sẵn thông tin (P2).")</f>
        <v>Thực hành truy tìm bằng chứng cho câu hỏi không có sẵn thông tin (P2).</v>
      </c>
      <c r="D497" s="39" t="str">
        <f aca="false">IFERROR(__xludf.dummyfunction("""COMPUTED_VALUE"""),"Lê Văn Minh")</f>
        <v>Lê Văn Minh</v>
      </c>
      <c r="E497" s="40" t="n">
        <f aca="false">IFERROR(__xludf.dummyfunction("""COMPUTED_VALUE"""),46298)</f>
        <v>46298</v>
      </c>
      <c r="F497" s="41" t="n">
        <f aca="false">IFERROR(__xludf.dummyfunction("""COMPUTED_VALUE"""),7)</f>
        <v>7</v>
      </c>
      <c r="G497" s="37" t="str">
        <f aca="false">IFERROR(__xludf.dummyfunction("""COMPUTED_VALUE"""),"20:30-22:00")</f>
        <v>20:30-22:00</v>
      </c>
      <c r="H497" s="37"/>
      <c r="I497" s="37"/>
      <c r="J497" s="37"/>
      <c r="K497" s="68" t="str">
        <f aca="false">IFERROR(__xludf.dummyfunction("""COMPUTED_VALUE"""),"Kimnq")</f>
        <v>Kimnq</v>
      </c>
      <c r="L497" s="68" t="str">
        <f aca="false">IFERROR(__xludf.dummyfunction("""COMPUTED_VALUE"""),"Lê Quốc Việt")</f>
        <v>Lê Quốc Việt</v>
      </c>
      <c r="M497" s="71"/>
      <c r="N497" s="77" t="str">
        <f aca="false">IFERROR(__xludf.dummyfunction("""COMPUTED_VALUE"""),"3340,3126")</f>
        <v>3340,3126</v>
      </c>
      <c r="O497" s="73" t="n">
        <f aca="false">IFERROR(__xludf.dummyfunction("""COMPUTED_VALUE"""),167507.167394)</f>
        <v>167507.167394</v>
      </c>
      <c r="P497" s="63"/>
      <c r="Q497" s="63"/>
      <c r="R497" s="41"/>
      <c r="S497" s="41"/>
      <c r="T497" s="63"/>
      <c r="U497" s="63"/>
      <c r="V497" s="70" t="n">
        <f aca="false">IFERROR(__xludf.dummyfunction("""COMPUTED_VALUE"""),46301)</f>
        <v>46301</v>
      </c>
      <c r="W497" s="39"/>
      <c r="X497" s="41" t="str">
        <f aca="false">IFERROR(__xludf.dummyfunction("""COMPUTED_VALUE"""),"Kimnq")</f>
        <v>Kimnq</v>
      </c>
      <c r="Y497" s="44" t="str">
        <f aca="false">IFERROR(__xludf.dummyfunction("""COMPUTED_VALUE"""),"done")</f>
        <v>done</v>
      </c>
      <c r="Z497" s="57" t="str">
        <f aca="false">IFERROR(__xludf.dummyfunction("""COMPUTED_VALUE"""),"#N/A")</f>
        <v>#N/A</v>
      </c>
      <c r="AA497" s="57"/>
      <c r="AB497" s="41" t="n">
        <f aca="false">IFERROR(__xludf.dummyfunction("""COMPUTED_VALUE"""),10)</f>
        <v>10</v>
      </c>
      <c r="AC497" s="57" t="str">
        <f aca="false">IFERROR(__xludf.dummyfunction("""COMPUTED_VALUE"""),"gv.minhlv@hocmai.edu.vn		")</f>
        <v>gv.minhlv@hocmai.edu.vn		</v>
      </c>
      <c r="AD497" s="46" t="str">
        <f aca="false">IFERROR(__xludf.dummyfunction("""COMPUTED_VALUE"""),"Ralph02091@gmail.com")</f>
        <v>Ralph02091@gmail.com</v>
      </c>
      <c r="AE497" s="46"/>
      <c r="AF497" s="47" t="str">
        <f aca="false">IFERROR(__xludf.dummyfunction("""COMPUTED_VALUE"""),"lophoctoan-946298")</f>
        <v>lophoctoan-946298</v>
      </c>
      <c r="AG497" s="46" t="str">
        <f aca="false">IFERROR(__xludf.dummyfunction("""COMPUTED_VALUE"""),"")</f>
        <v/>
      </c>
      <c r="AH497" s="46"/>
      <c r="AI497" s="46"/>
      <c r="AJ497" s="46"/>
      <c r="AK497" s="46"/>
      <c r="AL497" s="46"/>
      <c r="AM497" s="81" t="b">
        <f aca="false">IFERROR(__xludf.dummyfunction("""COMPUTED_VALUE"""),TRUE())</f>
        <v>1</v>
      </c>
      <c r="AN497" s="81" t="b">
        <f aca="false">IFERROR(__xludf.dummyfunction("""COMPUTED_VALUE"""),TRUE())</f>
        <v>1</v>
      </c>
      <c r="AO497" s="46"/>
    </row>
    <row r="498" customFormat="false" ht="15.75" hidden="false" customHeight="true" outlineLevel="0" collapsed="false">
      <c r="A498" s="37" t="str">
        <f aca="false">IFERROR(__xludf.dummyfunction("""COMPUTED_VALUE"""),"Toán")</f>
        <v>Toán</v>
      </c>
      <c r="B498" s="37" t="str">
        <f aca="false">IFERROR(__xludf.dummyfunction("""COMPUTED_VALUE"""),"NT_N_25")</f>
        <v>NT_N_25</v>
      </c>
      <c r="C498" s="59" t="str">
        <f aca="false">IFERROR(__xludf.dummyfunction("""COMPUTED_VALUE"""),"Ứng dụng tích phân trong các bài toán thực tế (P2)")</f>
        <v>Ứng dụng tích phân trong các bài toán thực tế (P2)</v>
      </c>
      <c r="D498" s="39" t="str">
        <f aca="false">IFERROR(__xludf.dummyfunction("""COMPUTED_VALUE"""),"Nguyễn Hoài Nam")</f>
        <v>Nguyễn Hoài Nam</v>
      </c>
      <c r="E498" s="40" t="n">
        <f aca="false">IFERROR(__xludf.dummyfunction("""COMPUTED_VALUE"""),46299)</f>
        <v>46299</v>
      </c>
      <c r="F498" s="41" t="str">
        <f aca="false">IFERROR(__xludf.dummyfunction("""COMPUTED_VALUE"""),"CN")</f>
        <v>CN</v>
      </c>
      <c r="G498" s="37" t="str">
        <f aca="false">IFERROR(__xludf.dummyfunction("""COMPUTED_VALUE"""),"21:00-22:30")</f>
        <v>21:00-22:30</v>
      </c>
      <c r="H498" s="37"/>
      <c r="I498" s="37"/>
      <c r="J498" s="62"/>
      <c r="K498" s="68" t="str">
        <f aca="false">IFERROR(__xludf.dummyfunction("""COMPUTED_VALUE"""),"lent")</f>
        <v>lent</v>
      </c>
      <c r="L498" s="68" t="str">
        <f aca="false">IFERROR(__xludf.dummyfunction("""COMPUTED_VALUE"""),"Tưởng Thị Huyền Trang")</f>
        <v>Tưởng Thị Huyền Trang</v>
      </c>
      <c r="M498" s="69" t="str">
        <f aca="false">IFERROR(__xludf.dummyfunction("""COMPUTED_VALUE"""),"https://hocmai.sharepoint.com/Education_Development/Lists/San_xuat_video/DispForm.aspx?ID=12212")</f>
        <v>https://hocmai.sharepoint.com/Education_Development/Lists/San_xuat_video/DispForm.aspx?ID=12212</v>
      </c>
      <c r="N498" s="78" t="n">
        <f aca="false">IFERROR(__xludf.dummyfunction("""COMPUTED_VALUE"""),3313)</f>
        <v>3313</v>
      </c>
      <c r="O498" s="63" t="n">
        <f aca="false">IFERROR(__xludf.dummyfunction("""COMPUTED_VALUE"""),166649)</f>
        <v>166649</v>
      </c>
      <c r="P498" s="63"/>
      <c r="Q498" s="63" t="n">
        <f aca="false">IFERROR(__xludf.dummyfunction("""COMPUTED_VALUE"""),8049)</f>
        <v>8049</v>
      </c>
      <c r="R498" s="41"/>
      <c r="S498" s="41"/>
      <c r="T498" s="63" t="n">
        <f aca="false">IFERROR(__xludf.dummyfunction("""COMPUTED_VALUE"""),8050)</f>
        <v>8050</v>
      </c>
      <c r="U498" s="63"/>
      <c r="V498" s="70" t="n">
        <f aca="false">IFERROR(__xludf.dummyfunction("""COMPUTED_VALUE"""),46301)</f>
        <v>46301</v>
      </c>
      <c r="W498" s="39"/>
      <c r="X498" s="41" t="str">
        <f aca="false">IFERROR(__xludf.dummyfunction("""COMPUTED_VALUE"""),"Huent7")</f>
        <v>Huent7</v>
      </c>
      <c r="Y498" s="44"/>
      <c r="Z498" s="57"/>
      <c r="AA498" s="57"/>
      <c r="AB498" s="41" t="n">
        <f aca="false">IFERROR(__xludf.dummyfunction("""COMPUTED_VALUE"""),10)</f>
        <v>10</v>
      </c>
      <c r="AC498" s="57"/>
      <c r="AD498" s="46"/>
      <c r="AE498" s="46"/>
      <c r="AF498" s="47" t="str">
        <f aca="false">IFERROR(__xludf.dummyfunction("""COMPUTED_VALUE"""),"lophoctoan-946299")</f>
        <v>lophoctoan-946299</v>
      </c>
      <c r="AG498" s="46" t="str">
        <f aca="false">IFERROR(__xludf.dummyfunction("""COMPUTED_VALUE"""),"")</f>
        <v/>
      </c>
      <c r="AH498" s="81" t="b">
        <f aca="false">IFERROR(__xludf.dummyfunction("""COMPUTED_VALUE"""),TRUE())</f>
        <v>1</v>
      </c>
      <c r="AI498" s="46"/>
      <c r="AJ498" s="46"/>
      <c r="AK498" s="46"/>
      <c r="AL498" s="46"/>
      <c r="AM498" s="46"/>
      <c r="AN498" s="46"/>
      <c r="AO498" s="46"/>
    </row>
    <row r="499" customFormat="false" ht="15.75" hidden="false" customHeight="true" outlineLevel="0" collapsed="false">
      <c r="A499" s="37" t="str">
        <f aca="false">IFERROR(__xludf.dummyfunction("""COMPUTED_VALUE"""),"Toán")</f>
        <v>Toán</v>
      </c>
      <c r="B499" s="37" t="str">
        <f aca="false">IFERROR(__xludf.dummyfunction("""COMPUTED_VALUE"""),"NT_T_41")</f>
        <v>NT_T_41</v>
      </c>
      <c r="C499" s="59" t="str">
        <f aca="false">IFERROR(__xludf.dummyfunction("""COMPUTED_VALUE"""),"Dùng hệ trục Oxyz giải các bài toán HHKG lớp 11")</f>
        <v>Dùng hệ trục Oxyz giải các bài toán HHKG lớp 11</v>
      </c>
      <c r="D499" s="39" t="str">
        <f aca="false">IFERROR(__xludf.dummyfunction("""COMPUTED_VALUE"""),"Nguyễn Thanh Tùng")</f>
        <v>Nguyễn Thanh Tùng</v>
      </c>
      <c r="E499" s="40" t="n">
        <f aca="false">IFERROR(__xludf.dummyfunction("""COMPUTED_VALUE"""),46299)</f>
        <v>46299</v>
      </c>
      <c r="F499" s="41" t="str">
        <f aca="false">IFERROR(__xludf.dummyfunction("""COMPUTED_VALUE"""),"CN")</f>
        <v>CN</v>
      </c>
      <c r="G499" s="37" t="str">
        <f aca="false">IFERROR(__xludf.dummyfunction("""COMPUTED_VALUE"""),"18:00-20:00")</f>
        <v>18:00-20:00</v>
      </c>
      <c r="H499" s="37"/>
      <c r="I499" s="37"/>
      <c r="J499" s="37"/>
      <c r="K499" s="68" t="str">
        <f aca="false">IFERROR(__xludf.dummyfunction("""COMPUTED_VALUE"""),"Khanhnl")</f>
        <v>Khanhnl</v>
      </c>
      <c r="L499" s="68" t="str">
        <f aca="false">IFERROR(__xludf.dummyfunction("""COMPUTED_VALUE"""),"Tưởng Thị Huyền Trang")</f>
        <v>Tưởng Thị Huyền Trang</v>
      </c>
      <c r="M499" s="69" t="str">
        <f aca="false">IFERROR(__xludf.dummyfunction("""COMPUTED_VALUE"""),"https://hocmai.sharepoint.com/Education_Development/Lists/San_xuat_video/DispForm.aspx?ID=12180")</f>
        <v>https://hocmai.sharepoint.com/Education_Development/Lists/San_xuat_video/DispForm.aspx?ID=12180</v>
      </c>
      <c r="N499" s="63" t="n">
        <f aca="false">IFERROR(__xludf.dummyfunction("""COMPUTED_VALUE"""),3312)</f>
        <v>3312</v>
      </c>
      <c r="O499" s="63" t="n">
        <f aca="false">IFERROR(__xludf.dummyfunction("""COMPUTED_VALUE"""),166574)</f>
        <v>166574</v>
      </c>
      <c r="P499" s="63"/>
      <c r="Q499" s="63" t="n">
        <f aca="false">IFERROR(__xludf.dummyfunction("""COMPUTED_VALUE"""),7965)</f>
        <v>7965</v>
      </c>
      <c r="R499" s="41"/>
      <c r="S499" s="41"/>
      <c r="T499" s="63" t="n">
        <f aca="false">IFERROR(__xludf.dummyfunction("""COMPUTED_VALUE"""),7966)</f>
        <v>7966</v>
      </c>
      <c r="U499" s="63"/>
      <c r="V499" s="70" t="n">
        <f aca="false">IFERROR(__xludf.dummyfunction("""COMPUTED_VALUE"""),46309)</f>
        <v>46309</v>
      </c>
      <c r="W499" s="39"/>
      <c r="X499" s="41" t="str">
        <f aca="false">IFERROR(__xludf.dummyfunction("""COMPUTED_VALUE"""),"Huent7")</f>
        <v>Huent7</v>
      </c>
      <c r="Y499" s="44"/>
      <c r="Z499" s="57"/>
      <c r="AA499" s="57"/>
      <c r="AB499" s="41" t="n">
        <f aca="false">IFERROR(__xludf.dummyfunction("""COMPUTED_VALUE"""),10)</f>
        <v>10</v>
      </c>
      <c r="AC499" s="57"/>
      <c r="AD499" s="46"/>
      <c r="AE499" s="46"/>
      <c r="AF499" s="47" t="str">
        <f aca="false">IFERROR(__xludf.dummyfunction("""COMPUTED_VALUE"""),"lophoctoan-946299")</f>
        <v>lophoctoan-946299</v>
      </c>
      <c r="AG499" s="46" t="str">
        <f aca="false">IFERROR(__xludf.dummyfunction("""COMPUTED_VALUE"""),"")</f>
        <v/>
      </c>
      <c r="AH499" s="81" t="b">
        <f aca="false">IFERROR(__xludf.dummyfunction("""COMPUTED_VALUE"""),TRUE())</f>
        <v>1</v>
      </c>
      <c r="AI499" s="46"/>
      <c r="AJ499" s="46"/>
      <c r="AK499" s="46"/>
      <c r="AL499" s="46"/>
      <c r="AM499" s="46"/>
      <c r="AN499" s="46"/>
      <c r="AO499" s="46"/>
    </row>
    <row r="500" customFormat="false" ht="15.75" hidden="false" customHeight="true" outlineLevel="0" collapsed="false">
      <c r="A500" s="37" t="str">
        <f aca="false">IFERROR(__xludf.dummyfunction("""COMPUTED_VALUE"""),"Đọc hiểu")</f>
        <v>Đọc hiểu</v>
      </c>
      <c r="B500" s="37" t="str">
        <f aca="false">IFERROR(__xludf.dummyfunction("""COMPUTED_VALUE"""),"TOV_TSA_DH17")</f>
        <v>TOV_TSA_DH17</v>
      </c>
      <c r="C500" s="59" t="str">
        <f aca="false">IFERROR(__xludf.dummyfunction("""COMPUTED_VALUE"""),"Hướng dẫn đọc văn bản khoa học tự nhiên và công nghệ")</f>
        <v>Hướng dẫn đọc văn bản khoa học tự nhiên và công nghệ</v>
      </c>
      <c r="D500" s="39" t="str">
        <f aca="false">IFERROR(__xludf.dummyfunction("""COMPUTED_VALUE"""),"Vũ Khắc Ngọc")</f>
        <v>Vũ Khắc Ngọc</v>
      </c>
      <c r="E500" s="40" t="n">
        <f aca="false">IFERROR(__xludf.dummyfunction("""COMPUTED_VALUE"""),46300)</f>
        <v>46300</v>
      </c>
      <c r="F500" s="41" t="n">
        <f aca="false">IFERROR(__xludf.dummyfunction("""COMPUTED_VALUE"""),2)</f>
        <v>2</v>
      </c>
      <c r="G500" s="37" t="str">
        <f aca="false">IFERROR(__xludf.dummyfunction("""COMPUTED_VALUE"""),"21:30-23:30")</f>
        <v>21:30-23:30</v>
      </c>
      <c r="H500" s="37"/>
      <c r="I500" s="37"/>
      <c r="J500" s="37"/>
      <c r="K500" s="68" t="str">
        <f aca="false">IFERROR(__xludf.dummyfunction("""COMPUTED_VALUE"""),"Hangvt3")</f>
        <v>Hangvt3</v>
      </c>
      <c r="L500" s="68" t="str">
        <f aca="false">IFERROR(__xludf.dummyfunction("""COMPUTED_VALUE"""),"Phan Đức Kiên")</f>
        <v>Phan Đức Kiên</v>
      </c>
      <c r="M500" s="71"/>
      <c r="N500" s="77" t="str">
        <f aca="false">IFERROR(__xludf.dummyfunction("""COMPUTED_VALUE"""),"3109")</f>
        <v>3109</v>
      </c>
      <c r="O500" s="63" t="n">
        <f aca="false">IFERROR(__xludf.dummyfunction("""COMPUTED_VALUE"""),167240)</f>
        <v>167240</v>
      </c>
      <c r="P500" s="63"/>
      <c r="Q500" s="63"/>
      <c r="R500" s="41"/>
      <c r="S500" s="41"/>
      <c r="T500" s="63"/>
      <c r="U500" s="63"/>
      <c r="V500" s="70" t="n">
        <f aca="false">IFERROR(__xludf.dummyfunction("""COMPUTED_VALUE"""),46303)</f>
        <v>46303</v>
      </c>
      <c r="W500" s="39"/>
      <c r="X500" s="41" t="str">
        <f aca="false">IFERROR(__xludf.dummyfunction("""COMPUTED_VALUE"""),"Huent7")</f>
        <v>Huent7</v>
      </c>
      <c r="Y500" s="44" t="str">
        <f aca="false">IFERROR(__xludf.dummyfunction("""COMPUTED_VALUE"""),"done")</f>
        <v>done</v>
      </c>
      <c r="Z500" s="57" t="str">
        <f aca="false">IFERROR(__xludf.dummyfunction("""COMPUTED_VALUE"""),"#N/A")</f>
        <v>#N/A</v>
      </c>
      <c r="AA500" s="57"/>
      <c r="AB500" s="41" t="n">
        <f aca="false">IFERROR(__xludf.dummyfunction("""COMPUTED_VALUE"""),10)</f>
        <v>10</v>
      </c>
      <c r="AC500" s="57" t="str">
        <f aca="false">IFERROR(__xludf.dummyfunction("""COMPUTED_VALUE"""),"gv.ngocvk@hocmai.edu.vn")</f>
        <v>gv.ngocvk@hocmai.edu.vn</v>
      </c>
      <c r="AD500" s="46" t="str">
        <f aca="false">IFERROR(__xludf.dummyfunction("""COMPUTED_VALUE"""),"duckien010607@gmail.com")</f>
        <v>duckien010607@gmail.com</v>
      </c>
      <c r="AE500" s="46"/>
      <c r="AF500" s="47" t="str">
        <f aca="false">IFERROR(__xludf.dummyfunction("""COMPUTED_VALUE"""),"lophoctoan-946300")</f>
        <v>lophoctoan-946300</v>
      </c>
      <c r="AG500" s="46" t="str">
        <f aca="false">IFERROR(__xludf.dummyfunction("""COMPUTED_VALUE"""),"")</f>
        <v/>
      </c>
      <c r="AH500" s="46"/>
      <c r="AI500" s="81" t="b">
        <f aca="false">IFERROR(__xludf.dummyfunction("""COMPUTED_VALUE"""),TRUE())</f>
        <v>1</v>
      </c>
      <c r="AJ500" s="46"/>
      <c r="AK500" s="46"/>
      <c r="AL500" s="46"/>
      <c r="AM500" s="46"/>
      <c r="AN500" s="46"/>
      <c r="AO500" s="46"/>
    </row>
    <row r="501" customFormat="false" ht="15.75" hidden="false" customHeight="true" outlineLevel="0" collapsed="false">
      <c r="A501" s="37" t="str">
        <f aca="false">IFERROR(__xludf.dummyfunction("""COMPUTED_VALUE"""),"Tiếng Anh")</f>
        <v>Tiếng Anh</v>
      </c>
      <c r="B501" s="37" t="str">
        <f aca="false">IFERROR(__xludf.dummyfunction("""COMPUTED_VALUE"""),"TOV_HV_TA17")</f>
        <v>TOV_HV_TA17</v>
      </c>
      <c r="C501" s="59" t="str">
        <f aca="false">IFERROR(__xludf.dummyfunction("""COMPUTED_VALUE"""),"Luyện tập dạng bài đọc hiểu")</f>
        <v>Luyện tập dạng bài đọc hiểu</v>
      </c>
      <c r="D501" s="39" t="str">
        <f aca="false">IFERROR(__xludf.dummyfunction("""COMPUTED_VALUE"""),"Nguyễn Thanh Hương")</f>
        <v>Nguyễn Thanh Hương</v>
      </c>
      <c r="E501" s="40" t="n">
        <f aca="false">IFERROR(__xludf.dummyfunction("""COMPUTED_VALUE"""),46300)</f>
        <v>46300</v>
      </c>
      <c r="F501" s="41" t="n">
        <f aca="false">IFERROR(__xludf.dummyfunction("""COMPUTED_VALUE"""),2)</f>
        <v>2</v>
      </c>
      <c r="G501" s="37" t="str">
        <f aca="false">IFERROR(__xludf.dummyfunction("""COMPUTED_VALUE"""),"20:00-22:00")</f>
        <v>20:00-22:00</v>
      </c>
      <c r="H501" s="37"/>
      <c r="I501" s="37"/>
      <c r="J501" s="37"/>
      <c r="K501" s="68" t="str">
        <f aca="false">IFERROR(__xludf.dummyfunction("""COMPUTED_VALUE"""),"huyennn2")</f>
        <v>huyennn2</v>
      </c>
      <c r="L501" s="68" t="str">
        <f aca="false">IFERROR(__xludf.dummyfunction("""COMPUTED_VALUE"""),"Nguyễn Lê Thụy Quyên ")</f>
        <v>Nguyễn Lê Thụy Quyên </v>
      </c>
      <c r="M501" s="71"/>
      <c r="N501" s="77" t="str">
        <f aca="false">IFERROR(__xludf.dummyfunction("""COMPUTED_VALUE"""),"3140,3165,3339")</f>
        <v>3140,3165,3339</v>
      </c>
      <c r="O501" s="73" t="str">
        <f aca="false">IFERROR(__xludf.dummyfunction("""COMPUTED_VALUE"""),"167553,167621,167645")</f>
        <v>167553,167621,167645</v>
      </c>
      <c r="P501" s="63" t="str">
        <f aca="false">IFERROR(__xludf.dummyfunction("""COMPUTED_VALUE"""),"9030,9038,9047,9119")</f>
        <v>9030,9038,9047,9119</v>
      </c>
      <c r="Q501" s="63"/>
      <c r="R501" s="41"/>
      <c r="S501" s="41"/>
      <c r="T501" s="63"/>
      <c r="U501" s="63"/>
      <c r="V501" s="70" t="n">
        <f aca="false">IFERROR(__xludf.dummyfunction("""COMPUTED_VALUE"""),46303)</f>
        <v>46303</v>
      </c>
      <c r="W501" s="39"/>
      <c r="X501" s="41" t="str">
        <f aca="false">IFERROR(__xludf.dummyfunction("""COMPUTED_VALUE"""),"huyennn2")</f>
        <v>huyennn2</v>
      </c>
      <c r="Y501" s="44" t="str">
        <f aca="false">IFERROR(__xludf.dummyfunction("""COMPUTED_VALUE"""),"done")</f>
        <v>done</v>
      </c>
      <c r="Z501" s="57" t="str">
        <f aca="false">IFERROR(__xludf.dummyfunction("""COMPUTED_VALUE"""),"#N/A")</f>
        <v>#N/A</v>
      </c>
      <c r="AA501" s="57"/>
      <c r="AB501" s="41" t="n">
        <f aca="false">IFERROR(__xludf.dummyfunction("""COMPUTED_VALUE"""),10)</f>
        <v>10</v>
      </c>
      <c r="AC501" s="57" t="str">
        <f aca="false">IFERROR(__xludf.dummyfunction("""COMPUTED_VALUE"""),"gv.huongnt@hocmai.edu.vn ")</f>
        <v>gv.huongnt@hocmai.edu.vn </v>
      </c>
      <c r="AD501" s="46" t="str">
        <f aca="false">IFERROR(__xludf.dummyfunction("""COMPUTED_VALUE"""),"nguyenlethuyquyencp@gmail.com")</f>
        <v>nguyenlethuyquyencp@gmail.com</v>
      </c>
      <c r="AE501" s="46"/>
      <c r="AF501" s="47" t="str">
        <f aca="false">IFERROR(__xludf.dummyfunction("""COMPUTED_VALUE"""),"lophoctienganh46300")</f>
        <v>lophoctienganh46300</v>
      </c>
      <c r="AG501" s="46" t="str">
        <f aca="false">IFERROR(__xludf.dummyfunction("""COMPUTED_VALUE"""),"")</f>
        <v/>
      </c>
      <c r="AH501" s="46"/>
      <c r="AI501" s="46"/>
      <c r="AJ501" s="81" t="b">
        <f aca="false">IFERROR(__xludf.dummyfunction("""COMPUTED_VALUE"""),TRUE())</f>
        <v>1</v>
      </c>
      <c r="AK501" s="81" t="b">
        <f aca="false">IFERROR(__xludf.dummyfunction("""COMPUTED_VALUE"""),TRUE())</f>
        <v>1</v>
      </c>
      <c r="AL501" s="46"/>
      <c r="AM501" s="81" t="b">
        <f aca="false">IFERROR(__xludf.dummyfunction("""COMPUTED_VALUE"""),TRUE())</f>
        <v>1</v>
      </c>
      <c r="AN501" s="81" t="b">
        <f aca="false">IFERROR(__xludf.dummyfunction("""COMPUTED_VALUE"""),TRUE())</f>
        <v>1</v>
      </c>
      <c r="AO501" s="46"/>
    </row>
    <row r="502" customFormat="false" ht="15.75" hidden="false" customHeight="true" outlineLevel="0" collapsed="false">
      <c r="A502" s="37" t="str">
        <f aca="false">IFERROR(__xludf.dummyfunction("""COMPUTED_VALUE"""),"Hóa học")</f>
        <v>Hóa học</v>
      </c>
      <c r="B502" s="37" t="str">
        <f aca="false">IFERROR(__xludf.dummyfunction("""COMPUTED_VALUE"""),"TOV_HT_HH17")</f>
        <v>TOV_HT_HH17</v>
      </c>
      <c r="C502" s="59" t="str">
        <f aca="false">IFERROR(__xludf.dummyfunction("""COMPUTED_VALUE"""),"Pin điện – điện phân")</f>
        <v>Pin điện – điện phân</v>
      </c>
      <c r="D502" s="39" t="str">
        <f aca="false">IFERROR(__xludf.dummyfunction("""COMPUTED_VALUE"""),"Chu Hải Long")</f>
        <v>Chu Hải Long</v>
      </c>
      <c r="E502" s="40" t="n">
        <f aca="false">IFERROR(__xludf.dummyfunction("""COMPUTED_VALUE"""),46300)</f>
        <v>46300</v>
      </c>
      <c r="F502" s="41" t="n">
        <f aca="false">IFERROR(__xludf.dummyfunction("""COMPUTED_VALUE"""),2)</f>
        <v>2</v>
      </c>
      <c r="G502" s="37" t="str">
        <f aca="false">IFERROR(__xludf.dummyfunction("""COMPUTED_VALUE"""),"19:45-21:45")</f>
        <v>19:45-21:45</v>
      </c>
      <c r="H502" s="37"/>
      <c r="I502" s="37"/>
      <c r="J502" s="37"/>
      <c r="K502" s="68" t="str">
        <f aca="false">IFERROR(__xludf.dummyfunction("""COMPUTED_VALUE"""),"Huebt")</f>
        <v>Huebt</v>
      </c>
      <c r="L502" s="68" t="str">
        <f aca="false">IFERROR(__xludf.dummyfunction("""COMPUTED_VALUE"""),"Võ Hương Giang")</f>
        <v>Võ Hương Giang</v>
      </c>
      <c r="M502" s="71"/>
      <c r="N502" s="77" t="str">
        <f aca="false">IFERROR(__xludf.dummyfunction("""COMPUTED_VALUE"""),"3120,3131")</f>
        <v>3120,3131</v>
      </c>
      <c r="O502" s="63" t="str">
        <f aca="false">IFERROR(__xludf.dummyfunction("""COMPUTED_VALUE"""),"167441,167453")</f>
        <v>167441,167453</v>
      </c>
      <c r="P502" s="63" t="str">
        <f aca="false">IFERROR(__xludf.dummyfunction("""COMPUTED_VALUE"""),"9032,9040,9021")</f>
        <v>9032,9040,9021</v>
      </c>
      <c r="Q502" s="63"/>
      <c r="R502" s="41"/>
      <c r="S502" s="41"/>
      <c r="T502" s="63"/>
      <c r="U502" s="63" t="n">
        <f aca="false">IFERROR(__xludf.dummyfunction("""COMPUTED_VALUE"""),10494)</f>
        <v>10494</v>
      </c>
      <c r="V502" s="70" t="n">
        <f aca="false">IFERROR(__xludf.dummyfunction("""COMPUTED_VALUE"""),46303)</f>
        <v>46303</v>
      </c>
      <c r="W502" s="39"/>
      <c r="X502" s="41" t="str">
        <f aca="false">IFERROR(__xludf.dummyfunction("""COMPUTED_VALUE"""),"Huebt")</f>
        <v>Huebt</v>
      </c>
      <c r="Y502" s="44"/>
      <c r="Z502" s="57" t="str">
        <f aca="false">IFERROR(__xludf.dummyfunction("""COMPUTED_VALUE"""),"#N/A")</f>
        <v>#N/A</v>
      </c>
      <c r="AA502" s="57"/>
      <c r="AB502" s="41" t="n">
        <f aca="false">IFERROR(__xludf.dummyfunction("""COMPUTED_VALUE"""),10)</f>
        <v>10</v>
      </c>
      <c r="AC502" s="57" t="str">
        <f aca="false">IFERROR(__xludf.dummyfunction("""COMPUTED_VALUE"""),"gv.longch@hocmai.edu.vn")</f>
        <v>gv.longch@hocmai.edu.vn</v>
      </c>
      <c r="AD502" s="46" t="str">
        <f aca="false">IFERROR(__xludf.dummyfunction("""COMPUTED_VALUE"""),"giangvh@ctv.hocmai.vn")</f>
        <v>giangvh@ctv.hocmai.vn</v>
      </c>
      <c r="AE502" s="46"/>
      <c r="AF502" s="74" t="b">
        <f aca="false">IFERROR(__xludf.dummyfunction("""COMPUTED_VALUE"""),FALSE())</f>
        <v>0</v>
      </c>
      <c r="AG502" s="46" t="str">
        <f aca="false">IFERROR(__xludf.dummyfunction("""COMPUTED_VALUE"""),"")</f>
        <v/>
      </c>
      <c r="AH502" s="46"/>
      <c r="AI502" s="46"/>
      <c r="AJ502" s="81" t="b">
        <f aca="false">IFERROR(__xludf.dummyfunction("""COMPUTED_VALUE"""),TRUE())</f>
        <v>1</v>
      </c>
      <c r="AK502" s="81" t="b">
        <f aca="false">IFERROR(__xludf.dummyfunction("""COMPUTED_VALUE"""),TRUE())</f>
        <v>1</v>
      </c>
      <c r="AL502" s="81" t="b">
        <f aca="false">IFERROR(__xludf.dummyfunction("""COMPUTED_VALUE"""),TRUE())</f>
        <v>1</v>
      </c>
      <c r="AM502" s="46"/>
      <c r="AN502" s="46"/>
      <c r="AO502" s="46"/>
    </row>
    <row r="503" customFormat="false" ht="15.75" hidden="false" customHeight="true" outlineLevel="0" collapsed="false">
      <c r="A503" s="37" t="str">
        <f aca="false">IFERROR(__xludf.dummyfunction("""COMPUTED_VALUE"""),"Toán")</f>
        <v>Toán</v>
      </c>
      <c r="B503" s="37" t="str">
        <f aca="false">IFERROR(__xludf.dummyfunction("""COMPUTED_VALUE"""),"TOV_TC_T16")</f>
        <v>TOV_TC_T16</v>
      </c>
      <c r="C503" s="59" t="str">
        <f aca="false">IFERROR(__xludf.dummyfunction("""COMPUTED_VALUE"""),"Các mô hình ứng dụng thể tích tính diện tích, thể tích")</f>
        <v>Các mô hình ứng dụng thể tích tính diện tích, thể tích</v>
      </c>
      <c r="D503" s="39" t="str">
        <f aca="false">IFERROR(__xludf.dummyfunction("""COMPUTED_VALUE"""),"Nguyễn Thanh Tùng")</f>
        <v>Nguyễn Thanh Tùng</v>
      </c>
      <c r="E503" s="40" t="n">
        <f aca="false">IFERROR(__xludf.dummyfunction("""COMPUTED_VALUE"""),46301)</f>
        <v>46301</v>
      </c>
      <c r="F503" s="41" t="n">
        <f aca="false">IFERROR(__xludf.dummyfunction("""COMPUTED_VALUE"""),3)</f>
        <v>3</v>
      </c>
      <c r="G503" s="37" t="str">
        <f aca="false">IFERROR(__xludf.dummyfunction("""COMPUTED_VALUE"""),"21:00-23:00")</f>
        <v>21:00-23:00</v>
      </c>
      <c r="H503" s="37"/>
      <c r="I503" s="37"/>
      <c r="J503" s="62"/>
      <c r="K503" s="68" t="str">
        <f aca="false">IFERROR(__xludf.dummyfunction("""COMPUTED_VALUE"""),"Lent")</f>
        <v>Lent</v>
      </c>
      <c r="L503" s="68" t="str">
        <f aca="false">IFERROR(__xludf.dummyfunction("""COMPUTED_VALUE"""),"Tưởng Thị Huyền Trang")</f>
        <v>Tưởng Thị Huyền Trang</v>
      </c>
      <c r="M503" s="71"/>
      <c r="N503" s="77" t="str">
        <f aca="false">IFERROR(__xludf.dummyfunction("""COMPUTED_VALUE"""),"3108,3117,3315,3127,3314")</f>
        <v>3108,3117,3315,3127,3314</v>
      </c>
      <c r="O503" s="63" t="str">
        <f aca="false">IFERROR(__xludf.dummyfunction("""COMPUTED_VALUE"""),"168386, 168601, 168342, 167474, 167074")</f>
        <v>168386, 168601, 168342, 167474, 167074</v>
      </c>
      <c r="P503" s="63" t="str">
        <f aca="false">IFERROR(__xludf.dummyfunction("""COMPUTED_VALUE"""),"9025,9028,9036,9104,9106,9017,9102")</f>
        <v>9025,9028,9036,9104,9106,9017,9102</v>
      </c>
      <c r="Q503" s="63" t="n">
        <f aca="false">IFERROR(__xludf.dummyfunction("""COMPUTED_VALUE"""),167074)</f>
        <v>167074</v>
      </c>
      <c r="R503" s="41"/>
      <c r="S503" s="41"/>
      <c r="T503" s="63"/>
      <c r="U503" s="63"/>
      <c r="V503" s="70" t="n">
        <f aca="false">IFERROR(__xludf.dummyfunction("""COMPUTED_VALUE"""),46304)</f>
        <v>46304</v>
      </c>
      <c r="W503" s="39"/>
      <c r="X503" s="41" t="str">
        <f aca="false">IFERROR(__xludf.dummyfunction("""COMPUTED_VALUE"""),"Lent")</f>
        <v>Lent</v>
      </c>
      <c r="Y503" s="44" t="str">
        <f aca="false">IFERROR(__xludf.dummyfunction("""COMPUTED_VALUE"""),"done")</f>
        <v>done</v>
      </c>
      <c r="Z503" s="57" t="str">
        <f aca="false">IFERROR(__xludf.dummyfunction("""COMPUTED_VALUE"""),"#N/A")</f>
        <v>#N/A</v>
      </c>
      <c r="AA503" s="57"/>
      <c r="AB503" s="41" t="n">
        <f aca="false">IFERROR(__xludf.dummyfunction("""COMPUTED_VALUE"""),10)</f>
        <v>10</v>
      </c>
      <c r="AC503" s="57" t="str">
        <f aca="false">IFERROR(__xludf.dummyfunction("""COMPUTED_VALUE"""),"gv.tungnt@hocmai.edu.vn ")</f>
        <v>gv.tungnt@hocmai.edu.vn </v>
      </c>
      <c r="AD503" s="46" t="str">
        <f aca="false">IFERROR(__xludf.dummyfunction("""COMPUTED_VALUE"""),"trangcrazy699@gmail.com")</f>
        <v>trangcrazy699@gmail.com</v>
      </c>
      <c r="AE503" s="46"/>
      <c r="AF503" s="47" t="str">
        <f aca="false">IFERROR(__xludf.dummyfunction("""COMPUTED_VALUE"""),"lophoctoan-946301")</f>
        <v>lophoctoan-946301</v>
      </c>
      <c r="AG503" s="46" t="str">
        <f aca="false">IFERROR(__xludf.dummyfunction("""COMPUTED_VALUE"""),"")</f>
        <v/>
      </c>
      <c r="AH503" s="46"/>
      <c r="AI503" s="81" t="b">
        <f aca="false">IFERROR(__xludf.dummyfunction("""COMPUTED_VALUE"""),TRUE())</f>
        <v>1</v>
      </c>
      <c r="AJ503" s="81" t="b">
        <f aca="false">IFERROR(__xludf.dummyfunction("""COMPUTED_VALUE"""),TRUE())</f>
        <v>1</v>
      </c>
      <c r="AK503" s="81" t="b">
        <f aca="false">IFERROR(__xludf.dummyfunction("""COMPUTED_VALUE"""),TRUE())</f>
        <v>1</v>
      </c>
      <c r="AL503" s="81" t="b">
        <f aca="false">IFERROR(__xludf.dummyfunction("""COMPUTED_VALUE"""),TRUE())</f>
        <v>1</v>
      </c>
      <c r="AM503" s="46"/>
      <c r="AN503" s="46"/>
      <c r="AO503" s="46"/>
    </row>
    <row r="504" customFormat="false" ht="15.75" hidden="false" customHeight="true" outlineLevel="0" collapsed="false">
      <c r="A504" s="37" t="str">
        <f aca="false">IFERROR(__xludf.dummyfunction("""COMPUTED_VALUE"""),"Tiếng Việt")</f>
        <v>Tiếng Việt</v>
      </c>
      <c r="B504" s="37" t="str">
        <f aca="false">IFERROR(__xludf.dummyfunction("""COMPUTED_VALUE"""),"TOV_V-ACT_TV14")</f>
        <v>TOV_V-ACT_TV14</v>
      </c>
      <c r="C504" s="59" t="str">
        <f aca="false">IFERROR(__xludf.dummyfunction("""COMPUTED_VALUE"""),"Văn bản thông tin và các đặc trưng cơ bản")</f>
        <v>Văn bản thông tin và các đặc trưng cơ bản</v>
      </c>
      <c r="D504" s="39" t="str">
        <f aca="false">IFERROR(__xludf.dummyfunction("""COMPUTED_VALUE"""),"Văn Trịnh Quỳnh An")</f>
        <v>Văn Trịnh Quỳnh An</v>
      </c>
      <c r="E504" s="40" t="n">
        <f aca="false">IFERROR(__xludf.dummyfunction("""COMPUTED_VALUE"""),46301)</f>
        <v>46301</v>
      </c>
      <c r="F504" s="41" t="n">
        <f aca="false">IFERROR(__xludf.dummyfunction("""COMPUTED_VALUE"""),3)</f>
        <v>3</v>
      </c>
      <c r="G504" s="37" t="str">
        <f aca="false">IFERROR(__xludf.dummyfunction("""COMPUTED_VALUE"""),"20:00-21:30")</f>
        <v>20:00-21:30</v>
      </c>
      <c r="H504" s="37"/>
      <c r="I504" s="37"/>
      <c r="J504" s="37"/>
      <c r="K504" s="68" t="str">
        <f aca="false">IFERROR(__xludf.dummyfunction("""COMPUTED_VALUE"""),"Hangvt3")</f>
        <v>Hangvt3</v>
      </c>
      <c r="L504" s="68" t="str">
        <f aca="false">IFERROR(__xludf.dummyfunction("""COMPUTED_VALUE"""),"Bùi Vĩnh Thọ")</f>
        <v>Bùi Vĩnh Thọ</v>
      </c>
      <c r="M504" s="71"/>
      <c r="N504" s="77" t="str">
        <f aca="false">IFERROR(__xludf.dummyfunction("""COMPUTED_VALUE"""),"3125,3338")</f>
        <v>3125,3338</v>
      </c>
      <c r="O504" s="73" t="n">
        <f aca="false">IFERROR(__xludf.dummyfunction("""COMPUTED_VALUE"""),167366.174781)</f>
        <v>167366.174781</v>
      </c>
      <c r="P504" s="63" t="n">
        <f aca="false">IFERROR(__xludf.dummyfunction("""COMPUTED_VALUE"""),174781)</f>
        <v>174781</v>
      </c>
      <c r="Q504" s="63"/>
      <c r="R504" s="41"/>
      <c r="S504" s="41"/>
      <c r="T504" s="63"/>
      <c r="U504" s="63"/>
      <c r="V504" s="70" t="n">
        <f aca="false">IFERROR(__xludf.dummyfunction("""COMPUTED_VALUE"""),46304)</f>
        <v>46304</v>
      </c>
      <c r="W504" s="39"/>
      <c r="X504" s="41" t="str">
        <f aca="false">IFERROR(__xludf.dummyfunction("""COMPUTED_VALUE"""),"Phuongdt")</f>
        <v>Phuongdt</v>
      </c>
      <c r="Y504" s="44" t="str">
        <f aca="false">IFERROR(__xludf.dummyfunction("""COMPUTED_VALUE"""),"done")</f>
        <v>done</v>
      </c>
      <c r="Z504" s="57" t="str">
        <f aca="false">IFERROR(__xludf.dummyfunction("""COMPUTED_VALUE"""),"#N/A")</f>
        <v>#N/A</v>
      </c>
      <c r="AA504" s="57"/>
      <c r="AB504" s="41" t="n">
        <f aca="false">IFERROR(__xludf.dummyfunction("""COMPUTED_VALUE"""),10)</f>
        <v>10</v>
      </c>
      <c r="AC504" s="57" t="str">
        <f aca="false">IFERROR(__xludf.dummyfunction("""COMPUTED_VALUE"""),"gv.anvtq@hocmai.edu.vn ")</f>
        <v>gv.anvtq@hocmai.edu.vn </v>
      </c>
      <c r="AD504" s="46" t="str">
        <f aca="false">IFERROR(__xludf.dummyfunction("""COMPUTED_VALUE"""),"vinhtho0704@gmail.com")</f>
        <v>vinhtho0704@gmail.com</v>
      </c>
      <c r="AE504" s="46"/>
      <c r="AF504" s="74" t="b">
        <f aca="false">IFERROR(__xludf.dummyfunction("""COMPUTED_VALUE"""),FALSE())</f>
        <v>0</v>
      </c>
      <c r="AG504" s="46" t="str">
        <f aca="false">IFERROR(__xludf.dummyfunction("""COMPUTED_VALUE"""),"")</f>
        <v/>
      </c>
      <c r="AH504" s="46"/>
      <c r="AI504" s="46"/>
      <c r="AJ504" s="46"/>
      <c r="AK504" s="46"/>
      <c r="AL504" s="46"/>
      <c r="AM504" s="81" t="b">
        <f aca="false">IFERROR(__xludf.dummyfunction("""COMPUTED_VALUE"""),TRUE())</f>
        <v>1</v>
      </c>
      <c r="AN504" s="81" t="b">
        <f aca="false">IFERROR(__xludf.dummyfunction("""COMPUTED_VALUE"""),TRUE())</f>
        <v>1</v>
      </c>
      <c r="AO504" s="46"/>
    </row>
    <row r="505" customFormat="false" ht="15.75" hidden="false" customHeight="true" outlineLevel="0" collapsed="false">
      <c r="A505" s="37" t="str">
        <f aca="false">IFERROR(__xludf.dummyfunction("""COMPUTED_VALUE"""),"Địa lí")</f>
        <v>Địa lí</v>
      </c>
      <c r="B505" s="37" t="str">
        <f aca="false">IFERROR(__xludf.dummyfunction("""COMPUTED_VALUE"""),"TOV_HSA_ĐL13")</f>
        <v>TOV_HSA_ĐL13</v>
      </c>
      <c r="C505" s="59" t="str">
        <f aca="false">IFERROR(__xludf.dummyfunction("""COMPUTED_VALUE"""),"Địa lí các ngành kinh tế Việt Nam: Nông nghiệp")</f>
        <v>Địa lí các ngành kinh tế Việt Nam: Nông nghiệp</v>
      </c>
      <c r="D505" s="39" t="str">
        <f aca="false">IFERROR(__xludf.dummyfunction("""COMPUTED_VALUE"""),"Nguyễn Văn Vinh")</f>
        <v>Nguyễn Văn Vinh</v>
      </c>
      <c r="E505" s="40" t="n">
        <f aca="false">IFERROR(__xludf.dummyfunction("""COMPUTED_VALUE"""),46301)</f>
        <v>46301</v>
      </c>
      <c r="F505" s="41" t="n">
        <f aca="false">IFERROR(__xludf.dummyfunction("""COMPUTED_VALUE"""),3)</f>
        <v>3</v>
      </c>
      <c r="G505" s="37" t="str">
        <f aca="false">IFERROR(__xludf.dummyfunction("""COMPUTED_VALUE"""),"18:30-20:30")</f>
        <v>18:30-20:30</v>
      </c>
      <c r="H505" s="37"/>
      <c r="I505" s="37"/>
      <c r="J505" s="37"/>
      <c r="K505" s="68" t="str">
        <f aca="false">IFERROR(__xludf.dummyfunction("""COMPUTED_VALUE"""),"Trinhntt")</f>
        <v>Trinhntt</v>
      </c>
      <c r="L505" s="68" t="str">
        <f aca="false">IFERROR(__xludf.dummyfunction("""COMPUTED_VALUE"""),"Phan Đức Kiên")</f>
        <v>Phan Đức Kiên</v>
      </c>
      <c r="M505" s="71"/>
      <c r="N505" s="77" t="str">
        <f aca="false">IFERROR(__xludf.dummyfunction("""COMPUTED_VALUE"""),"3123")</f>
        <v>3123</v>
      </c>
      <c r="O505" s="63" t="n">
        <f aca="false">IFERROR(__xludf.dummyfunction("""COMPUTED_VALUE"""),174759)</f>
        <v>174759</v>
      </c>
      <c r="P505" s="63"/>
      <c r="Q505" s="63" t="n">
        <f aca="false">IFERROR(__xludf.dummyfunction("""COMPUTED_VALUE"""),174759)</f>
        <v>174759</v>
      </c>
      <c r="R505" s="41"/>
      <c r="S505" s="41"/>
      <c r="T505" s="63"/>
      <c r="U505" s="63"/>
      <c r="V505" s="70" t="n">
        <f aca="false">IFERROR(__xludf.dummyfunction("""COMPUTED_VALUE"""),46304)</f>
        <v>46304</v>
      </c>
      <c r="W505" s="39"/>
      <c r="X505" s="41" t="str">
        <f aca="false">IFERROR(__xludf.dummyfunction("""COMPUTED_VALUE"""),"Huent7")</f>
        <v>Huent7</v>
      </c>
      <c r="Y505" s="44"/>
      <c r="Z505" s="57" t="str">
        <f aca="false">IFERROR(__xludf.dummyfunction("""COMPUTED_VALUE"""),"#N/A")</f>
        <v>#N/A</v>
      </c>
      <c r="AA505" s="57"/>
      <c r="AB505" s="41"/>
      <c r="AC505" s="57" t="str">
        <f aca="false">IFERROR(__xludf.dummyfunction("""COMPUTED_VALUE"""),"gv.vinhnv@hocmai.edu.vn")</f>
        <v>gv.vinhnv@hocmai.edu.vn</v>
      </c>
      <c r="AD505" s="46" t="str">
        <f aca="false">IFERROR(__xludf.dummyfunction("""COMPUTED_VALUE"""),"duckien010607@gmail.com")</f>
        <v>duckien010607@gmail.com</v>
      </c>
      <c r="AE505" s="46"/>
      <c r="AF505" s="74" t="b">
        <f aca="false">IFERROR(__xludf.dummyfunction("""COMPUTED_VALUE"""),FALSE())</f>
        <v>0</v>
      </c>
      <c r="AG505" s="46" t="str">
        <f aca="false">IFERROR(__xludf.dummyfunction("""COMPUTED_VALUE"""),"")</f>
        <v/>
      </c>
      <c r="AH505" s="46"/>
      <c r="AI505" s="46"/>
      <c r="AJ505" s="81" t="b">
        <f aca="false">IFERROR(__xludf.dummyfunction("""COMPUTED_VALUE"""),TRUE())</f>
        <v>1</v>
      </c>
      <c r="AK505" s="81" t="b">
        <f aca="false">IFERROR(__xludf.dummyfunction("""COMPUTED_VALUE"""),TRUE())</f>
        <v>1</v>
      </c>
      <c r="AL505" s="46"/>
      <c r="AM505" s="46"/>
      <c r="AN505" s="46"/>
      <c r="AO505" s="46"/>
    </row>
    <row r="506" customFormat="false" ht="15.75" hidden="false" customHeight="true" outlineLevel="0" collapsed="false">
      <c r="A506" s="37" t="str">
        <f aca="false">IFERROR(__xludf.dummyfunction("""COMPUTED_VALUE"""),"Định tính")</f>
        <v>Định tính</v>
      </c>
      <c r="B506" s="37" t="str">
        <f aca="false">IFERROR(__xludf.dummyfunction("""COMPUTED_VALUE"""),"TOV_HSA_DT15")</f>
        <v>TOV_HSA_DT15</v>
      </c>
      <c r="C506" s="59" t="str">
        <f aca="false">IFERROR(__xludf.dummyfunction("""COMPUTED_VALUE"""),"Phương pháp xử lý nhóm câu hỏi về nội dung, chủ đề và thông điệp")</f>
        <v>Phương pháp xử lý nhóm câu hỏi về nội dung, chủ đề và thông điệp</v>
      </c>
      <c r="D506" s="39" t="str">
        <f aca="false">IFERROR(__xludf.dummyfunction("""COMPUTED_VALUE"""),"Vương Thúy Hằng")</f>
        <v>Vương Thúy Hằng</v>
      </c>
      <c r="E506" s="40" t="n">
        <f aca="false">IFERROR(__xludf.dummyfunction("""COMPUTED_VALUE"""),46302)</f>
        <v>46302</v>
      </c>
      <c r="F506" s="41" t="n">
        <f aca="false">IFERROR(__xludf.dummyfunction("""COMPUTED_VALUE"""),4)</f>
        <v>4</v>
      </c>
      <c r="G506" s="37" t="str">
        <f aca="false">IFERROR(__xludf.dummyfunction("""COMPUTED_VALUE"""),"21:00-23:00")</f>
        <v>21:00-23:00</v>
      </c>
      <c r="H506" s="37"/>
      <c r="I506" s="37"/>
      <c r="J506" s="37"/>
      <c r="K506" s="68" t="str">
        <f aca="false">IFERROR(__xludf.dummyfunction("""COMPUTED_VALUE"""),"Hangvt3")</f>
        <v>Hangvt3</v>
      </c>
      <c r="L506" s="68" t="str">
        <f aca="false">IFERROR(__xludf.dummyfunction("""COMPUTED_VALUE"""),"Kiều Bảo Minh")</f>
        <v>Kiều Bảo Minh</v>
      </c>
      <c r="M506" s="71"/>
      <c r="N506" s="77" t="str">
        <f aca="false">IFERROR(__xludf.dummyfunction("""COMPUTED_VALUE"""),"3118")</f>
        <v>3118</v>
      </c>
      <c r="O506" s="63" t="n">
        <f aca="false">IFERROR(__xludf.dummyfunction("""COMPUTED_VALUE"""),167304)</f>
        <v>167304</v>
      </c>
      <c r="P506" s="63"/>
      <c r="Q506" s="63"/>
      <c r="R506" s="41"/>
      <c r="S506" s="41"/>
      <c r="T506" s="63"/>
      <c r="U506" s="63"/>
      <c r="V506" s="70" t="n">
        <f aca="false">IFERROR(__xludf.dummyfunction("""COMPUTED_VALUE"""),46305)</f>
        <v>46305</v>
      </c>
      <c r="W506" s="39"/>
      <c r="X506" s="41" t="str">
        <f aca="false">IFERROR(__xludf.dummyfunction("""COMPUTED_VALUE"""),"Phuongdt")</f>
        <v>Phuongdt</v>
      </c>
      <c r="Y506" s="44" t="str">
        <f aca="false">IFERROR(__xludf.dummyfunction("""COMPUTED_VALUE"""),"done")</f>
        <v>done</v>
      </c>
      <c r="Z506" s="57" t="str">
        <f aca="false">IFERROR(__xludf.dummyfunction("""COMPUTED_VALUE"""),"#N/A")</f>
        <v>#N/A</v>
      </c>
      <c r="AA506" s="57"/>
      <c r="AB506" s="41" t="n">
        <f aca="false">IFERROR(__xludf.dummyfunction("""COMPUTED_VALUE"""),10)</f>
        <v>10</v>
      </c>
      <c r="AC506" s="57" t="str">
        <f aca="false">IFERROR(__xludf.dummyfunction("""COMPUTED_VALUE"""),"gv.hangvt@hocmai.edu.vn ")</f>
        <v>gv.hangvt@hocmai.edu.vn </v>
      </c>
      <c r="AD506" s="46" t="str">
        <f aca="false">IFERROR(__xludf.dummyfunction("""COMPUTED_VALUE"""),"mkieu2662@gmail.com")</f>
        <v>mkieu2662@gmail.com</v>
      </c>
      <c r="AE506" s="46"/>
      <c r="AF506" s="74" t="b">
        <f aca="false">IFERROR(__xludf.dummyfunction("""COMPUTED_VALUE"""),FALSE())</f>
        <v>0</v>
      </c>
      <c r="AG506" s="46" t="str">
        <f aca="false">IFERROR(__xludf.dummyfunction("""COMPUTED_VALUE"""),"")</f>
        <v/>
      </c>
      <c r="AH506" s="46"/>
      <c r="AI506" s="46"/>
      <c r="AJ506" s="81" t="b">
        <f aca="false">IFERROR(__xludf.dummyfunction("""COMPUTED_VALUE"""),TRUE())</f>
        <v>1</v>
      </c>
      <c r="AK506" s="81" t="b">
        <f aca="false">IFERROR(__xludf.dummyfunction("""COMPUTED_VALUE"""),TRUE())</f>
        <v>1</v>
      </c>
      <c r="AL506" s="46"/>
      <c r="AM506" s="46"/>
      <c r="AN506" s="46"/>
      <c r="AO506" s="46"/>
    </row>
    <row r="507" customFormat="false" ht="15.75" hidden="false" customHeight="true" outlineLevel="0" collapsed="false">
      <c r="A507" s="37" t="str">
        <f aca="false">IFERROR(__xludf.dummyfunction("""COMPUTED_VALUE"""),"Ngữ văn")</f>
        <v>Ngữ văn</v>
      </c>
      <c r="B507" s="37" t="str">
        <f aca="false">IFERROR(__xludf.dummyfunction("""COMPUTED_VALUE"""),"TOV_TNTHPT_NV07")</f>
        <v>TOV_TNTHPT_NV07</v>
      </c>
      <c r="C507" s="59" t="str">
        <f aca="false">IFERROR(__xludf.dummyfunction("""COMPUTED_VALUE"""),"Hướng dẫn đọc và khai thác nội dung văn bản nghị luận")</f>
        <v>Hướng dẫn đọc và khai thác nội dung văn bản nghị luận</v>
      </c>
      <c r="D507" s="39" t="str">
        <f aca="false">IFERROR(__xludf.dummyfunction("""COMPUTED_VALUE"""),"Phạm Hữu Cường")</f>
        <v>Phạm Hữu Cường</v>
      </c>
      <c r="E507" s="40" t="n">
        <f aca="false">IFERROR(__xludf.dummyfunction("""COMPUTED_VALUE"""),46302)</f>
        <v>46302</v>
      </c>
      <c r="F507" s="41" t="n">
        <f aca="false">IFERROR(__xludf.dummyfunction("""COMPUTED_VALUE"""),4)</f>
        <v>4</v>
      </c>
      <c r="G507" s="37" t="str">
        <f aca="false">IFERROR(__xludf.dummyfunction("""COMPUTED_VALUE"""),"21:00-23:00")</f>
        <v>21:00-23:00</v>
      </c>
      <c r="H507" s="37"/>
      <c r="I507" s="37"/>
      <c r="J507" s="37"/>
      <c r="K507" s="68" t="str">
        <f aca="false">IFERROR(__xludf.dummyfunction("""COMPUTED_VALUE"""),"Hangvt3")</f>
        <v>Hangvt3</v>
      </c>
      <c r="L507" s="68" t="str">
        <f aca="false">IFERROR(__xludf.dummyfunction("""COMPUTED_VALUE"""),"Trần Đức Lương")</f>
        <v>Trần Đức Lương</v>
      </c>
      <c r="M507" s="71"/>
      <c r="N507" s="77" t="str">
        <f aca="false">IFERROR(__xludf.dummyfunction("""COMPUTED_VALUE"""),"3128")</f>
        <v>3128</v>
      </c>
      <c r="O507" s="63" t="n">
        <f aca="false">IFERROR(__xludf.dummyfunction("""COMPUTED_VALUE"""),167564)</f>
        <v>167564</v>
      </c>
      <c r="P507" s="63"/>
      <c r="Q507" s="63"/>
      <c r="R507" s="41"/>
      <c r="S507" s="41"/>
      <c r="T507" s="63"/>
      <c r="U507" s="63"/>
      <c r="V507" s="70" t="n">
        <f aca="false">IFERROR(__xludf.dummyfunction("""COMPUTED_VALUE"""),46305)</f>
        <v>46305</v>
      </c>
      <c r="W507" s="39"/>
      <c r="X507" s="41" t="str">
        <f aca="false">IFERROR(__xludf.dummyfunction("""COMPUTED_VALUE"""),"Phuongdt")</f>
        <v>Phuongdt</v>
      </c>
      <c r="Y507" s="44"/>
      <c r="Z507" s="57" t="str">
        <f aca="false">IFERROR(__xludf.dummyfunction("""COMPUTED_VALUE"""),"#N/A")</f>
        <v>#N/A</v>
      </c>
      <c r="AA507" s="57"/>
      <c r="AB507" s="41" t="n">
        <f aca="false">IFERROR(__xludf.dummyfunction("""COMPUTED_VALUE"""),10)</f>
        <v>10</v>
      </c>
      <c r="AC507" s="57" t="str">
        <f aca="false">IFERROR(__xludf.dummyfunction("""COMPUTED_VALUE"""),"gv.cuongph@hocmai.edu.vn ")</f>
        <v>gv.cuongph@hocmai.edu.vn </v>
      </c>
      <c r="AD507" s="46" t="str">
        <f aca="false">IFERROR(__xludf.dummyfunction("""COMPUTED_VALUE"""),"ss.hsa01@ctv.hocmai.vn")</f>
        <v>ss.hsa01@ctv.hocmai.vn</v>
      </c>
      <c r="AE507" s="46"/>
      <c r="AF507" s="74" t="b">
        <f aca="false">IFERROR(__xludf.dummyfunction("""COMPUTED_VALUE"""),FALSE())</f>
        <v>0</v>
      </c>
      <c r="AG507" s="46" t="str">
        <f aca="false">IFERROR(__xludf.dummyfunction("""COMPUTED_VALUE"""),"")</f>
        <v/>
      </c>
      <c r="AH507" s="46"/>
      <c r="AI507" s="46"/>
      <c r="AJ507" s="46"/>
      <c r="AK507" s="46"/>
      <c r="AL507" s="81" t="b">
        <f aca="false">IFERROR(__xludf.dummyfunction("""COMPUTED_VALUE"""),TRUE())</f>
        <v>1</v>
      </c>
      <c r="AM507" s="46"/>
      <c r="AN507" s="46"/>
      <c r="AO507" s="46"/>
    </row>
    <row r="508" customFormat="false" ht="15.75" hidden="false" customHeight="true" outlineLevel="0" collapsed="false">
      <c r="A508" s="37" t="str">
        <f aca="false">IFERROR(__xludf.dummyfunction("""COMPUTED_VALUE"""),"Vật lí")</f>
        <v>Vật lí</v>
      </c>
      <c r="B508" s="37" t="str">
        <f aca="false">IFERROR(__xludf.dummyfunction("""COMPUTED_VALUE"""),"TOV_TSA_L16")</f>
        <v>TOV_TSA_L16</v>
      </c>
      <c r="C508" s="59" t="str">
        <f aca="false">IFERROR(__xludf.dummyfunction("""COMPUTED_VALUE"""),"Quang hình học và quang sóng trong TSA")</f>
        <v>Quang hình học và quang sóng trong TSA</v>
      </c>
      <c r="D508" s="39" t="str">
        <f aca="false">IFERROR(__xludf.dummyfunction("""COMPUTED_VALUE"""),"Thiều Thị Dung")</f>
        <v>Thiều Thị Dung</v>
      </c>
      <c r="E508" s="40" t="n">
        <f aca="false">IFERROR(__xludf.dummyfunction("""COMPUTED_VALUE"""),46303)</f>
        <v>46303</v>
      </c>
      <c r="F508" s="41" t="n">
        <f aca="false">IFERROR(__xludf.dummyfunction("""COMPUTED_VALUE"""),5)</f>
        <v>5</v>
      </c>
      <c r="G508" s="37" t="str">
        <f aca="false">IFERROR(__xludf.dummyfunction("""COMPUTED_VALUE"""),"21:00-23:00")</f>
        <v>21:00-23:00</v>
      </c>
      <c r="H508" s="37"/>
      <c r="I508" s="37"/>
      <c r="J508" s="37"/>
      <c r="K508" s="68" t="str">
        <f aca="false">IFERROR(__xludf.dummyfunction("""COMPUTED_VALUE"""),"Trangnth2")</f>
        <v>Trangnth2</v>
      </c>
      <c r="L508" s="68" t="str">
        <f aca="false">IFERROR(__xludf.dummyfunction("""COMPUTED_VALUE"""),"Trần Đức Lương")</f>
        <v>Trần Đức Lương</v>
      </c>
      <c r="M508" s="71"/>
      <c r="N508" s="77" t="str">
        <f aca="false">IFERROR(__xludf.dummyfunction("""COMPUTED_VALUE"""),"3110")</f>
        <v>3110</v>
      </c>
      <c r="O508" s="63" t="n">
        <f aca="false">IFERROR(__xludf.dummyfunction("""COMPUTED_VALUE"""),167277)</f>
        <v>167277</v>
      </c>
      <c r="P508" s="63"/>
      <c r="Q508" s="63"/>
      <c r="R508" s="41"/>
      <c r="S508" s="41"/>
      <c r="T508" s="63"/>
      <c r="U508" s="63"/>
      <c r="V508" s="70" t="n">
        <f aca="false">IFERROR(__xludf.dummyfunction("""COMPUTED_VALUE"""),46306)</f>
        <v>46306</v>
      </c>
      <c r="W508" s="39"/>
      <c r="X508" s="41" t="str">
        <f aca="false">IFERROR(__xludf.dummyfunction("""COMPUTED_VALUE"""),"Trangnth2")</f>
        <v>Trangnth2</v>
      </c>
      <c r="Y508" s="44"/>
      <c r="Z508" s="57" t="str">
        <f aca="false">IFERROR(__xludf.dummyfunction("""COMPUTED_VALUE"""),"#N/A")</f>
        <v>#N/A</v>
      </c>
      <c r="AA508" s="57"/>
      <c r="AB508" s="41" t="n">
        <f aca="false">IFERROR(__xludf.dummyfunction("""COMPUTED_VALUE"""),10)</f>
        <v>10</v>
      </c>
      <c r="AC508" s="57" t="str">
        <f aca="false">IFERROR(__xludf.dummyfunction("""COMPUTED_VALUE"""),"dungtt2@hocmai.vn                ")</f>
        <v>dungtt2@hocmai.vn                </v>
      </c>
      <c r="AD508" s="46" t="str">
        <f aca="false">IFERROR(__xludf.dummyfunction("""COMPUTED_VALUE"""),"ss.hsa01@ctv.hocmai.vn")</f>
        <v>ss.hsa01@ctv.hocmai.vn</v>
      </c>
      <c r="AE508" s="46"/>
      <c r="AF508" s="74" t="b">
        <f aca="false">IFERROR(__xludf.dummyfunction("""COMPUTED_VALUE"""),FALSE())</f>
        <v>0</v>
      </c>
      <c r="AG508" s="46" t="str">
        <f aca="false">IFERROR(__xludf.dummyfunction("""COMPUTED_VALUE"""),"")</f>
        <v/>
      </c>
      <c r="AH508" s="46"/>
      <c r="AI508" s="81" t="b">
        <f aca="false">IFERROR(__xludf.dummyfunction("""COMPUTED_VALUE"""),TRUE())</f>
        <v>1</v>
      </c>
      <c r="AJ508" s="46"/>
      <c r="AK508" s="46"/>
      <c r="AL508" s="46"/>
      <c r="AM508" s="46"/>
      <c r="AN508" s="46"/>
      <c r="AO508" s="46"/>
    </row>
    <row r="509" customFormat="false" ht="15.75" hidden="false" customHeight="true" outlineLevel="0" collapsed="false">
      <c r="A509" s="37" t="str">
        <f aca="false">IFERROR(__xludf.dummyfunction("""COMPUTED_VALUE"""),"Vật lí")</f>
        <v>Vật lí</v>
      </c>
      <c r="B509" s="37" t="str">
        <f aca="false">IFERROR(__xludf.dummyfunction("""COMPUTED_VALUE"""),"TOV_HT_VL17")</f>
        <v>TOV_HT_VL17</v>
      </c>
      <c r="C509" s="59" t="str">
        <f aca="false">IFERROR(__xludf.dummyfunction("""COMPUTED_VALUE"""),"Hiện tượng cảm ứng điện từ và ứng dụng")</f>
        <v>Hiện tượng cảm ứng điện từ và ứng dụng</v>
      </c>
      <c r="D509" s="39" t="str">
        <f aca="false">IFERROR(__xludf.dummyfunction("""COMPUTED_VALUE"""),"Nguyễn Hữu Tình")</f>
        <v>Nguyễn Hữu Tình</v>
      </c>
      <c r="E509" s="40" t="n">
        <f aca="false">IFERROR(__xludf.dummyfunction("""COMPUTED_VALUE"""),46303)</f>
        <v>46303</v>
      </c>
      <c r="F509" s="41" t="n">
        <f aca="false">IFERROR(__xludf.dummyfunction("""COMPUTED_VALUE"""),5)</f>
        <v>5</v>
      </c>
      <c r="G509" s="37" t="str">
        <f aca="false">IFERROR(__xludf.dummyfunction("""COMPUTED_VALUE"""),"21:00-23:00")</f>
        <v>21:00-23:00</v>
      </c>
      <c r="H509" s="37"/>
      <c r="I509" s="37"/>
      <c r="J509" s="37"/>
      <c r="K509" s="68" t="str">
        <f aca="false">IFERROR(__xludf.dummyfunction("""COMPUTED_VALUE"""),"Trangnth2")</f>
        <v>Trangnth2</v>
      </c>
      <c r="L509" s="68" t="str">
        <f aca="false">IFERROR(__xludf.dummyfunction("""COMPUTED_VALUE"""),"Kiều Bảo Minh")</f>
        <v>Kiều Bảo Minh</v>
      </c>
      <c r="M509" s="71"/>
      <c r="N509" s="80" t="str">
        <f aca="false">IFERROR(__xludf.dummyfunction("""COMPUTED_VALUE"""),"3119,3130")</f>
        <v>3119,3130</v>
      </c>
      <c r="O509" s="73" t="n">
        <f aca="false">IFERROR(__xludf.dummyfunction("""COMPUTED_VALUE"""),167532.167579)</f>
        <v>167532.167579</v>
      </c>
      <c r="P509" s="63" t="str">
        <f aca="false">IFERROR(__xludf.dummyfunction("""COMPUTED_VALUE"""),"9031,9039,9020")</f>
        <v>9031,9039,9020</v>
      </c>
      <c r="Q509" s="63"/>
      <c r="R509" s="41"/>
      <c r="S509" s="41"/>
      <c r="T509" s="63"/>
      <c r="U509" s="63" t="n">
        <f aca="false">IFERROR(__xludf.dummyfunction("""COMPUTED_VALUE"""),10473)</f>
        <v>10473</v>
      </c>
      <c r="V509" s="70" t="n">
        <f aca="false">IFERROR(__xludf.dummyfunction("""COMPUTED_VALUE"""),46306)</f>
        <v>46306</v>
      </c>
      <c r="W509" s="39"/>
      <c r="X509" s="41" t="str">
        <f aca="false">IFERROR(__xludf.dummyfunction("""COMPUTED_VALUE"""),"Trangnth2")</f>
        <v>Trangnth2</v>
      </c>
      <c r="Y509" s="44"/>
      <c r="Z509" s="57" t="str">
        <f aca="false">IFERROR(__xludf.dummyfunction("""COMPUTED_VALUE"""),"#N/A")</f>
        <v>#N/A</v>
      </c>
      <c r="AA509" s="57"/>
      <c r="AB509" s="41" t="n">
        <f aca="false">IFERROR(__xludf.dummyfunction("""COMPUTED_VALUE"""),10)</f>
        <v>10</v>
      </c>
      <c r="AC509" s="57" t="str">
        <f aca="false">IFERROR(__xludf.dummyfunction("""COMPUTED_VALUE"""),"gv.tinhnh@hocmai.edu.vn ")</f>
        <v>gv.tinhnh@hocmai.edu.vn </v>
      </c>
      <c r="AD509" s="46" t="str">
        <f aca="false">IFERROR(__xludf.dummyfunction("""COMPUTED_VALUE"""),"mkieu2662@gmail.com")</f>
        <v>mkieu2662@gmail.com</v>
      </c>
      <c r="AE509" s="46"/>
      <c r="AF509" s="74" t="b">
        <f aca="false">IFERROR(__xludf.dummyfunction("""COMPUTED_VALUE"""),FALSE())</f>
        <v>0</v>
      </c>
      <c r="AG509" s="46" t="str">
        <f aca="false">IFERROR(__xludf.dummyfunction("""COMPUTED_VALUE"""),"")</f>
        <v/>
      </c>
      <c r="AH509" s="46"/>
      <c r="AI509" s="46"/>
      <c r="AJ509" s="81" t="b">
        <f aca="false">IFERROR(__xludf.dummyfunction("""COMPUTED_VALUE"""),TRUE())</f>
        <v>1</v>
      </c>
      <c r="AK509" s="81" t="b">
        <f aca="false">IFERROR(__xludf.dummyfunction("""COMPUTED_VALUE"""),TRUE())</f>
        <v>1</v>
      </c>
      <c r="AL509" s="81" t="b">
        <f aca="false">IFERROR(__xludf.dummyfunction("""COMPUTED_VALUE"""),TRUE())</f>
        <v>1</v>
      </c>
      <c r="AM509" s="46"/>
      <c r="AN509" s="46"/>
      <c r="AO509" s="46"/>
    </row>
    <row r="510" customFormat="false" ht="15.75" hidden="false" customHeight="true" outlineLevel="0" collapsed="false">
      <c r="A510" s="37" t="str">
        <f aca="false">IFERROR(__xludf.dummyfunction("""COMPUTED_VALUE"""),"Toán")</f>
        <v>Toán</v>
      </c>
      <c r="B510" s="37" t="str">
        <f aca="false">IFERROR(__xludf.dummyfunction("""COMPUTED_VALUE"""),"TOA_V-ACT_T16")</f>
        <v>TOA_V-ACT_T16</v>
      </c>
      <c r="C510" s="59" t="str">
        <f aca="false">IFERROR(__xludf.dummyfunction("""COMPUTED_VALUE"""),"Các bài toán đặc thù về nguyên hàm - tích phân (P2)")</f>
        <v>Các bài toán đặc thù về nguyên hàm - tích phân (P2)</v>
      </c>
      <c r="D510" s="39" t="str">
        <f aca="false">IFERROR(__xludf.dummyfunction("""COMPUTED_VALUE"""),"Nguyễn Hoài Nam")</f>
        <v>Nguyễn Hoài Nam</v>
      </c>
      <c r="E510" s="40" t="n">
        <f aca="false">IFERROR(__xludf.dummyfunction("""COMPUTED_VALUE"""),46303)</f>
        <v>46303</v>
      </c>
      <c r="F510" s="41" t="n">
        <f aca="false">IFERROR(__xludf.dummyfunction("""COMPUTED_VALUE"""),5)</f>
        <v>5</v>
      </c>
      <c r="G510" s="37" t="str">
        <f aca="false">IFERROR(__xludf.dummyfunction("""COMPUTED_VALUE"""),"21:00-22:30")</f>
        <v>21:00-22:30</v>
      </c>
      <c r="H510" s="37"/>
      <c r="I510" s="37"/>
      <c r="J510" s="37"/>
      <c r="K510" s="68" t="str">
        <f aca="false">IFERROR(__xludf.dummyfunction("""COMPUTED_VALUE"""),"Lent")</f>
        <v>Lent</v>
      </c>
      <c r="L510" s="68" t="str">
        <f aca="false">IFERROR(__xludf.dummyfunction("""COMPUTED_VALUE"""),"Lường Nhật Nam")</f>
        <v>Lường Nhật Nam</v>
      </c>
      <c r="M510" s="71"/>
      <c r="N510" s="77" t="str">
        <f aca="false">IFERROR(__xludf.dummyfunction("""COMPUTED_VALUE"""),"3124,3316")</f>
        <v>3124,3316</v>
      </c>
      <c r="O510" s="73" t="n">
        <f aca="false">IFERROR(__xludf.dummyfunction("""COMPUTED_VALUE"""),167215.16687)</f>
        <v>167215.16687</v>
      </c>
      <c r="P510" s="63" t="n">
        <f aca="false">IFERROR(__xludf.dummyfunction("""COMPUTED_VALUE"""),9044.9108)</f>
        <v>9044.9108</v>
      </c>
      <c r="Q510" s="63" t="n">
        <f aca="false">IFERROR(__xludf.dummyfunction("""COMPUTED_VALUE"""),167215)</f>
        <v>167215</v>
      </c>
      <c r="R510" s="41" t="n">
        <f aca="false">IFERROR(__xludf.dummyfunction("""COMPUTED_VALUE"""),166870)</f>
        <v>166870</v>
      </c>
      <c r="S510" s="41"/>
      <c r="T510" s="63"/>
      <c r="U510" s="63"/>
      <c r="V510" s="70" t="n">
        <f aca="false">IFERROR(__xludf.dummyfunction("""COMPUTED_VALUE"""),46306)</f>
        <v>46306</v>
      </c>
      <c r="W510" s="39"/>
      <c r="X510" s="41" t="str">
        <f aca="false">IFERROR(__xludf.dummyfunction("""COMPUTED_VALUE"""),"Lent")</f>
        <v>Lent</v>
      </c>
      <c r="Y510" s="44" t="str">
        <f aca="false">IFERROR(__xludf.dummyfunction("""COMPUTED_VALUE"""),"done")</f>
        <v>done</v>
      </c>
      <c r="Z510" s="57" t="str">
        <f aca="false">IFERROR(__xludf.dummyfunction("""COMPUTED_VALUE"""),"#N/A")</f>
        <v>#N/A</v>
      </c>
      <c r="AA510" s="57"/>
      <c r="AB510" s="41" t="n">
        <f aca="false">IFERROR(__xludf.dummyfunction("""COMPUTED_VALUE"""),10)</f>
        <v>10</v>
      </c>
      <c r="AC510" s="57" t="str">
        <f aca="false">IFERROR(__xludf.dummyfunction("""COMPUTED_VALUE"""),"gv.namnh@hocmai.edu.vn ")</f>
        <v>gv.namnh@hocmai.edu.vn </v>
      </c>
      <c r="AD510" s="46" t="str">
        <f aca="false">IFERROR(__xludf.dummyfunction("""COMPUTED_VALUE"""),"nhatnam1092@gmail.com")</f>
        <v>nhatnam1092@gmail.com</v>
      </c>
      <c r="AE510" s="46"/>
      <c r="AF510" s="47" t="str">
        <f aca="false">IFERROR(__xludf.dummyfunction("""COMPUTED_VALUE"""),"lophoctoan-946303")</f>
        <v>lophoctoan-946303</v>
      </c>
      <c r="AG510" s="46" t="str">
        <f aca="false">IFERROR(__xludf.dummyfunction("""COMPUTED_VALUE"""),"")</f>
        <v/>
      </c>
      <c r="AH510" s="46"/>
      <c r="AI510" s="46"/>
      <c r="AJ510" s="46"/>
      <c r="AK510" s="46"/>
      <c r="AL510" s="46"/>
      <c r="AM510" s="81" t="b">
        <f aca="false">IFERROR(__xludf.dummyfunction("""COMPUTED_VALUE"""),TRUE())</f>
        <v>1</v>
      </c>
      <c r="AN510" s="81" t="b">
        <f aca="false">IFERROR(__xludf.dummyfunction("""COMPUTED_VALUE"""),TRUE())</f>
        <v>1</v>
      </c>
      <c r="AO510" s="46"/>
    </row>
    <row r="511" customFormat="false" ht="15.75" hidden="false" customHeight="true" outlineLevel="0" collapsed="false">
      <c r="A511" s="37" t="str">
        <f aca="false">IFERROR(__xludf.dummyfunction("""COMPUTED_VALUE"""),"Toán")</f>
        <v>Toán</v>
      </c>
      <c r="B511" s="37" t="str">
        <f aca="false">IFERROR(__xludf.dummyfunction("""COMPUTED_VALUE"""),"TOV_TSA_T17")</f>
        <v>TOV_TSA_T17</v>
      </c>
      <c r="C511" s="59" t="str">
        <f aca="false">IFERROR(__xludf.dummyfunction("""COMPUTED_VALUE"""),"Ứng dụng đạo hàm giải PT – BPT")</f>
        <v>Ứng dụng đạo hàm giải PT – BPT</v>
      </c>
      <c r="D511" s="39" t="str">
        <f aca="false">IFERROR(__xludf.dummyfunction("""COMPUTED_VALUE"""),"Nguyễn Thanh Tùng")</f>
        <v>Nguyễn Thanh Tùng</v>
      </c>
      <c r="E511" s="40" t="n">
        <f aca="false">IFERROR(__xludf.dummyfunction("""COMPUTED_VALUE"""),46304)</f>
        <v>46304</v>
      </c>
      <c r="F511" s="41" t="n">
        <f aca="false">IFERROR(__xludf.dummyfunction("""COMPUTED_VALUE"""),6)</f>
        <v>6</v>
      </c>
      <c r="G511" s="37" t="str">
        <f aca="false">IFERROR(__xludf.dummyfunction("""COMPUTED_VALUE"""),"18:00-20:00")</f>
        <v>18:00-20:00</v>
      </c>
      <c r="H511" s="37"/>
      <c r="I511" s="37"/>
      <c r="J511" s="37"/>
      <c r="K511" s="68" t="str">
        <f aca="false">IFERROR(__xludf.dummyfunction("""COMPUTED_VALUE"""),"Locdd")</f>
        <v>Locdd</v>
      </c>
      <c r="L511" s="68" t="str">
        <f aca="false">IFERROR(__xludf.dummyfunction("""COMPUTED_VALUE"""),"Tưởng Thị Huyền Trang")</f>
        <v>Tưởng Thị Huyền Trang</v>
      </c>
      <c r="M511" s="71"/>
      <c r="N511" s="77" t="str">
        <f aca="false">IFERROR(__xludf.dummyfunction("""COMPUTED_VALUE"""),"3108")</f>
        <v>3108</v>
      </c>
      <c r="O511" s="63" t="n">
        <f aca="false">IFERROR(__xludf.dummyfunction("""COMPUTED_VALUE"""),168387)</f>
        <v>168387</v>
      </c>
      <c r="P511" s="63"/>
      <c r="Q511" s="63"/>
      <c r="R511" s="41"/>
      <c r="S511" s="41"/>
      <c r="T511" s="63"/>
      <c r="U511" s="63"/>
      <c r="V511" s="70" t="n">
        <f aca="false">IFERROR(__xludf.dummyfunction("""COMPUTED_VALUE"""),46307)</f>
        <v>46307</v>
      </c>
      <c r="W511" s="39"/>
      <c r="X511" s="41" t="str">
        <f aca="false">IFERROR(__xludf.dummyfunction("""COMPUTED_VALUE"""),"Locdd")</f>
        <v>Locdd</v>
      </c>
      <c r="Y511" s="44" t="str">
        <f aca="false">IFERROR(__xludf.dummyfunction("""COMPUTED_VALUE"""),"done")</f>
        <v>done</v>
      </c>
      <c r="Z511" s="57" t="str">
        <f aca="false">IFERROR(__xludf.dummyfunction("""COMPUTED_VALUE"""),"#N/A")</f>
        <v>#N/A</v>
      </c>
      <c r="AA511" s="57"/>
      <c r="AB511" s="41" t="n">
        <f aca="false">IFERROR(__xludf.dummyfunction("""COMPUTED_VALUE"""),10)</f>
        <v>10</v>
      </c>
      <c r="AC511" s="57" t="str">
        <f aca="false">IFERROR(__xludf.dummyfunction("""COMPUTED_VALUE"""),"gv.tungnt@hocmai.edu.vn ")</f>
        <v>gv.tungnt@hocmai.edu.vn </v>
      </c>
      <c r="AD511" s="46" t="str">
        <f aca="false">IFERROR(__xludf.dummyfunction("""COMPUTED_VALUE"""),"trangcrazy699@gmail.com")</f>
        <v>trangcrazy699@gmail.com</v>
      </c>
      <c r="AE511" s="46"/>
      <c r="AF511" s="47" t="str">
        <f aca="false">IFERROR(__xludf.dummyfunction("""COMPUTED_VALUE"""),"lophoctoan-946304")</f>
        <v>lophoctoan-946304</v>
      </c>
      <c r="AG511" s="46" t="str">
        <f aca="false">IFERROR(__xludf.dummyfunction("""COMPUTED_VALUE"""),"")</f>
        <v/>
      </c>
      <c r="AH511" s="46"/>
      <c r="AI511" s="81" t="b">
        <f aca="false">IFERROR(__xludf.dummyfunction("""COMPUTED_VALUE"""),TRUE())</f>
        <v>1</v>
      </c>
      <c r="AJ511" s="46"/>
      <c r="AK511" s="46"/>
      <c r="AL511" s="46"/>
      <c r="AM511" s="46"/>
      <c r="AN511" s="46"/>
      <c r="AO511" s="46"/>
    </row>
    <row r="512" customFormat="false" ht="15.75" hidden="false" customHeight="true" outlineLevel="0" collapsed="false">
      <c r="A512" s="37" t="str">
        <f aca="false">IFERROR(__xludf.dummyfunction("""COMPUTED_VALUE"""),"Sinh học")</f>
        <v>Sinh học</v>
      </c>
      <c r="B512" s="37" t="str">
        <f aca="false">IFERROR(__xludf.dummyfunction("""COMPUTED_VALUE"""),"TOV_HT_SH17")</f>
        <v>TOV_HT_SH17</v>
      </c>
      <c r="C512" s="59" t="str">
        <f aca="false">IFERROR(__xludf.dummyfunction("""COMPUTED_VALUE"""),"DT quần thể – DT người + Luyện HSA tính xác suất")</f>
        <v>DT quần thể – DT người + Luyện HSA tính xác suất</v>
      </c>
      <c r="D512" s="39" t="str">
        <f aca="false">IFERROR(__xludf.dummyfunction("""COMPUTED_VALUE"""),"Nguyễn Dương Ánh Hồng")</f>
        <v>Nguyễn Dương Ánh Hồng</v>
      </c>
      <c r="E512" s="40" t="n">
        <f aca="false">IFERROR(__xludf.dummyfunction("""COMPUTED_VALUE"""),46304)</f>
        <v>46304</v>
      </c>
      <c r="F512" s="41" t="n">
        <f aca="false">IFERROR(__xludf.dummyfunction("""COMPUTED_VALUE"""),6)</f>
        <v>6</v>
      </c>
      <c r="G512" s="37" t="str">
        <f aca="false">IFERROR(__xludf.dummyfunction("""COMPUTED_VALUE"""),"19:30-21:30")</f>
        <v>19:30-21:30</v>
      </c>
      <c r="H512" s="37"/>
      <c r="I512" s="37"/>
      <c r="J512" s="37"/>
      <c r="K512" s="68" t="str">
        <f aca="false">IFERROR(__xludf.dummyfunction("""COMPUTED_VALUE"""),"Phuongdt")</f>
        <v>Phuongdt</v>
      </c>
      <c r="L512" s="68" t="str">
        <f aca="false">IFERROR(__xludf.dummyfunction("""COMPUTED_VALUE"""),"Phan Đức Kiên")</f>
        <v>Phan Đức Kiên</v>
      </c>
      <c r="M512" s="71"/>
      <c r="N512" s="77" t="str">
        <f aca="false">IFERROR(__xludf.dummyfunction("""COMPUTED_VALUE"""),"3121,3132")</f>
        <v>3121,3132</v>
      </c>
      <c r="O512" s="73" t="n">
        <f aca="false">IFERROR(__xludf.dummyfunction("""COMPUTED_VALUE"""),167334.167348)</f>
        <v>167334.167348</v>
      </c>
      <c r="P512" s="63" t="str">
        <f aca="false">IFERROR(__xludf.dummyfunction("""COMPUTED_VALUE"""),"9033,9041,9022")</f>
        <v>9033,9041,9022</v>
      </c>
      <c r="Q512" s="63"/>
      <c r="R512" s="41"/>
      <c r="S512" s="41"/>
      <c r="T512" s="63" t="n">
        <f aca="false">IFERROR(__xludf.dummyfunction("""COMPUTED_VALUE"""),23849)</f>
        <v>23849</v>
      </c>
      <c r="U512" s="63"/>
      <c r="V512" s="70" t="n">
        <f aca="false">IFERROR(__xludf.dummyfunction("""COMPUTED_VALUE"""),46307)</f>
        <v>46307</v>
      </c>
      <c r="W512" s="39"/>
      <c r="X512" s="41" t="str">
        <f aca="false">IFERROR(__xludf.dummyfunction("""COMPUTED_VALUE"""),"Phuongdt")</f>
        <v>Phuongdt</v>
      </c>
      <c r="Y512" s="44"/>
      <c r="Z512" s="57" t="str">
        <f aca="false">IFERROR(__xludf.dummyfunction("""COMPUTED_VALUE"""),"#N/A")</f>
        <v>#N/A</v>
      </c>
      <c r="AA512" s="57"/>
      <c r="AB512" s="41" t="n">
        <f aca="false">IFERROR(__xludf.dummyfunction("""COMPUTED_VALUE"""),10)</f>
        <v>10</v>
      </c>
      <c r="AC512" s="57" t="str">
        <f aca="false">IFERROR(__xludf.dummyfunction("""COMPUTED_VALUE"""),"gv.hongnda@hocmai.edu.vn ")</f>
        <v>gv.hongnda@hocmai.edu.vn </v>
      </c>
      <c r="AD512" s="46" t="str">
        <f aca="false">IFERROR(__xludf.dummyfunction("""COMPUTED_VALUE"""),"duckien010607@gmail.com")</f>
        <v>duckien010607@gmail.com</v>
      </c>
      <c r="AE512" s="46"/>
      <c r="AF512" s="74" t="b">
        <f aca="false">IFERROR(__xludf.dummyfunction("""COMPUTED_VALUE"""),FALSE())</f>
        <v>0</v>
      </c>
      <c r="AG512" s="46" t="str">
        <f aca="false">IFERROR(__xludf.dummyfunction("""COMPUTED_VALUE"""),"")</f>
        <v/>
      </c>
      <c r="AH512" s="46"/>
      <c r="AI512" s="46"/>
      <c r="AJ512" s="81" t="b">
        <f aca="false">IFERROR(__xludf.dummyfunction("""COMPUTED_VALUE"""),TRUE())</f>
        <v>1</v>
      </c>
      <c r="AK512" s="81" t="b">
        <f aca="false">IFERROR(__xludf.dummyfunction("""COMPUTED_VALUE"""),TRUE())</f>
        <v>1</v>
      </c>
      <c r="AL512" s="81" t="b">
        <f aca="false">IFERROR(__xludf.dummyfunction("""COMPUTED_VALUE"""),TRUE())</f>
        <v>1</v>
      </c>
      <c r="AM512" s="46"/>
      <c r="AN512" s="46"/>
      <c r="AO512" s="46"/>
    </row>
    <row r="513" customFormat="false" ht="15.75" hidden="false" customHeight="true" outlineLevel="0" collapsed="false">
      <c r="A513" s="37" t="str">
        <f aca="false">IFERROR(__xludf.dummyfunction("""COMPUTED_VALUE"""),"Lịch sử")</f>
        <v>Lịch sử</v>
      </c>
      <c r="B513" s="37" t="str">
        <f aca="false">IFERROR(__xludf.dummyfunction("""COMPUTED_VALUE"""),"TOV_HSA_LS15")</f>
        <v>TOV_HSA_LS15</v>
      </c>
      <c r="C513" s="59" t="str">
        <f aca="false">IFERROR(__xludf.dummyfunction("""COMPUTED_VALUE"""),"Cuộc kháng chiến chống Mỹ (1954 - 1975). Chiến tranh bảo vệ Tổ quốc (1975 đến nay)")</f>
        <v>Cuộc kháng chiến chống Mỹ (1954 - 1975). Chiến tranh bảo vệ Tổ quốc (1975 đến nay)</v>
      </c>
      <c r="D513" s="39" t="str">
        <f aca="false">IFERROR(__xludf.dummyfunction("""COMPUTED_VALUE"""),"Dương Thị Huyền")</f>
        <v>Dương Thị Huyền</v>
      </c>
      <c r="E513" s="40" t="n">
        <f aca="false">IFERROR(__xludf.dummyfunction("""COMPUTED_VALUE"""),46304)</f>
        <v>46304</v>
      </c>
      <c r="F513" s="41" t="n">
        <f aca="false">IFERROR(__xludf.dummyfunction("""COMPUTED_VALUE"""),6)</f>
        <v>6</v>
      </c>
      <c r="G513" s="37" t="str">
        <f aca="false">IFERROR(__xludf.dummyfunction("""COMPUTED_VALUE"""),"21:30-23:30")</f>
        <v>21:30-23:30</v>
      </c>
      <c r="H513" s="37"/>
      <c r="I513" s="37"/>
      <c r="J513" s="37"/>
      <c r="K513" s="68" t="str">
        <f aca="false">IFERROR(__xludf.dummyfunction("""COMPUTED_VALUE"""),"Trinhntt")</f>
        <v>Trinhntt</v>
      </c>
      <c r="L513" s="68" t="str">
        <f aca="false">IFERROR(__xludf.dummyfunction("""COMPUTED_VALUE"""),"Phan Đức Kiên")</f>
        <v>Phan Đức Kiên</v>
      </c>
      <c r="M513" s="71"/>
      <c r="N513" s="77" t="str">
        <f aca="false">IFERROR(__xludf.dummyfunction("""COMPUTED_VALUE"""),"3122")</f>
        <v>3122</v>
      </c>
      <c r="O513" s="63" t="n">
        <f aca="false">IFERROR(__xludf.dummyfunction("""COMPUTED_VALUE"""),174742)</f>
        <v>174742</v>
      </c>
      <c r="P513" s="63"/>
      <c r="Q513" s="63"/>
      <c r="R513" s="41"/>
      <c r="S513" s="41"/>
      <c r="T513" s="63"/>
      <c r="U513" s="63"/>
      <c r="V513" s="70" t="n">
        <f aca="false">IFERROR(__xludf.dummyfunction("""COMPUTED_VALUE"""),46307)</f>
        <v>46307</v>
      </c>
      <c r="W513" s="39"/>
      <c r="X513" s="41" t="str">
        <f aca="false">IFERROR(__xludf.dummyfunction("""COMPUTED_VALUE"""),"Huent7")</f>
        <v>Huent7</v>
      </c>
      <c r="Y513" s="44"/>
      <c r="Z513" s="57" t="str">
        <f aca="false">IFERROR(__xludf.dummyfunction("""COMPUTED_VALUE"""),"#N/A")</f>
        <v>#N/A</v>
      </c>
      <c r="AA513" s="57"/>
      <c r="AB513" s="41"/>
      <c r="AC513" s="57" t="str">
        <f aca="false">IFERROR(__xludf.dummyfunction("""COMPUTED_VALUE"""),"gv.huyendt2@hocmai.edu.vn")</f>
        <v>gv.huyendt2@hocmai.edu.vn</v>
      </c>
      <c r="AD513" s="46" t="str">
        <f aca="false">IFERROR(__xludf.dummyfunction("""COMPUTED_VALUE"""),"duckien010607@gmail.com")</f>
        <v>duckien010607@gmail.com</v>
      </c>
      <c r="AE513" s="46"/>
      <c r="AF513" s="74" t="b">
        <f aca="false">IFERROR(__xludf.dummyfunction("""COMPUTED_VALUE"""),FALSE())</f>
        <v>0</v>
      </c>
      <c r="AG513" s="46" t="str">
        <f aca="false">IFERROR(__xludf.dummyfunction("""COMPUTED_VALUE"""),"")</f>
        <v/>
      </c>
      <c r="AH513" s="46"/>
      <c r="AI513" s="46"/>
      <c r="AJ513" s="81" t="b">
        <f aca="false">IFERROR(__xludf.dummyfunction("""COMPUTED_VALUE"""),TRUE())</f>
        <v>1</v>
      </c>
      <c r="AK513" s="81" t="b">
        <f aca="false">IFERROR(__xludf.dummyfunction("""COMPUTED_VALUE"""),TRUE())</f>
        <v>1</v>
      </c>
      <c r="AL513" s="46"/>
      <c r="AM513" s="46"/>
      <c r="AN513" s="46"/>
      <c r="AO513" s="46"/>
    </row>
    <row r="514" customFormat="false" ht="15.75" hidden="false" customHeight="true" outlineLevel="0" collapsed="false">
      <c r="A514" s="37" t="str">
        <f aca="false">IFERROR(__xludf.dummyfunction("""COMPUTED_VALUE"""),"Hóa học")</f>
        <v>Hóa học</v>
      </c>
      <c r="B514" s="37" t="str">
        <f aca="false">IFERROR(__xludf.dummyfunction("""COMPUTED_VALUE"""),"TOV_TSA_H09")</f>
        <v>TOV_TSA_H09</v>
      </c>
      <c r="C514" s="59" t="str">
        <f aca="false">IFERROR(__xludf.dummyfunction("""COMPUTED_VALUE"""),"Đại cương Hữu cơ và Hydrocarbon")</f>
        <v>Đại cương Hữu cơ và Hydrocarbon</v>
      </c>
      <c r="D514" s="39" t="str">
        <f aca="false">IFERROR(__xludf.dummyfunction("""COMPUTED_VALUE"""),"Vũ Khắc Ngọc")</f>
        <v>Vũ Khắc Ngọc</v>
      </c>
      <c r="E514" s="40" t="n">
        <f aca="false">IFERROR(__xludf.dummyfunction("""COMPUTED_VALUE"""),46305)</f>
        <v>46305</v>
      </c>
      <c r="F514" s="41" t="n">
        <f aca="false">IFERROR(__xludf.dummyfunction("""COMPUTED_VALUE"""),7)</f>
        <v>7</v>
      </c>
      <c r="G514" s="37" t="str">
        <f aca="false">IFERROR(__xludf.dummyfunction("""COMPUTED_VALUE"""),"21:30-23:30")</f>
        <v>21:30-23:30</v>
      </c>
      <c r="H514" s="37"/>
      <c r="I514" s="37"/>
      <c r="J514" s="37"/>
      <c r="K514" s="68" t="str">
        <f aca="false">IFERROR(__xludf.dummyfunction("""COMPUTED_VALUE"""),"Huebt")</f>
        <v>Huebt</v>
      </c>
      <c r="L514" s="68" t="str">
        <f aca="false">IFERROR(__xludf.dummyfunction("""COMPUTED_VALUE"""),"Bùi Vĩnh Thọ")</f>
        <v>Bùi Vĩnh Thọ</v>
      </c>
      <c r="M514" s="71"/>
      <c r="N514" s="77" t="str">
        <f aca="false">IFERROR(__xludf.dummyfunction("""COMPUTED_VALUE"""),"3110")</f>
        <v>3110</v>
      </c>
      <c r="O514" s="63" t="n">
        <f aca="false">IFERROR(__xludf.dummyfunction("""COMPUTED_VALUE"""),167278)</f>
        <v>167278</v>
      </c>
      <c r="P514" s="63"/>
      <c r="Q514" s="63"/>
      <c r="R514" s="41"/>
      <c r="S514" s="41"/>
      <c r="T514" s="63"/>
      <c r="U514" s="63" t="n">
        <f aca="false">IFERROR(__xludf.dummyfunction("""COMPUTED_VALUE"""),10607)</f>
        <v>10607</v>
      </c>
      <c r="V514" s="70" t="n">
        <f aca="false">IFERROR(__xludf.dummyfunction("""COMPUTED_VALUE"""),46308)</f>
        <v>46308</v>
      </c>
      <c r="W514" s="39"/>
      <c r="X514" s="41" t="str">
        <f aca="false">IFERROR(__xludf.dummyfunction("""COMPUTED_VALUE"""),"Huebt")</f>
        <v>Huebt</v>
      </c>
      <c r="Y514" s="44" t="str">
        <f aca="false">IFERROR(__xludf.dummyfunction("""COMPUTED_VALUE"""),"done")</f>
        <v>done</v>
      </c>
      <c r="Z514" s="57" t="str">
        <f aca="false">IFERROR(__xludf.dummyfunction("""COMPUTED_VALUE"""),"#N/A")</f>
        <v>#N/A</v>
      </c>
      <c r="AA514" s="57"/>
      <c r="AB514" s="41" t="n">
        <f aca="false">IFERROR(__xludf.dummyfunction("""COMPUTED_VALUE"""),10)</f>
        <v>10</v>
      </c>
      <c r="AC514" s="57" t="str">
        <f aca="false">IFERROR(__xludf.dummyfunction("""COMPUTED_VALUE"""),"gv.ngocvk@hocmai.edu.vn")</f>
        <v>gv.ngocvk@hocmai.edu.vn</v>
      </c>
      <c r="AD514" s="46" t="str">
        <f aca="false">IFERROR(__xludf.dummyfunction("""COMPUTED_VALUE"""),"vinhtho0704@gmail.com")</f>
        <v>vinhtho0704@gmail.com</v>
      </c>
      <c r="AE514" s="46"/>
      <c r="AF514" s="74" t="b">
        <f aca="false">IFERROR(__xludf.dummyfunction("""COMPUTED_VALUE"""),FALSE())</f>
        <v>0</v>
      </c>
      <c r="AG514" s="46" t="str">
        <f aca="false">IFERROR(__xludf.dummyfunction("""COMPUTED_VALUE"""),"")</f>
        <v/>
      </c>
      <c r="AH514" s="46"/>
      <c r="AI514" s="81" t="b">
        <f aca="false">IFERROR(__xludf.dummyfunction("""COMPUTED_VALUE"""),TRUE())</f>
        <v>1</v>
      </c>
      <c r="AJ514" s="46"/>
      <c r="AK514" s="46"/>
      <c r="AL514" s="46"/>
      <c r="AM514" s="46"/>
      <c r="AN514" s="46"/>
      <c r="AO514" s="46"/>
    </row>
    <row r="515" customFormat="false" ht="15.75" hidden="false" customHeight="true" outlineLevel="0" collapsed="false">
      <c r="A515" s="37" t="str">
        <f aca="false">IFERROR(__xludf.dummyfunction("""COMPUTED_VALUE"""),"Khoa học")</f>
        <v>Khoa học</v>
      </c>
      <c r="B515" s="37" t="str">
        <f aca="false">IFERROR(__xludf.dummyfunction("""COMPUTED_VALUE"""),"TOS_V-ACT_KH17")</f>
        <v>TOS_V-ACT_KH17</v>
      </c>
      <c r="C515" s="59" t="str">
        <f aca="false">IFERROR(__xludf.dummyfunction("""COMPUTED_VALUE"""),"Chiến thuật “Phản biện đề bài” – Tránh bẫy tâm lý trong các bài đọc hiểu thí nghiệm.")</f>
        <v>Chiến thuật “Phản biện đề bài” – Tránh bẫy tâm lý trong các bài đọc hiểu thí nghiệm.</v>
      </c>
      <c r="D515" s="39" t="str">
        <f aca="false">IFERROR(__xludf.dummyfunction("""COMPUTED_VALUE"""),"Lê Văn Minh")</f>
        <v>Lê Văn Minh</v>
      </c>
      <c r="E515" s="40" t="n">
        <f aca="false">IFERROR(__xludf.dummyfunction("""COMPUTED_VALUE"""),46305)</f>
        <v>46305</v>
      </c>
      <c r="F515" s="41" t="n">
        <f aca="false">IFERROR(__xludf.dummyfunction("""COMPUTED_VALUE"""),7)</f>
        <v>7</v>
      </c>
      <c r="G515" s="37" t="str">
        <f aca="false">IFERROR(__xludf.dummyfunction("""COMPUTED_VALUE"""),"20:30-22:00")</f>
        <v>20:30-22:00</v>
      </c>
      <c r="H515" s="37"/>
      <c r="I515" s="37"/>
      <c r="J515" s="37"/>
      <c r="K515" s="68" t="str">
        <f aca="false">IFERROR(__xludf.dummyfunction("""COMPUTED_VALUE"""),"Kimnq")</f>
        <v>Kimnq</v>
      </c>
      <c r="L515" s="68" t="str">
        <f aca="false">IFERROR(__xludf.dummyfunction("""COMPUTED_VALUE"""),"Lê Quốc Việt")</f>
        <v>Lê Quốc Việt</v>
      </c>
      <c r="M515" s="71"/>
      <c r="N515" s="77" t="str">
        <f aca="false">IFERROR(__xludf.dummyfunction("""COMPUTED_VALUE"""),"3340,3126")</f>
        <v>3340,3126</v>
      </c>
      <c r="O515" s="73" t="n">
        <f aca="false">IFERROR(__xludf.dummyfunction("""COMPUTED_VALUE"""),167508.167395)</f>
        <v>167508.167395</v>
      </c>
      <c r="P515" s="63"/>
      <c r="Q515" s="63"/>
      <c r="R515" s="41"/>
      <c r="S515" s="41"/>
      <c r="T515" s="63"/>
      <c r="U515" s="63"/>
      <c r="V515" s="70" t="n">
        <f aca="false">IFERROR(__xludf.dummyfunction("""COMPUTED_VALUE"""),46308)</f>
        <v>46308</v>
      </c>
      <c r="W515" s="39"/>
      <c r="X515" s="41" t="str">
        <f aca="false">IFERROR(__xludf.dummyfunction("""COMPUTED_VALUE"""),"Kimnq")</f>
        <v>Kimnq</v>
      </c>
      <c r="Y515" s="44" t="str">
        <f aca="false">IFERROR(__xludf.dummyfunction("""COMPUTED_VALUE"""),"done")</f>
        <v>done</v>
      </c>
      <c r="Z515" s="57" t="str">
        <f aca="false">IFERROR(__xludf.dummyfunction("""COMPUTED_VALUE"""),"#N/A")</f>
        <v>#N/A</v>
      </c>
      <c r="AA515" s="57"/>
      <c r="AB515" s="41" t="n">
        <f aca="false">IFERROR(__xludf.dummyfunction("""COMPUTED_VALUE"""),10)</f>
        <v>10</v>
      </c>
      <c r="AC515" s="57" t="str">
        <f aca="false">IFERROR(__xludf.dummyfunction("""COMPUTED_VALUE"""),"gv.minhlv@hocmai.edu.vn		")</f>
        <v>gv.minhlv@hocmai.edu.vn		</v>
      </c>
      <c r="AD515" s="46" t="str">
        <f aca="false">IFERROR(__xludf.dummyfunction("""COMPUTED_VALUE"""),"Ralph02091@gmail.com")</f>
        <v>Ralph02091@gmail.com</v>
      </c>
      <c r="AE515" s="46"/>
      <c r="AF515" s="47" t="str">
        <f aca="false">IFERROR(__xludf.dummyfunction("""COMPUTED_VALUE"""),"lophoctoan-946305")</f>
        <v>lophoctoan-946305</v>
      </c>
      <c r="AG515" s="46" t="str">
        <f aca="false">IFERROR(__xludf.dummyfunction("""COMPUTED_VALUE"""),"")</f>
        <v/>
      </c>
      <c r="AH515" s="46"/>
      <c r="AI515" s="46"/>
      <c r="AJ515" s="46"/>
      <c r="AK515" s="46"/>
      <c r="AL515" s="46"/>
      <c r="AM515" s="81" t="b">
        <f aca="false">IFERROR(__xludf.dummyfunction("""COMPUTED_VALUE"""),TRUE())</f>
        <v>1</v>
      </c>
      <c r="AN515" s="81" t="b">
        <f aca="false">IFERROR(__xludf.dummyfunction("""COMPUTED_VALUE"""),TRUE())</f>
        <v>1</v>
      </c>
      <c r="AO515" s="46"/>
    </row>
    <row r="516" customFormat="false" ht="15.75" hidden="false" customHeight="true" outlineLevel="0" collapsed="false">
      <c r="A516" s="37" t="str">
        <f aca="false">IFERROR(__xludf.dummyfunction("""COMPUTED_VALUE"""),"Toán")</f>
        <v>Toán</v>
      </c>
      <c r="B516" s="37" t="str">
        <f aca="false">IFERROR(__xludf.dummyfunction("""COMPUTED_VALUE"""),"NT_N_26")</f>
        <v>NT_N_26</v>
      </c>
      <c r="C516" s="59" t="str">
        <f aca="false">IFERROR(__xludf.dummyfunction("""COMPUTED_VALUE"""),"Tích có hướng và ứng dụng")</f>
        <v>Tích có hướng và ứng dụng</v>
      </c>
      <c r="D516" s="39" t="str">
        <f aca="false">IFERROR(__xludf.dummyfunction("""COMPUTED_VALUE"""),"Nguyễn Hoài Nam")</f>
        <v>Nguyễn Hoài Nam</v>
      </c>
      <c r="E516" s="40" t="n">
        <f aca="false">IFERROR(__xludf.dummyfunction("""COMPUTED_VALUE"""),46306)</f>
        <v>46306</v>
      </c>
      <c r="F516" s="41" t="str">
        <f aca="false">IFERROR(__xludf.dummyfunction("""COMPUTED_VALUE"""),"CN")</f>
        <v>CN</v>
      </c>
      <c r="G516" s="37" t="str">
        <f aca="false">IFERROR(__xludf.dummyfunction("""COMPUTED_VALUE"""),"21:00-22:30")</f>
        <v>21:00-22:30</v>
      </c>
      <c r="H516" s="37"/>
      <c r="I516" s="37"/>
      <c r="J516" s="62"/>
      <c r="K516" s="68" t="str">
        <f aca="false">IFERROR(__xludf.dummyfunction("""COMPUTED_VALUE"""),"lent")</f>
        <v>lent</v>
      </c>
      <c r="L516" s="68" t="str">
        <f aca="false">IFERROR(__xludf.dummyfunction("""COMPUTED_VALUE"""),"Tưởng Thị Huyền Trang")</f>
        <v>Tưởng Thị Huyền Trang</v>
      </c>
      <c r="M516" s="69" t="str">
        <f aca="false">IFERROR(__xludf.dummyfunction("""COMPUTED_VALUE"""),"https://hocmai.sharepoint.com/Education_Development/Lists/San_xuat_video/DispForm.aspx?ID=12213")</f>
        <v>https://hocmai.sharepoint.com/Education_Development/Lists/San_xuat_video/DispForm.aspx?ID=12213</v>
      </c>
      <c r="N516" s="78" t="n">
        <f aca="false">IFERROR(__xludf.dummyfunction("""COMPUTED_VALUE"""),3313)</f>
        <v>3313</v>
      </c>
      <c r="O516" s="63" t="n">
        <f aca="false">IFERROR(__xludf.dummyfunction("""COMPUTED_VALUE"""),166650)</f>
        <v>166650</v>
      </c>
      <c r="P516" s="63"/>
      <c r="Q516" s="63" t="n">
        <f aca="false">IFERROR(__xludf.dummyfunction("""COMPUTED_VALUE"""),8052)</f>
        <v>8052</v>
      </c>
      <c r="R516" s="41"/>
      <c r="S516" s="41"/>
      <c r="T516" s="63" t="n">
        <f aca="false">IFERROR(__xludf.dummyfunction("""COMPUTED_VALUE"""),8053)</f>
        <v>8053</v>
      </c>
      <c r="U516" s="63"/>
      <c r="V516" s="70" t="n">
        <f aca="false">IFERROR(__xludf.dummyfunction("""COMPUTED_VALUE"""),46308)</f>
        <v>46308</v>
      </c>
      <c r="W516" s="39"/>
      <c r="X516" s="41" t="str">
        <f aca="false">IFERROR(__xludf.dummyfunction("""COMPUTED_VALUE"""),"Huent7")</f>
        <v>Huent7</v>
      </c>
      <c r="Y516" s="44"/>
      <c r="Z516" s="57"/>
      <c r="AA516" s="57"/>
      <c r="AB516" s="41" t="n">
        <f aca="false">IFERROR(__xludf.dummyfunction("""COMPUTED_VALUE"""),10)</f>
        <v>10</v>
      </c>
      <c r="AC516" s="57"/>
      <c r="AD516" s="46"/>
      <c r="AE516" s="46"/>
      <c r="AF516" s="47" t="str">
        <f aca="false">IFERROR(__xludf.dummyfunction("""COMPUTED_VALUE"""),"lophoctoan-946306")</f>
        <v>lophoctoan-946306</v>
      </c>
      <c r="AG516" s="46" t="str">
        <f aca="false">IFERROR(__xludf.dummyfunction("""COMPUTED_VALUE"""),"")</f>
        <v/>
      </c>
      <c r="AH516" s="81" t="b">
        <f aca="false">IFERROR(__xludf.dummyfunction("""COMPUTED_VALUE"""),TRUE())</f>
        <v>1</v>
      </c>
      <c r="AI516" s="46"/>
      <c r="AJ516" s="46"/>
      <c r="AK516" s="46"/>
      <c r="AL516" s="46"/>
      <c r="AM516" s="46"/>
      <c r="AN516" s="46"/>
      <c r="AO516" s="46"/>
    </row>
    <row r="517" customFormat="false" ht="15.75" hidden="false" customHeight="true" outlineLevel="0" collapsed="false">
      <c r="A517" s="37" t="str">
        <f aca="false">IFERROR(__xludf.dummyfunction("""COMPUTED_VALUE"""),"Toán")</f>
        <v>Toán</v>
      </c>
      <c r="B517" s="37" t="str">
        <f aca="false">IFERROR(__xludf.dummyfunction("""COMPUTED_VALUE"""),"NT_T_42")</f>
        <v>NT_T_42</v>
      </c>
      <c r="C517" s="59" t="str">
        <f aca="false">IFERROR(__xludf.dummyfunction("""COMPUTED_VALUE"""),"Ứng dụng hình học Oxyz trong các bài toán thực tế")</f>
        <v>Ứng dụng hình học Oxyz trong các bài toán thực tế</v>
      </c>
      <c r="D517" s="39" t="str">
        <f aca="false">IFERROR(__xludf.dummyfunction("""COMPUTED_VALUE"""),"Nguyễn Thanh Tùng")</f>
        <v>Nguyễn Thanh Tùng</v>
      </c>
      <c r="E517" s="40" t="n">
        <f aca="false">IFERROR(__xludf.dummyfunction("""COMPUTED_VALUE"""),46306)</f>
        <v>46306</v>
      </c>
      <c r="F517" s="41" t="str">
        <f aca="false">IFERROR(__xludf.dummyfunction("""COMPUTED_VALUE"""),"CN")</f>
        <v>CN</v>
      </c>
      <c r="G517" s="37" t="str">
        <f aca="false">IFERROR(__xludf.dummyfunction("""COMPUTED_VALUE"""),"18:00-20:00")</f>
        <v>18:00-20:00</v>
      </c>
      <c r="H517" s="37"/>
      <c r="I517" s="37"/>
      <c r="J517" s="37"/>
      <c r="K517" s="68" t="str">
        <f aca="false">IFERROR(__xludf.dummyfunction("""COMPUTED_VALUE"""),"Khanhnl")</f>
        <v>Khanhnl</v>
      </c>
      <c r="L517" s="68" t="str">
        <f aca="false">IFERROR(__xludf.dummyfunction("""COMPUTED_VALUE"""),"Tưởng Thị Huyền Trang")</f>
        <v>Tưởng Thị Huyền Trang</v>
      </c>
      <c r="M517" s="69" t="str">
        <f aca="false">IFERROR(__xludf.dummyfunction("""COMPUTED_VALUE"""),"https://hocmai.sharepoint.com/Education_Development/Lists/San_xuat_video/DispForm.aspx?ID=12181")</f>
        <v>https://hocmai.sharepoint.com/Education_Development/Lists/San_xuat_video/DispForm.aspx?ID=12181</v>
      </c>
      <c r="N517" s="63" t="n">
        <f aca="false">IFERROR(__xludf.dummyfunction("""COMPUTED_VALUE"""),3312)</f>
        <v>3312</v>
      </c>
      <c r="O517" s="63" t="n">
        <f aca="false">IFERROR(__xludf.dummyfunction("""COMPUTED_VALUE"""),166575)</f>
        <v>166575</v>
      </c>
      <c r="P517" s="63"/>
      <c r="Q517" s="63" t="n">
        <f aca="false">IFERROR(__xludf.dummyfunction("""COMPUTED_VALUE"""),7967)</f>
        <v>7967</v>
      </c>
      <c r="R517" s="41"/>
      <c r="S517" s="41"/>
      <c r="T517" s="63" t="n">
        <f aca="false">IFERROR(__xludf.dummyfunction("""COMPUTED_VALUE"""),7968)</f>
        <v>7968</v>
      </c>
      <c r="U517" s="63"/>
      <c r="V517" s="70" t="n">
        <f aca="false">IFERROR(__xludf.dummyfunction("""COMPUTED_VALUE"""),46316)</f>
        <v>46316</v>
      </c>
      <c r="W517" s="39"/>
      <c r="X517" s="41" t="str">
        <f aca="false">IFERROR(__xludf.dummyfunction("""COMPUTED_VALUE"""),"Huent7")</f>
        <v>Huent7</v>
      </c>
      <c r="Y517" s="44"/>
      <c r="Z517" s="57"/>
      <c r="AA517" s="57"/>
      <c r="AB517" s="41" t="n">
        <f aca="false">IFERROR(__xludf.dummyfunction("""COMPUTED_VALUE"""),10)</f>
        <v>10</v>
      </c>
      <c r="AC517" s="57"/>
      <c r="AD517" s="46"/>
      <c r="AE517" s="46"/>
      <c r="AF517" s="47" t="str">
        <f aca="false">IFERROR(__xludf.dummyfunction("""COMPUTED_VALUE"""),"lophoctoan-946306")</f>
        <v>lophoctoan-946306</v>
      </c>
      <c r="AG517" s="46" t="str">
        <f aca="false">IFERROR(__xludf.dummyfunction("""COMPUTED_VALUE"""),"")</f>
        <v/>
      </c>
      <c r="AH517" s="81" t="b">
        <f aca="false">IFERROR(__xludf.dummyfunction("""COMPUTED_VALUE"""),TRUE())</f>
        <v>1</v>
      </c>
      <c r="AI517" s="46"/>
      <c r="AJ517" s="46"/>
      <c r="AK517" s="46"/>
      <c r="AL517" s="46"/>
      <c r="AM517" s="46"/>
      <c r="AN517" s="46"/>
      <c r="AO517" s="46"/>
    </row>
    <row r="518" customFormat="false" ht="15.75" hidden="false" customHeight="true" outlineLevel="0" collapsed="false">
      <c r="A518" s="37" t="str">
        <f aca="false">IFERROR(__xludf.dummyfunction("""COMPUTED_VALUE"""),"Đọc hiểu")</f>
        <v>Đọc hiểu</v>
      </c>
      <c r="B518" s="37" t="str">
        <f aca="false">IFERROR(__xludf.dummyfunction("""COMPUTED_VALUE"""),"TOV_TSA_DH18")</f>
        <v>TOV_TSA_DH18</v>
      </c>
      <c r="C518" s="59" t="str">
        <f aca="false">IFERROR(__xludf.dummyfunction("""COMPUTED_VALUE"""),"Luyện tập đọc hiểu văn bản khoa học tự nhiên và công nghệ")</f>
        <v>Luyện tập đọc hiểu văn bản khoa học tự nhiên và công nghệ</v>
      </c>
      <c r="D518" s="39" t="str">
        <f aca="false">IFERROR(__xludf.dummyfunction("""COMPUTED_VALUE"""),"Vũ Khắc Ngọc")</f>
        <v>Vũ Khắc Ngọc</v>
      </c>
      <c r="E518" s="40" t="n">
        <f aca="false">IFERROR(__xludf.dummyfunction("""COMPUTED_VALUE"""),46307)</f>
        <v>46307</v>
      </c>
      <c r="F518" s="41" t="n">
        <f aca="false">IFERROR(__xludf.dummyfunction("""COMPUTED_VALUE"""),2)</f>
        <v>2</v>
      </c>
      <c r="G518" s="37" t="str">
        <f aca="false">IFERROR(__xludf.dummyfunction("""COMPUTED_VALUE"""),"21:30-23:30")</f>
        <v>21:30-23:30</v>
      </c>
      <c r="H518" s="37"/>
      <c r="I518" s="37"/>
      <c r="J518" s="37"/>
      <c r="K518" s="68" t="str">
        <f aca="false">IFERROR(__xludf.dummyfunction("""COMPUTED_VALUE"""),"Hangvt3")</f>
        <v>Hangvt3</v>
      </c>
      <c r="L518" s="68" t="str">
        <f aca="false">IFERROR(__xludf.dummyfunction("""COMPUTED_VALUE"""),"Phan Đức Kiên")</f>
        <v>Phan Đức Kiên</v>
      </c>
      <c r="M518" s="71"/>
      <c r="N518" s="77" t="str">
        <f aca="false">IFERROR(__xludf.dummyfunction("""COMPUTED_VALUE"""),"3109")</f>
        <v>3109</v>
      </c>
      <c r="O518" s="63" t="n">
        <f aca="false">IFERROR(__xludf.dummyfunction("""COMPUTED_VALUE"""),167241)</f>
        <v>167241</v>
      </c>
      <c r="P518" s="63"/>
      <c r="Q518" s="63"/>
      <c r="R518" s="41"/>
      <c r="S518" s="41"/>
      <c r="T518" s="63"/>
      <c r="U518" s="63"/>
      <c r="V518" s="70" t="n">
        <f aca="false">IFERROR(__xludf.dummyfunction("""COMPUTED_VALUE"""),46310)</f>
        <v>46310</v>
      </c>
      <c r="W518" s="39"/>
      <c r="X518" s="41" t="str">
        <f aca="false">IFERROR(__xludf.dummyfunction("""COMPUTED_VALUE"""),"Huent7")</f>
        <v>Huent7</v>
      </c>
      <c r="Y518" s="44" t="str">
        <f aca="false">IFERROR(__xludf.dummyfunction("""COMPUTED_VALUE"""),"done")</f>
        <v>done</v>
      </c>
      <c r="Z518" s="57" t="str">
        <f aca="false">IFERROR(__xludf.dummyfunction("""COMPUTED_VALUE"""),"#N/A")</f>
        <v>#N/A</v>
      </c>
      <c r="AA518" s="57"/>
      <c r="AB518" s="41" t="n">
        <f aca="false">IFERROR(__xludf.dummyfunction("""COMPUTED_VALUE"""),10)</f>
        <v>10</v>
      </c>
      <c r="AC518" s="57" t="str">
        <f aca="false">IFERROR(__xludf.dummyfunction("""COMPUTED_VALUE"""),"gv.ngocvk@hocmai.edu.vn")</f>
        <v>gv.ngocvk@hocmai.edu.vn</v>
      </c>
      <c r="AD518" s="46" t="str">
        <f aca="false">IFERROR(__xludf.dummyfunction("""COMPUTED_VALUE"""),"duckien010607@gmail.com")</f>
        <v>duckien010607@gmail.com</v>
      </c>
      <c r="AE518" s="46"/>
      <c r="AF518" s="47" t="str">
        <f aca="false">IFERROR(__xludf.dummyfunction("""COMPUTED_VALUE"""),"lophoctoan-946307")</f>
        <v>lophoctoan-946307</v>
      </c>
      <c r="AG518" s="46" t="str">
        <f aca="false">IFERROR(__xludf.dummyfunction("""COMPUTED_VALUE"""),"")</f>
        <v/>
      </c>
      <c r="AH518" s="46"/>
      <c r="AI518" s="81" t="b">
        <f aca="false">IFERROR(__xludf.dummyfunction("""COMPUTED_VALUE"""),TRUE())</f>
        <v>1</v>
      </c>
      <c r="AJ518" s="46"/>
      <c r="AK518" s="46"/>
      <c r="AL518" s="46"/>
      <c r="AM518" s="46"/>
      <c r="AN518" s="46"/>
      <c r="AO518" s="46"/>
    </row>
    <row r="519" customFormat="false" ht="15.75" hidden="false" customHeight="true" outlineLevel="0" collapsed="false">
      <c r="A519" s="37" t="str">
        <f aca="false">IFERROR(__xludf.dummyfunction("""COMPUTED_VALUE"""),"Tiếng Anh")</f>
        <v>Tiếng Anh</v>
      </c>
      <c r="B519" s="37" t="str">
        <f aca="false">IFERROR(__xludf.dummyfunction("""COMPUTED_VALUE"""),"TOV_HSA_TA18")</f>
        <v>TOV_HSA_TA18</v>
      </c>
      <c r="C519" s="59" t="str">
        <f aca="false">IFERROR(__xludf.dummyfunction("""COMPUTED_VALUE"""),"Xử lý nhanh dạng bài Chức năng giao tiếp")</f>
        <v>Xử lý nhanh dạng bài Chức năng giao tiếp</v>
      </c>
      <c r="D519" s="39" t="str">
        <f aca="false">IFERROR(__xludf.dummyfunction("""COMPUTED_VALUE"""),"Nguyễn Thanh Hương")</f>
        <v>Nguyễn Thanh Hương</v>
      </c>
      <c r="E519" s="40" t="n">
        <f aca="false">IFERROR(__xludf.dummyfunction("""COMPUTED_VALUE"""),46307)</f>
        <v>46307</v>
      </c>
      <c r="F519" s="41" t="n">
        <f aca="false">IFERROR(__xludf.dummyfunction("""COMPUTED_VALUE"""),2)</f>
        <v>2</v>
      </c>
      <c r="G519" s="37" t="str">
        <f aca="false">IFERROR(__xludf.dummyfunction("""COMPUTED_VALUE"""),"20:00-22:00")</f>
        <v>20:00-22:00</v>
      </c>
      <c r="H519" s="37"/>
      <c r="I519" s="37"/>
      <c r="J519" s="37"/>
      <c r="K519" s="68" t="str">
        <f aca="false">IFERROR(__xludf.dummyfunction("""COMPUTED_VALUE"""),"huyennn2")</f>
        <v>huyennn2</v>
      </c>
      <c r="L519" s="68" t="str">
        <f aca="false">IFERROR(__xludf.dummyfunction("""COMPUTED_VALUE"""),"Nguyễn Lê Thụy Quyên ")</f>
        <v>Nguyễn Lê Thụy Quyên </v>
      </c>
      <c r="M519" s="71"/>
      <c r="N519" s="77" t="str">
        <f aca="false">IFERROR(__xludf.dummyfunction("""COMPUTED_VALUE"""),"3140")</f>
        <v>3140</v>
      </c>
      <c r="O519" s="63" t="n">
        <f aca="false">IFERROR(__xludf.dummyfunction("""COMPUTED_VALUE"""),167554)</f>
        <v>167554</v>
      </c>
      <c r="P519" s="63" t="n">
        <f aca="false">IFERROR(__xludf.dummyfunction("""COMPUTED_VALUE"""),9030.9038)</f>
        <v>9030.9038</v>
      </c>
      <c r="Q519" s="63"/>
      <c r="R519" s="41"/>
      <c r="S519" s="41"/>
      <c r="T519" s="63"/>
      <c r="U519" s="63"/>
      <c r="V519" s="70" t="n">
        <f aca="false">IFERROR(__xludf.dummyfunction("""COMPUTED_VALUE"""),46310)</f>
        <v>46310</v>
      </c>
      <c r="W519" s="39"/>
      <c r="X519" s="41" t="str">
        <f aca="false">IFERROR(__xludf.dummyfunction("""COMPUTED_VALUE"""),"huyennn2")</f>
        <v>huyennn2</v>
      </c>
      <c r="Y519" s="44"/>
      <c r="Z519" s="57" t="str">
        <f aca="false">IFERROR(__xludf.dummyfunction("""COMPUTED_VALUE"""),"#N/A")</f>
        <v>#N/A</v>
      </c>
      <c r="AA519" s="57"/>
      <c r="AB519" s="41" t="n">
        <f aca="false">IFERROR(__xludf.dummyfunction("""COMPUTED_VALUE"""),10)</f>
        <v>10</v>
      </c>
      <c r="AC519" s="57" t="str">
        <f aca="false">IFERROR(__xludf.dummyfunction("""COMPUTED_VALUE"""),"gv.huongnt@hocmai.edu.vn ")</f>
        <v>gv.huongnt@hocmai.edu.vn </v>
      </c>
      <c r="AD519" s="46" t="str">
        <f aca="false">IFERROR(__xludf.dummyfunction("""COMPUTED_VALUE"""),"nguyenlethuyquyencp@gmail.com")</f>
        <v>nguyenlethuyquyencp@gmail.com</v>
      </c>
      <c r="AE519" s="46"/>
      <c r="AF519" s="47" t="str">
        <f aca="false">IFERROR(__xludf.dummyfunction("""COMPUTED_VALUE"""),"lophoctienganh46307")</f>
        <v>lophoctienganh46307</v>
      </c>
      <c r="AG519" s="46" t="str">
        <f aca="false">IFERROR(__xludf.dummyfunction("""COMPUTED_VALUE"""),"")</f>
        <v/>
      </c>
      <c r="AH519" s="46"/>
      <c r="AI519" s="46"/>
      <c r="AJ519" s="81" t="b">
        <f aca="false">IFERROR(__xludf.dummyfunction("""COMPUTED_VALUE"""),TRUE())</f>
        <v>1</v>
      </c>
      <c r="AK519" s="81" t="b">
        <f aca="false">IFERROR(__xludf.dummyfunction("""COMPUTED_VALUE"""),TRUE())</f>
        <v>1</v>
      </c>
      <c r="AL519" s="46"/>
      <c r="AM519" s="46"/>
      <c r="AN519" s="46"/>
      <c r="AO519" s="46"/>
    </row>
    <row r="520" customFormat="false" ht="15.75" hidden="false" customHeight="true" outlineLevel="0" collapsed="false">
      <c r="A520" s="37" t="str">
        <f aca="false">IFERROR(__xludf.dummyfunction("""COMPUTED_VALUE"""),"Hóa học")</f>
        <v>Hóa học</v>
      </c>
      <c r="B520" s="37" t="str">
        <f aca="false">IFERROR(__xludf.dummyfunction("""COMPUTED_VALUE"""),"TOV_HT_HH18")</f>
        <v>TOV_HT_HH18</v>
      </c>
      <c r="C520" s="59" t="str">
        <f aca="false">IFERROR(__xludf.dummyfunction("""COMPUTED_VALUE"""),"Đại cương về kim loại")</f>
        <v>Đại cương về kim loại</v>
      </c>
      <c r="D520" s="39" t="str">
        <f aca="false">IFERROR(__xludf.dummyfunction("""COMPUTED_VALUE"""),"Chu Hải Long")</f>
        <v>Chu Hải Long</v>
      </c>
      <c r="E520" s="40" t="n">
        <f aca="false">IFERROR(__xludf.dummyfunction("""COMPUTED_VALUE"""),46307)</f>
        <v>46307</v>
      </c>
      <c r="F520" s="41" t="n">
        <f aca="false">IFERROR(__xludf.dummyfunction("""COMPUTED_VALUE"""),2)</f>
        <v>2</v>
      </c>
      <c r="G520" s="37" t="str">
        <f aca="false">IFERROR(__xludf.dummyfunction("""COMPUTED_VALUE"""),"19:45-21:45")</f>
        <v>19:45-21:45</v>
      </c>
      <c r="H520" s="37"/>
      <c r="I520" s="37"/>
      <c r="J520" s="37"/>
      <c r="K520" s="68" t="str">
        <f aca="false">IFERROR(__xludf.dummyfunction("""COMPUTED_VALUE"""),"Huebt")</f>
        <v>Huebt</v>
      </c>
      <c r="L520" s="68" t="str">
        <f aca="false">IFERROR(__xludf.dummyfunction("""COMPUTED_VALUE"""),"Võ Hương Giang")</f>
        <v>Võ Hương Giang</v>
      </c>
      <c r="M520" s="71"/>
      <c r="N520" s="77" t="str">
        <f aca="false">IFERROR(__xludf.dummyfunction("""COMPUTED_VALUE"""),"3120,3131")</f>
        <v>3120,3131</v>
      </c>
      <c r="O520" s="63" t="str">
        <f aca="false">IFERROR(__xludf.dummyfunction("""COMPUTED_VALUE"""),"167442,167454")</f>
        <v>167442,167454</v>
      </c>
      <c r="P520" s="63" t="str">
        <f aca="false">IFERROR(__xludf.dummyfunction("""COMPUTED_VALUE"""),"9032,9040,9021")</f>
        <v>9032,9040,9021</v>
      </c>
      <c r="Q520" s="63"/>
      <c r="R520" s="41"/>
      <c r="S520" s="41"/>
      <c r="T520" s="63"/>
      <c r="U520" s="63" t="n">
        <f aca="false">IFERROR(__xludf.dummyfunction("""COMPUTED_VALUE"""),10495)</f>
        <v>10495</v>
      </c>
      <c r="V520" s="70" t="n">
        <f aca="false">IFERROR(__xludf.dummyfunction("""COMPUTED_VALUE"""),46310)</f>
        <v>46310</v>
      </c>
      <c r="W520" s="39"/>
      <c r="X520" s="41" t="str">
        <f aca="false">IFERROR(__xludf.dummyfunction("""COMPUTED_VALUE"""),"Huebt")</f>
        <v>Huebt</v>
      </c>
      <c r="Y520" s="44"/>
      <c r="Z520" s="57" t="str">
        <f aca="false">IFERROR(__xludf.dummyfunction("""COMPUTED_VALUE"""),"#N/A")</f>
        <v>#N/A</v>
      </c>
      <c r="AA520" s="57"/>
      <c r="AB520" s="41" t="n">
        <f aca="false">IFERROR(__xludf.dummyfunction("""COMPUTED_VALUE"""),10)</f>
        <v>10</v>
      </c>
      <c r="AC520" s="57" t="str">
        <f aca="false">IFERROR(__xludf.dummyfunction("""COMPUTED_VALUE"""),"gv.longch@hocmai.edu.vn")</f>
        <v>gv.longch@hocmai.edu.vn</v>
      </c>
      <c r="AD520" s="46" t="str">
        <f aca="false">IFERROR(__xludf.dummyfunction("""COMPUTED_VALUE"""),"giangvh@ctv.hocmai.vn")</f>
        <v>giangvh@ctv.hocmai.vn</v>
      </c>
      <c r="AE520" s="46"/>
      <c r="AF520" s="74" t="b">
        <f aca="false">IFERROR(__xludf.dummyfunction("""COMPUTED_VALUE"""),FALSE())</f>
        <v>0</v>
      </c>
      <c r="AG520" s="46" t="str">
        <f aca="false">IFERROR(__xludf.dummyfunction("""COMPUTED_VALUE"""),"")</f>
        <v/>
      </c>
      <c r="AH520" s="46"/>
      <c r="AI520" s="46"/>
      <c r="AJ520" s="81" t="b">
        <f aca="false">IFERROR(__xludf.dummyfunction("""COMPUTED_VALUE"""),TRUE())</f>
        <v>1</v>
      </c>
      <c r="AK520" s="81" t="b">
        <f aca="false">IFERROR(__xludf.dummyfunction("""COMPUTED_VALUE"""),TRUE())</f>
        <v>1</v>
      </c>
      <c r="AL520" s="81" t="b">
        <f aca="false">IFERROR(__xludf.dummyfunction("""COMPUTED_VALUE"""),TRUE())</f>
        <v>1</v>
      </c>
      <c r="AM520" s="46"/>
      <c r="AN520" s="46"/>
      <c r="AO520" s="46"/>
    </row>
    <row r="521" customFormat="false" ht="15.75" hidden="false" customHeight="true" outlineLevel="0" collapsed="false">
      <c r="A521" s="37" t="str">
        <f aca="false">IFERROR(__xludf.dummyfunction("""COMPUTED_VALUE"""),"Toán")</f>
        <v>Toán</v>
      </c>
      <c r="B521" s="37" t="str">
        <f aca="false">IFERROR(__xludf.dummyfunction("""COMPUTED_VALUE"""),"TOV_TC_T17")</f>
        <v>TOV_TC_T17</v>
      </c>
      <c r="C521" s="59" t="str">
        <f aca="false">IFERROR(__xludf.dummyfunction("""COMPUTED_VALUE"""),"Các bài toán thực tế sử dụng ứng dụng tích phân")</f>
        <v>Các bài toán thực tế sử dụng ứng dụng tích phân</v>
      </c>
      <c r="D521" s="39" t="str">
        <f aca="false">IFERROR(__xludf.dummyfunction("""COMPUTED_VALUE"""),"Nguyễn Thanh Tùng")</f>
        <v>Nguyễn Thanh Tùng</v>
      </c>
      <c r="E521" s="40" t="n">
        <f aca="false">IFERROR(__xludf.dummyfunction("""COMPUTED_VALUE"""),46308)</f>
        <v>46308</v>
      </c>
      <c r="F521" s="41" t="n">
        <f aca="false">IFERROR(__xludf.dummyfunction("""COMPUTED_VALUE"""),3)</f>
        <v>3</v>
      </c>
      <c r="G521" s="37" t="str">
        <f aca="false">IFERROR(__xludf.dummyfunction("""COMPUTED_VALUE"""),"21:00-23:00")</f>
        <v>21:00-23:00</v>
      </c>
      <c r="H521" s="37"/>
      <c r="I521" s="37"/>
      <c r="J521" s="37"/>
      <c r="K521" s="68" t="str">
        <f aca="false">IFERROR(__xludf.dummyfunction("""COMPUTED_VALUE"""),"Lent")</f>
        <v>Lent</v>
      </c>
      <c r="L521" s="68" t="str">
        <f aca="false">IFERROR(__xludf.dummyfunction("""COMPUTED_VALUE"""),"Tưởng Thị Huyền Trang")</f>
        <v>Tưởng Thị Huyền Trang</v>
      </c>
      <c r="M521" s="71"/>
      <c r="N521" s="77" t="str">
        <f aca="false">IFERROR(__xludf.dummyfunction("""COMPUTED_VALUE"""),"3108,3117,3315,3127,3314")</f>
        <v>3108,3117,3315,3127,3314</v>
      </c>
      <c r="O521" s="63" t="str">
        <f aca="false">IFERROR(__xludf.dummyfunction("""COMPUTED_VALUE"""),"168388, 168603, 168344, 167475, 167075")</f>
        <v>168388, 168603, 168344, 167475, 167075</v>
      </c>
      <c r="P521" s="63" t="str">
        <f aca="false">IFERROR(__xludf.dummyfunction("""COMPUTED_VALUE"""),"9025,9028,9036,9104,9106,9017,9102")</f>
        <v>9025,9028,9036,9104,9106,9017,9102</v>
      </c>
      <c r="Q521" s="63" t="n">
        <f aca="false">IFERROR(__xludf.dummyfunction("""COMPUTED_VALUE"""),167075)</f>
        <v>167075</v>
      </c>
      <c r="R521" s="41"/>
      <c r="S521" s="41"/>
      <c r="T521" s="63"/>
      <c r="U521" s="63"/>
      <c r="V521" s="70" t="n">
        <f aca="false">IFERROR(__xludf.dummyfunction("""COMPUTED_VALUE"""),46311)</f>
        <v>46311</v>
      </c>
      <c r="W521" s="39"/>
      <c r="X521" s="41" t="str">
        <f aca="false">IFERROR(__xludf.dummyfunction("""COMPUTED_VALUE"""),"Lent")</f>
        <v>Lent</v>
      </c>
      <c r="Y521" s="44" t="str">
        <f aca="false">IFERROR(__xludf.dummyfunction("""COMPUTED_VALUE"""),"done")</f>
        <v>done</v>
      </c>
      <c r="Z521" s="57" t="str">
        <f aca="false">IFERROR(__xludf.dummyfunction("""COMPUTED_VALUE"""),"#N/A")</f>
        <v>#N/A</v>
      </c>
      <c r="AA521" s="57"/>
      <c r="AB521" s="41" t="n">
        <f aca="false">IFERROR(__xludf.dummyfunction("""COMPUTED_VALUE"""),10)</f>
        <v>10</v>
      </c>
      <c r="AC521" s="57" t="str">
        <f aca="false">IFERROR(__xludf.dummyfunction("""COMPUTED_VALUE"""),"gv.tungnt@hocmai.edu.vn ")</f>
        <v>gv.tungnt@hocmai.edu.vn </v>
      </c>
      <c r="AD521" s="46" t="str">
        <f aca="false">IFERROR(__xludf.dummyfunction("""COMPUTED_VALUE"""),"trangcrazy699@gmail.com")</f>
        <v>trangcrazy699@gmail.com</v>
      </c>
      <c r="AE521" s="46"/>
      <c r="AF521" s="47" t="str">
        <f aca="false">IFERROR(__xludf.dummyfunction("""COMPUTED_VALUE"""),"lophoctoan-946308")</f>
        <v>lophoctoan-946308</v>
      </c>
      <c r="AG521" s="46" t="str">
        <f aca="false">IFERROR(__xludf.dummyfunction("""COMPUTED_VALUE"""),"")</f>
        <v/>
      </c>
      <c r="AH521" s="46"/>
      <c r="AI521" s="81" t="b">
        <f aca="false">IFERROR(__xludf.dummyfunction("""COMPUTED_VALUE"""),TRUE())</f>
        <v>1</v>
      </c>
      <c r="AJ521" s="81" t="b">
        <f aca="false">IFERROR(__xludf.dummyfunction("""COMPUTED_VALUE"""),TRUE())</f>
        <v>1</v>
      </c>
      <c r="AK521" s="81" t="b">
        <f aca="false">IFERROR(__xludf.dummyfunction("""COMPUTED_VALUE"""),TRUE())</f>
        <v>1</v>
      </c>
      <c r="AL521" s="81" t="b">
        <f aca="false">IFERROR(__xludf.dummyfunction("""COMPUTED_VALUE"""),TRUE())</f>
        <v>1</v>
      </c>
      <c r="AM521" s="46"/>
      <c r="AN521" s="46"/>
      <c r="AO521" s="46"/>
    </row>
    <row r="522" customFormat="false" ht="15.75" hidden="false" customHeight="true" outlineLevel="0" collapsed="false">
      <c r="A522" s="37" t="str">
        <f aca="false">IFERROR(__xludf.dummyfunction("""COMPUTED_VALUE"""),"Tiếng Việt")</f>
        <v>Tiếng Việt</v>
      </c>
      <c r="B522" s="37" t="str">
        <f aca="false">IFERROR(__xludf.dummyfunction("""COMPUTED_VALUE"""),"TOV_V-ACT_TV15")</f>
        <v>TOV_V-ACT_TV15</v>
      </c>
      <c r="C522" s="59" t="str">
        <f aca="false">IFERROR(__xludf.dummyfunction("""COMPUTED_VALUE"""),"Văn bản thông tin và phương pháp đọc hiểu văn bản")</f>
        <v>Văn bản thông tin và phương pháp đọc hiểu văn bản</v>
      </c>
      <c r="D522" s="39" t="str">
        <f aca="false">IFERROR(__xludf.dummyfunction("""COMPUTED_VALUE"""),"Văn Trịnh Quỳnh An")</f>
        <v>Văn Trịnh Quỳnh An</v>
      </c>
      <c r="E522" s="40" t="n">
        <f aca="false">IFERROR(__xludf.dummyfunction("""COMPUTED_VALUE"""),46308)</f>
        <v>46308</v>
      </c>
      <c r="F522" s="41" t="n">
        <f aca="false">IFERROR(__xludf.dummyfunction("""COMPUTED_VALUE"""),3)</f>
        <v>3</v>
      </c>
      <c r="G522" s="37" t="str">
        <f aca="false">IFERROR(__xludf.dummyfunction("""COMPUTED_VALUE"""),"20:00-21:30")</f>
        <v>20:00-21:30</v>
      </c>
      <c r="H522" s="37"/>
      <c r="I522" s="37"/>
      <c r="J522" s="37"/>
      <c r="K522" s="68" t="str">
        <f aca="false">IFERROR(__xludf.dummyfunction("""COMPUTED_VALUE"""),"Hangvt3")</f>
        <v>Hangvt3</v>
      </c>
      <c r="L522" s="68" t="str">
        <f aca="false">IFERROR(__xludf.dummyfunction("""COMPUTED_VALUE"""),"Bùi Vĩnh Thọ")</f>
        <v>Bùi Vĩnh Thọ</v>
      </c>
      <c r="M522" s="71"/>
      <c r="N522" s="77" t="str">
        <f aca="false">IFERROR(__xludf.dummyfunction("""COMPUTED_VALUE"""),"3125,3338")</f>
        <v>3125,3338</v>
      </c>
      <c r="O522" s="73" t="n">
        <f aca="false">IFERROR(__xludf.dummyfunction("""COMPUTED_VALUE"""),167367.174782)</f>
        <v>167367.174782</v>
      </c>
      <c r="P522" s="63" t="n">
        <f aca="false">IFERROR(__xludf.dummyfunction("""COMPUTED_VALUE"""),174782)</f>
        <v>174782</v>
      </c>
      <c r="Q522" s="63"/>
      <c r="R522" s="41"/>
      <c r="S522" s="41"/>
      <c r="T522" s="63"/>
      <c r="U522" s="63"/>
      <c r="V522" s="70" t="n">
        <f aca="false">IFERROR(__xludf.dummyfunction("""COMPUTED_VALUE"""),46311)</f>
        <v>46311</v>
      </c>
      <c r="W522" s="39"/>
      <c r="X522" s="41" t="str">
        <f aca="false">IFERROR(__xludf.dummyfunction("""COMPUTED_VALUE"""),"Phuongdt")</f>
        <v>Phuongdt</v>
      </c>
      <c r="Y522" s="44" t="str">
        <f aca="false">IFERROR(__xludf.dummyfunction("""COMPUTED_VALUE"""),"done")</f>
        <v>done</v>
      </c>
      <c r="Z522" s="57" t="str">
        <f aca="false">IFERROR(__xludf.dummyfunction("""COMPUTED_VALUE"""),"#N/A")</f>
        <v>#N/A</v>
      </c>
      <c r="AA522" s="57"/>
      <c r="AB522" s="41" t="n">
        <f aca="false">IFERROR(__xludf.dummyfunction("""COMPUTED_VALUE"""),10)</f>
        <v>10</v>
      </c>
      <c r="AC522" s="57" t="str">
        <f aca="false">IFERROR(__xludf.dummyfunction("""COMPUTED_VALUE"""),"gv.anvtq@hocmai.edu.vn ")</f>
        <v>gv.anvtq@hocmai.edu.vn </v>
      </c>
      <c r="AD522" s="46" t="str">
        <f aca="false">IFERROR(__xludf.dummyfunction("""COMPUTED_VALUE"""),"vinhtho0704@gmail.com")</f>
        <v>vinhtho0704@gmail.com</v>
      </c>
      <c r="AE522" s="46"/>
      <c r="AF522" s="74" t="b">
        <f aca="false">IFERROR(__xludf.dummyfunction("""COMPUTED_VALUE"""),FALSE())</f>
        <v>0</v>
      </c>
      <c r="AG522" s="46" t="str">
        <f aca="false">IFERROR(__xludf.dummyfunction("""COMPUTED_VALUE"""),"")</f>
        <v/>
      </c>
      <c r="AH522" s="46"/>
      <c r="AI522" s="46"/>
      <c r="AJ522" s="46"/>
      <c r="AK522" s="46"/>
      <c r="AL522" s="46"/>
      <c r="AM522" s="81" t="b">
        <f aca="false">IFERROR(__xludf.dummyfunction("""COMPUTED_VALUE"""),TRUE())</f>
        <v>1</v>
      </c>
      <c r="AN522" s="81" t="b">
        <f aca="false">IFERROR(__xludf.dummyfunction("""COMPUTED_VALUE"""),TRUE())</f>
        <v>1</v>
      </c>
      <c r="AO522" s="46"/>
    </row>
    <row r="523" customFormat="false" ht="15.75" hidden="false" customHeight="true" outlineLevel="0" collapsed="false">
      <c r="A523" s="37" t="str">
        <f aca="false">IFERROR(__xludf.dummyfunction("""COMPUTED_VALUE"""),"Địa lí")</f>
        <v>Địa lí</v>
      </c>
      <c r="B523" s="37" t="str">
        <f aca="false">IFERROR(__xludf.dummyfunction("""COMPUTED_VALUE"""),"TOV_HSA_ĐL14")</f>
        <v>TOV_HSA_ĐL14</v>
      </c>
      <c r="C523" s="59" t="str">
        <f aca="false">IFERROR(__xludf.dummyfunction("""COMPUTED_VALUE"""),"Địa lí các ngành kinh tế Việt Nam: Công nghiệp")</f>
        <v>Địa lí các ngành kinh tế Việt Nam: Công nghiệp</v>
      </c>
      <c r="D523" s="39" t="str">
        <f aca="false">IFERROR(__xludf.dummyfunction("""COMPUTED_VALUE"""),"Nguyễn Văn Vinh")</f>
        <v>Nguyễn Văn Vinh</v>
      </c>
      <c r="E523" s="40" t="n">
        <f aca="false">IFERROR(__xludf.dummyfunction("""COMPUTED_VALUE"""),46308)</f>
        <v>46308</v>
      </c>
      <c r="F523" s="41" t="n">
        <f aca="false">IFERROR(__xludf.dummyfunction("""COMPUTED_VALUE"""),3)</f>
        <v>3</v>
      </c>
      <c r="G523" s="37" t="str">
        <f aca="false">IFERROR(__xludf.dummyfunction("""COMPUTED_VALUE"""),"18:30-20:30")</f>
        <v>18:30-20:30</v>
      </c>
      <c r="H523" s="37"/>
      <c r="I523" s="37"/>
      <c r="J523" s="37"/>
      <c r="K523" s="68" t="str">
        <f aca="false">IFERROR(__xludf.dummyfunction("""COMPUTED_VALUE"""),"Trinhntt")</f>
        <v>Trinhntt</v>
      </c>
      <c r="L523" s="68" t="str">
        <f aca="false">IFERROR(__xludf.dummyfunction("""COMPUTED_VALUE"""),"Phan Đức Kiên")</f>
        <v>Phan Đức Kiên</v>
      </c>
      <c r="M523" s="71"/>
      <c r="N523" s="77" t="str">
        <f aca="false">IFERROR(__xludf.dummyfunction("""COMPUTED_VALUE"""),"3123")</f>
        <v>3123</v>
      </c>
      <c r="O523" s="63" t="n">
        <f aca="false">IFERROR(__xludf.dummyfunction("""COMPUTED_VALUE"""),174760)</f>
        <v>174760</v>
      </c>
      <c r="P523" s="63"/>
      <c r="Q523" s="63" t="n">
        <f aca="false">IFERROR(__xludf.dummyfunction("""COMPUTED_VALUE"""),174760)</f>
        <v>174760</v>
      </c>
      <c r="R523" s="41"/>
      <c r="S523" s="41"/>
      <c r="T523" s="63"/>
      <c r="U523" s="63"/>
      <c r="V523" s="70" t="n">
        <f aca="false">IFERROR(__xludf.dummyfunction("""COMPUTED_VALUE"""),46311)</f>
        <v>46311</v>
      </c>
      <c r="W523" s="39"/>
      <c r="X523" s="41" t="str">
        <f aca="false">IFERROR(__xludf.dummyfunction("""COMPUTED_VALUE"""),"Huent7")</f>
        <v>Huent7</v>
      </c>
      <c r="Y523" s="44"/>
      <c r="Z523" s="57" t="str">
        <f aca="false">IFERROR(__xludf.dummyfunction("""COMPUTED_VALUE"""),"#N/A")</f>
        <v>#N/A</v>
      </c>
      <c r="AA523" s="57"/>
      <c r="AB523" s="41"/>
      <c r="AC523" s="57" t="str">
        <f aca="false">IFERROR(__xludf.dummyfunction("""COMPUTED_VALUE"""),"gv.vinhnv@hocmai.edu.vn")</f>
        <v>gv.vinhnv@hocmai.edu.vn</v>
      </c>
      <c r="AD523" s="46" t="str">
        <f aca="false">IFERROR(__xludf.dummyfunction("""COMPUTED_VALUE"""),"duckien010607@gmail.com")</f>
        <v>duckien010607@gmail.com</v>
      </c>
      <c r="AE523" s="46"/>
      <c r="AF523" s="74" t="b">
        <f aca="false">IFERROR(__xludf.dummyfunction("""COMPUTED_VALUE"""),FALSE())</f>
        <v>0</v>
      </c>
      <c r="AG523" s="46" t="str">
        <f aca="false">IFERROR(__xludf.dummyfunction("""COMPUTED_VALUE"""),"")</f>
        <v/>
      </c>
      <c r="AH523" s="46"/>
      <c r="AI523" s="46"/>
      <c r="AJ523" s="81" t="b">
        <f aca="false">IFERROR(__xludf.dummyfunction("""COMPUTED_VALUE"""),TRUE())</f>
        <v>1</v>
      </c>
      <c r="AK523" s="81" t="b">
        <f aca="false">IFERROR(__xludf.dummyfunction("""COMPUTED_VALUE"""),TRUE())</f>
        <v>1</v>
      </c>
      <c r="AL523" s="46"/>
      <c r="AM523" s="46"/>
      <c r="AN523" s="46"/>
      <c r="AO523" s="46"/>
    </row>
    <row r="524" customFormat="false" ht="15.75" hidden="false" customHeight="true" outlineLevel="0" collapsed="false">
      <c r="A524" s="37" t="str">
        <f aca="false">IFERROR(__xludf.dummyfunction("""COMPUTED_VALUE"""),"Định tính")</f>
        <v>Định tính</v>
      </c>
      <c r="B524" s="37" t="str">
        <f aca="false">IFERROR(__xludf.dummyfunction("""COMPUTED_VALUE"""),"TOV_HSA_DT16")</f>
        <v>TOV_HSA_DT16</v>
      </c>
      <c r="C524" s="59" t="str">
        <f aca="false">IFERROR(__xludf.dummyfunction("""COMPUTED_VALUE"""),"Phương pháp xử lý nhóm câu hỏi về chi tiết, hình ảnh và từ ngữ")</f>
        <v>Phương pháp xử lý nhóm câu hỏi về chi tiết, hình ảnh và từ ngữ</v>
      </c>
      <c r="D524" s="39" t="str">
        <f aca="false">IFERROR(__xludf.dummyfunction("""COMPUTED_VALUE"""),"Vương Thúy Hằng")</f>
        <v>Vương Thúy Hằng</v>
      </c>
      <c r="E524" s="40" t="n">
        <f aca="false">IFERROR(__xludf.dummyfunction("""COMPUTED_VALUE"""),46309)</f>
        <v>46309</v>
      </c>
      <c r="F524" s="41" t="n">
        <f aca="false">IFERROR(__xludf.dummyfunction("""COMPUTED_VALUE"""),4)</f>
        <v>4</v>
      </c>
      <c r="G524" s="37" t="str">
        <f aca="false">IFERROR(__xludf.dummyfunction("""COMPUTED_VALUE"""),"21:00-23:00")</f>
        <v>21:00-23:00</v>
      </c>
      <c r="H524" s="37"/>
      <c r="I524" s="37"/>
      <c r="J524" s="37"/>
      <c r="K524" s="68" t="str">
        <f aca="false">IFERROR(__xludf.dummyfunction("""COMPUTED_VALUE"""),"Hangvt3")</f>
        <v>Hangvt3</v>
      </c>
      <c r="L524" s="68" t="str">
        <f aca="false">IFERROR(__xludf.dummyfunction("""COMPUTED_VALUE"""),"Kiều Bảo Minh")</f>
        <v>Kiều Bảo Minh</v>
      </c>
      <c r="M524" s="71"/>
      <c r="N524" s="77" t="str">
        <f aca="false">IFERROR(__xludf.dummyfunction("""COMPUTED_VALUE"""),"3118")</f>
        <v>3118</v>
      </c>
      <c r="O524" s="63" t="n">
        <f aca="false">IFERROR(__xludf.dummyfunction("""COMPUTED_VALUE"""),167305)</f>
        <v>167305</v>
      </c>
      <c r="P524" s="63"/>
      <c r="Q524" s="63"/>
      <c r="R524" s="41"/>
      <c r="S524" s="41"/>
      <c r="T524" s="63"/>
      <c r="U524" s="63"/>
      <c r="V524" s="70" t="n">
        <f aca="false">IFERROR(__xludf.dummyfunction("""COMPUTED_VALUE"""),46312)</f>
        <v>46312</v>
      </c>
      <c r="W524" s="39"/>
      <c r="X524" s="41" t="str">
        <f aca="false">IFERROR(__xludf.dummyfunction("""COMPUTED_VALUE"""),"Phuongdt")</f>
        <v>Phuongdt</v>
      </c>
      <c r="Y524" s="44" t="str">
        <f aca="false">IFERROR(__xludf.dummyfunction("""COMPUTED_VALUE"""),"done")</f>
        <v>done</v>
      </c>
      <c r="Z524" s="57" t="str">
        <f aca="false">IFERROR(__xludf.dummyfunction("""COMPUTED_VALUE"""),"#N/A")</f>
        <v>#N/A</v>
      </c>
      <c r="AA524" s="57"/>
      <c r="AB524" s="41" t="n">
        <f aca="false">IFERROR(__xludf.dummyfunction("""COMPUTED_VALUE"""),10)</f>
        <v>10</v>
      </c>
      <c r="AC524" s="57" t="str">
        <f aca="false">IFERROR(__xludf.dummyfunction("""COMPUTED_VALUE"""),"gv.hangvt@hocmai.edu.vn ")</f>
        <v>gv.hangvt@hocmai.edu.vn </v>
      </c>
      <c r="AD524" s="46" t="str">
        <f aca="false">IFERROR(__xludf.dummyfunction("""COMPUTED_VALUE"""),"mkieu2662@gmail.com")</f>
        <v>mkieu2662@gmail.com</v>
      </c>
      <c r="AE524" s="46"/>
      <c r="AF524" s="74" t="b">
        <f aca="false">IFERROR(__xludf.dummyfunction("""COMPUTED_VALUE"""),FALSE())</f>
        <v>0</v>
      </c>
      <c r="AG524" s="46" t="str">
        <f aca="false">IFERROR(__xludf.dummyfunction("""COMPUTED_VALUE"""),"")</f>
        <v/>
      </c>
      <c r="AH524" s="46"/>
      <c r="AI524" s="46"/>
      <c r="AJ524" s="81" t="b">
        <f aca="false">IFERROR(__xludf.dummyfunction("""COMPUTED_VALUE"""),TRUE())</f>
        <v>1</v>
      </c>
      <c r="AK524" s="81" t="b">
        <f aca="false">IFERROR(__xludf.dummyfunction("""COMPUTED_VALUE"""),TRUE())</f>
        <v>1</v>
      </c>
      <c r="AL524" s="46"/>
      <c r="AM524" s="46"/>
      <c r="AN524" s="46"/>
      <c r="AO524" s="46"/>
    </row>
    <row r="525" customFormat="false" ht="15.75" hidden="false" customHeight="true" outlineLevel="0" collapsed="false">
      <c r="A525" s="37" t="str">
        <f aca="false">IFERROR(__xludf.dummyfunction("""COMPUTED_VALUE"""),"Ngữ văn")</f>
        <v>Ngữ văn</v>
      </c>
      <c r="B525" s="37" t="str">
        <f aca="false">IFERROR(__xludf.dummyfunction("""COMPUTED_VALUE"""),"TOV_TNTHPT_NV08")</f>
        <v>TOV_TNTHPT_NV08</v>
      </c>
      <c r="C525" s="59" t="str">
        <f aca="false">IFERROR(__xludf.dummyfunction("""COMPUTED_VALUE"""),"Hướng dẫn đọc và khai thác nội dung văn bản thông tin")</f>
        <v>Hướng dẫn đọc và khai thác nội dung văn bản thông tin</v>
      </c>
      <c r="D525" s="39" t="str">
        <f aca="false">IFERROR(__xludf.dummyfunction("""COMPUTED_VALUE"""),"Phạm Hữu Cường")</f>
        <v>Phạm Hữu Cường</v>
      </c>
      <c r="E525" s="40" t="n">
        <f aca="false">IFERROR(__xludf.dummyfunction("""COMPUTED_VALUE"""),46309)</f>
        <v>46309</v>
      </c>
      <c r="F525" s="41" t="n">
        <f aca="false">IFERROR(__xludf.dummyfunction("""COMPUTED_VALUE"""),4)</f>
        <v>4</v>
      </c>
      <c r="G525" s="37" t="str">
        <f aca="false">IFERROR(__xludf.dummyfunction("""COMPUTED_VALUE"""),"21:00-23:00")</f>
        <v>21:00-23:00</v>
      </c>
      <c r="H525" s="37"/>
      <c r="I525" s="37"/>
      <c r="J525" s="37"/>
      <c r="K525" s="68" t="str">
        <f aca="false">IFERROR(__xludf.dummyfunction("""COMPUTED_VALUE"""),"Hangvt3")</f>
        <v>Hangvt3</v>
      </c>
      <c r="L525" s="68" t="str">
        <f aca="false">IFERROR(__xludf.dummyfunction("""COMPUTED_VALUE"""),"Trần Đức Lương")</f>
        <v>Trần Đức Lương</v>
      </c>
      <c r="M525" s="71"/>
      <c r="N525" s="77" t="str">
        <f aca="false">IFERROR(__xludf.dummyfunction("""COMPUTED_VALUE"""),"3128")</f>
        <v>3128</v>
      </c>
      <c r="O525" s="63" t="n">
        <f aca="false">IFERROR(__xludf.dummyfunction("""COMPUTED_VALUE"""),167565)</f>
        <v>167565</v>
      </c>
      <c r="P525" s="63"/>
      <c r="Q525" s="63"/>
      <c r="R525" s="41"/>
      <c r="S525" s="41"/>
      <c r="T525" s="63"/>
      <c r="U525" s="63"/>
      <c r="V525" s="70" t="n">
        <f aca="false">IFERROR(__xludf.dummyfunction("""COMPUTED_VALUE"""),46312)</f>
        <v>46312</v>
      </c>
      <c r="W525" s="39"/>
      <c r="X525" s="41" t="str">
        <f aca="false">IFERROR(__xludf.dummyfunction("""COMPUTED_VALUE"""),"Phuongdt")</f>
        <v>Phuongdt</v>
      </c>
      <c r="Y525" s="44"/>
      <c r="Z525" s="57" t="str">
        <f aca="false">IFERROR(__xludf.dummyfunction("""COMPUTED_VALUE"""),"#N/A")</f>
        <v>#N/A</v>
      </c>
      <c r="AA525" s="57"/>
      <c r="AB525" s="41" t="n">
        <f aca="false">IFERROR(__xludf.dummyfunction("""COMPUTED_VALUE"""),10)</f>
        <v>10</v>
      </c>
      <c r="AC525" s="57" t="str">
        <f aca="false">IFERROR(__xludf.dummyfunction("""COMPUTED_VALUE"""),"gv.cuongph@hocmai.edu.vn ")</f>
        <v>gv.cuongph@hocmai.edu.vn </v>
      </c>
      <c r="AD525" s="46" t="str">
        <f aca="false">IFERROR(__xludf.dummyfunction("""COMPUTED_VALUE"""),"ss.hsa01@ctv.hocmai.vn")</f>
        <v>ss.hsa01@ctv.hocmai.vn</v>
      </c>
      <c r="AE525" s="46"/>
      <c r="AF525" s="74" t="b">
        <f aca="false">IFERROR(__xludf.dummyfunction("""COMPUTED_VALUE"""),FALSE())</f>
        <v>0</v>
      </c>
      <c r="AG525" s="46" t="str">
        <f aca="false">IFERROR(__xludf.dummyfunction("""COMPUTED_VALUE"""),"")</f>
        <v/>
      </c>
      <c r="AH525" s="46"/>
      <c r="AI525" s="46"/>
      <c r="AJ525" s="46"/>
      <c r="AK525" s="46"/>
      <c r="AL525" s="81" t="b">
        <f aca="false">IFERROR(__xludf.dummyfunction("""COMPUTED_VALUE"""),TRUE())</f>
        <v>1</v>
      </c>
      <c r="AM525" s="46"/>
      <c r="AN525" s="46"/>
      <c r="AO525" s="46"/>
    </row>
    <row r="526" customFormat="false" ht="15.75" hidden="false" customHeight="true" outlineLevel="0" collapsed="false">
      <c r="A526" s="37" t="str">
        <f aca="false">IFERROR(__xludf.dummyfunction("""COMPUTED_VALUE"""),"Vật lí")</f>
        <v>Vật lí</v>
      </c>
      <c r="B526" s="37" t="str">
        <f aca="false">IFERROR(__xludf.dummyfunction("""COMPUTED_VALUE"""),"TOV_TSA_L17")</f>
        <v>TOV_TSA_L17</v>
      </c>
      <c r="C526" s="59" t="str">
        <f aca="false">IFERROR(__xludf.dummyfunction("""COMPUTED_VALUE"""),"Lực hấp dẫn, định luật Kepler và chuyển động vệ tinh")</f>
        <v>Lực hấp dẫn, định luật Kepler và chuyển động vệ tinh</v>
      </c>
      <c r="D526" s="39" t="str">
        <f aca="false">IFERROR(__xludf.dummyfunction("""COMPUTED_VALUE"""),"Thiều Thị Dung")</f>
        <v>Thiều Thị Dung</v>
      </c>
      <c r="E526" s="40" t="n">
        <f aca="false">IFERROR(__xludf.dummyfunction("""COMPUTED_VALUE"""),46310)</f>
        <v>46310</v>
      </c>
      <c r="F526" s="41" t="n">
        <f aca="false">IFERROR(__xludf.dummyfunction("""COMPUTED_VALUE"""),5)</f>
        <v>5</v>
      </c>
      <c r="G526" s="37" t="str">
        <f aca="false">IFERROR(__xludf.dummyfunction("""COMPUTED_VALUE"""),"21:00-23:00")</f>
        <v>21:00-23:00</v>
      </c>
      <c r="H526" s="37"/>
      <c r="I526" s="37"/>
      <c r="J526" s="37"/>
      <c r="K526" s="68" t="str">
        <f aca="false">IFERROR(__xludf.dummyfunction("""COMPUTED_VALUE"""),"Trangnth2")</f>
        <v>Trangnth2</v>
      </c>
      <c r="L526" s="68" t="str">
        <f aca="false">IFERROR(__xludf.dummyfunction("""COMPUTED_VALUE"""),"Trần Đức Lương")</f>
        <v>Trần Đức Lương</v>
      </c>
      <c r="M526" s="71"/>
      <c r="N526" s="77" t="str">
        <f aca="false">IFERROR(__xludf.dummyfunction("""COMPUTED_VALUE"""),"3110")</f>
        <v>3110</v>
      </c>
      <c r="O526" s="63" t="n">
        <f aca="false">IFERROR(__xludf.dummyfunction("""COMPUTED_VALUE"""),167279)</f>
        <v>167279</v>
      </c>
      <c r="P526" s="63"/>
      <c r="Q526" s="63"/>
      <c r="R526" s="41"/>
      <c r="S526" s="41"/>
      <c r="T526" s="63"/>
      <c r="U526" s="63"/>
      <c r="V526" s="70" t="n">
        <f aca="false">IFERROR(__xludf.dummyfunction("""COMPUTED_VALUE"""),46313)</f>
        <v>46313</v>
      </c>
      <c r="W526" s="39"/>
      <c r="X526" s="41" t="str">
        <f aca="false">IFERROR(__xludf.dummyfunction("""COMPUTED_VALUE"""),"Trangnth2")</f>
        <v>Trangnth2</v>
      </c>
      <c r="Y526" s="44"/>
      <c r="Z526" s="57" t="str">
        <f aca="false">IFERROR(__xludf.dummyfunction("""COMPUTED_VALUE"""),"#N/A")</f>
        <v>#N/A</v>
      </c>
      <c r="AA526" s="57"/>
      <c r="AB526" s="41" t="n">
        <f aca="false">IFERROR(__xludf.dummyfunction("""COMPUTED_VALUE"""),10)</f>
        <v>10</v>
      </c>
      <c r="AC526" s="57" t="str">
        <f aca="false">IFERROR(__xludf.dummyfunction("""COMPUTED_VALUE"""),"dungtt2@hocmai.vn                ")</f>
        <v>dungtt2@hocmai.vn                </v>
      </c>
      <c r="AD526" s="46" t="str">
        <f aca="false">IFERROR(__xludf.dummyfunction("""COMPUTED_VALUE"""),"ss.hsa01@ctv.hocmai.vn")</f>
        <v>ss.hsa01@ctv.hocmai.vn</v>
      </c>
      <c r="AE526" s="46"/>
      <c r="AF526" s="74" t="b">
        <f aca="false">IFERROR(__xludf.dummyfunction("""COMPUTED_VALUE"""),FALSE())</f>
        <v>0</v>
      </c>
      <c r="AG526" s="46" t="str">
        <f aca="false">IFERROR(__xludf.dummyfunction("""COMPUTED_VALUE"""),"")</f>
        <v/>
      </c>
      <c r="AH526" s="46"/>
      <c r="AI526" s="81" t="b">
        <f aca="false">IFERROR(__xludf.dummyfunction("""COMPUTED_VALUE"""),TRUE())</f>
        <v>1</v>
      </c>
      <c r="AJ526" s="46"/>
      <c r="AK526" s="46"/>
      <c r="AL526" s="46"/>
      <c r="AM526" s="46"/>
      <c r="AN526" s="46"/>
      <c r="AO526" s="46"/>
    </row>
    <row r="527" customFormat="false" ht="15.75" hidden="false" customHeight="true" outlineLevel="0" collapsed="false">
      <c r="A527" s="37" t="str">
        <f aca="false">IFERROR(__xludf.dummyfunction("""COMPUTED_VALUE"""),"Vật lí")</f>
        <v>Vật lí</v>
      </c>
      <c r="B527" s="37" t="str">
        <f aca="false">IFERROR(__xludf.dummyfunction("""COMPUTED_VALUE"""),"TOV_HT_VL18")</f>
        <v>TOV_HT_VL18</v>
      </c>
      <c r="C527" s="59" t="str">
        <f aca="false">IFERROR(__xludf.dummyfunction("""COMPUTED_VALUE"""),"Ôn tập chủ đề Nhiệt và Khí lí tưởng")</f>
        <v>Ôn tập chủ đề Nhiệt và Khí lí tưởng</v>
      </c>
      <c r="D527" s="39" t="str">
        <f aca="false">IFERROR(__xludf.dummyfunction("""COMPUTED_VALUE"""),"Nguyễn Hữu Tình")</f>
        <v>Nguyễn Hữu Tình</v>
      </c>
      <c r="E527" s="40" t="n">
        <f aca="false">IFERROR(__xludf.dummyfunction("""COMPUTED_VALUE"""),46310)</f>
        <v>46310</v>
      </c>
      <c r="F527" s="41" t="n">
        <f aca="false">IFERROR(__xludf.dummyfunction("""COMPUTED_VALUE"""),5)</f>
        <v>5</v>
      </c>
      <c r="G527" s="37" t="str">
        <f aca="false">IFERROR(__xludf.dummyfunction("""COMPUTED_VALUE"""),"21:00-23:00")</f>
        <v>21:00-23:00</v>
      </c>
      <c r="H527" s="37"/>
      <c r="I527" s="37"/>
      <c r="J527" s="37"/>
      <c r="K527" s="68" t="str">
        <f aca="false">IFERROR(__xludf.dummyfunction("""COMPUTED_VALUE"""),"Trangnth2")</f>
        <v>Trangnth2</v>
      </c>
      <c r="L527" s="68" t="str">
        <f aca="false">IFERROR(__xludf.dummyfunction("""COMPUTED_VALUE"""),"Kiều Bảo Minh")</f>
        <v>Kiều Bảo Minh</v>
      </c>
      <c r="M527" s="71"/>
      <c r="N527" s="80" t="str">
        <f aca="false">IFERROR(__xludf.dummyfunction("""COMPUTED_VALUE"""),"3119,3130")</f>
        <v>3119,3130</v>
      </c>
      <c r="O527" s="73" t="n">
        <f aca="false">IFERROR(__xludf.dummyfunction("""COMPUTED_VALUE"""),167533.16758)</f>
        <v>167533.16758</v>
      </c>
      <c r="P527" s="63" t="str">
        <f aca="false">IFERROR(__xludf.dummyfunction("""COMPUTED_VALUE"""),"9031,9039,9020")</f>
        <v>9031,9039,9020</v>
      </c>
      <c r="Q527" s="63"/>
      <c r="R527" s="41"/>
      <c r="S527" s="41"/>
      <c r="T527" s="63"/>
      <c r="U527" s="63" t="n">
        <f aca="false">IFERROR(__xludf.dummyfunction("""COMPUTED_VALUE"""),10474)</f>
        <v>10474</v>
      </c>
      <c r="V527" s="70" t="n">
        <f aca="false">IFERROR(__xludf.dummyfunction("""COMPUTED_VALUE"""),46313)</f>
        <v>46313</v>
      </c>
      <c r="W527" s="39"/>
      <c r="X527" s="41" t="str">
        <f aca="false">IFERROR(__xludf.dummyfunction("""COMPUTED_VALUE"""),"Trangnth2")</f>
        <v>Trangnth2</v>
      </c>
      <c r="Y527" s="44"/>
      <c r="Z527" s="57" t="str">
        <f aca="false">IFERROR(__xludf.dummyfunction("""COMPUTED_VALUE"""),"#N/A")</f>
        <v>#N/A</v>
      </c>
      <c r="AA527" s="57"/>
      <c r="AB527" s="41" t="n">
        <f aca="false">IFERROR(__xludf.dummyfunction("""COMPUTED_VALUE"""),10)</f>
        <v>10</v>
      </c>
      <c r="AC527" s="57" t="str">
        <f aca="false">IFERROR(__xludf.dummyfunction("""COMPUTED_VALUE"""),"gv.tinhnh@hocmai.edu.vn ")</f>
        <v>gv.tinhnh@hocmai.edu.vn </v>
      </c>
      <c r="AD527" s="46" t="str">
        <f aca="false">IFERROR(__xludf.dummyfunction("""COMPUTED_VALUE"""),"mkieu2662@gmail.com")</f>
        <v>mkieu2662@gmail.com</v>
      </c>
      <c r="AE527" s="46"/>
      <c r="AF527" s="74" t="b">
        <f aca="false">IFERROR(__xludf.dummyfunction("""COMPUTED_VALUE"""),FALSE())</f>
        <v>0</v>
      </c>
      <c r="AG527" s="46" t="str">
        <f aca="false">IFERROR(__xludf.dummyfunction("""COMPUTED_VALUE"""),"")</f>
        <v/>
      </c>
      <c r="AH527" s="46"/>
      <c r="AI527" s="46"/>
      <c r="AJ527" s="81" t="b">
        <f aca="false">IFERROR(__xludf.dummyfunction("""COMPUTED_VALUE"""),TRUE())</f>
        <v>1</v>
      </c>
      <c r="AK527" s="81" t="b">
        <f aca="false">IFERROR(__xludf.dummyfunction("""COMPUTED_VALUE"""),TRUE())</f>
        <v>1</v>
      </c>
      <c r="AL527" s="81" t="b">
        <f aca="false">IFERROR(__xludf.dummyfunction("""COMPUTED_VALUE"""),TRUE())</f>
        <v>1</v>
      </c>
      <c r="AM527" s="46"/>
      <c r="AN527" s="46"/>
      <c r="AO527" s="46"/>
    </row>
    <row r="528" customFormat="false" ht="15.75" hidden="false" customHeight="true" outlineLevel="0" collapsed="false">
      <c r="A528" s="37" t="str">
        <f aca="false">IFERROR(__xludf.dummyfunction("""COMPUTED_VALUE"""),"Toán")</f>
        <v>Toán</v>
      </c>
      <c r="B528" s="37" t="str">
        <f aca="false">IFERROR(__xludf.dummyfunction("""COMPUTED_VALUE"""),"TOA_V-ACT_T17")</f>
        <v>TOA_V-ACT_T17</v>
      </c>
      <c r="C528" s="59" t="str">
        <f aca="false">IFERROR(__xludf.dummyfunction("""COMPUTED_VALUE"""),"Phương pháp, kĩ năng xử lí các bài toán về hình học không gian (P1)")</f>
        <v>Phương pháp, kĩ năng xử lí các bài toán về hình học không gian (P1)</v>
      </c>
      <c r="D528" s="39" t="str">
        <f aca="false">IFERROR(__xludf.dummyfunction("""COMPUTED_VALUE"""),"Nguyễn Hoài Nam")</f>
        <v>Nguyễn Hoài Nam</v>
      </c>
      <c r="E528" s="40" t="n">
        <f aca="false">IFERROR(__xludf.dummyfunction("""COMPUTED_VALUE"""),46310)</f>
        <v>46310</v>
      </c>
      <c r="F528" s="41" t="n">
        <f aca="false">IFERROR(__xludf.dummyfunction("""COMPUTED_VALUE"""),5)</f>
        <v>5</v>
      </c>
      <c r="G528" s="37" t="str">
        <f aca="false">IFERROR(__xludf.dummyfunction("""COMPUTED_VALUE"""),"21:00-22:30")</f>
        <v>21:00-22:30</v>
      </c>
      <c r="H528" s="37"/>
      <c r="I528" s="37"/>
      <c r="J528" s="37"/>
      <c r="K528" s="68" t="str">
        <f aca="false">IFERROR(__xludf.dummyfunction("""COMPUTED_VALUE"""),"Lent")</f>
        <v>Lent</v>
      </c>
      <c r="L528" s="68" t="str">
        <f aca="false">IFERROR(__xludf.dummyfunction("""COMPUTED_VALUE"""),"Lường Nhật Nam")</f>
        <v>Lường Nhật Nam</v>
      </c>
      <c r="M528" s="71"/>
      <c r="N528" s="77" t="str">
        <f aca="false">IFERROR(__xludf.dummyfunction("""COMPUTED_VALUE"""),"3124,3316")</f>
        <v>3124,3316</v>
      </c>
      <c r="O528" s="73" t="n">
        <f aca="false">IFERROR(__xludf.dummyfunction("""COMPUTED_VALUE"""),167216.166871)</f>
        <v>167216.166871</v>
      </c>
      <c r="P528" s="63" t="n">
        <f aca="false">IFERROR(__xludf.dummyfunction("""COMPUTED_VALUE"""),9044.9108)</f>
        <v>9044.9108</v>
      </c>
      <c r="Q528" s="63" t="n">
        <f aca="false">IFERROR(__xludf.dummyfunction("""COMPUTED_VALUE"""),167216)</f>
        <v>167216</v>
      </c>
      <c r="R528" s="41" t="n">
        <f aca="false">IFERROR(__xludf.dummyfunction("""COMPUTED_VALUE"""),166871)</f>
        <v>166871</v>
      </c>
      <c r="S528" s="41"/>
      <c r="T528" s="63"/>
      <c r="U528" s="63"/>
      <c r="V528" s="70" t="n">
        <f aca="false">IFERROR(__xludf.dummyfunction("""COMPUTED_VALUE"""),46313)</f>
        <v>46313</v>
      </c>
      <c r="W528" s="39"/>
      <c r="X528" s="41" t="str">
        <f aca="false">IFERROR(__xludf.dummyfunction("""COMPUTED_VALUE"""),"Lent")</f>
        <v>Lent</v>
      </c>
      <c r="Y528" s="44" t="str">
        <f aca="false">IFERROR(__xludf.dummyfunction("""COMPUTED_VALUE"""),"done")</f>
        <v>done</v>
      </c>
      <c r="Z528" s="57" t="str">
        <f aca="false">IFERROR(__xludf.dummyfunction("""COMPUTED_VALUE"""),"#N/A")</f>
        <v>#N/A</v>
      </c>
      <c r="AA528" s="57"/>
      <c r="AB528" s="41" t="n">
        <f aca="false">IFERROR(__xludf.dummyfunction("""COMPUTED_VALUE"""),10)</f>
        <v>10</v>
      </c>
      <c r="AC528" s="57" t="str">
        <f aca="false">IFERROR(__xludf.dummyfunction("""COMPUTED_VALUE"""),"gv.namnh@hocmai.edu.vn ")</f>
        <v>gv.namnh@hocmai.edu.vn </v>
      </c>
      <c r="AD528" s="46" t="str">
        <f aca="false">IFERROR(__xludf.dummyfunction("""COMPUTED_VALUE"""),"nhatnam1092@gmail.com")</f>
        <v>nhatnam1092@gmail.com</v>
      </c>
      <c r="AE528" s="46"/>
      <c r="AF528" s="47" t="str">
        <f aca="false">IFERROR(__xludf.dummyfunction("""COMPUTED_VALUE"""),"lophoctoan-946310")</f>
        <v>lophoctoan-946310</v>
      </c>
      <c r="AG528" s="46" t="str">
        <f aca="false">IFERROR(__xludf.dummyfunction("""COMPUTED_VALUE"""),"")</f>
        <v/>
      </c>
      <c r="AH528" s="46"/>
      <c r="AI528" s="46"/>
      <c r="AJ528" s="46"/>
      <c r="AK528" s="46"/>
      <c r="AL528" s="46"/>
      <c r="AM528" s="81" t="b">
        <f aca="false">IFERROR(__xludf.dummyfunction("""COMPUTED_VALUE"""),TRUE())</f>
        <v>1</v>
      </c>
      <c r="AN528" s="81" t="b">
        <f aca="false">IFERROR(__xludf.dummyfunction("""COMPUTED_VALUE"""),TRUE())</f>
        <v>1</v>
      </c>
      <c r="AO528" s="46"/>
    </row>
    <row r="529" customFormat="false" ht="15.75" hidden="false" customHeight="true" outlineLevel="0" collapsed="false">
      <c r="A529" s="37" t="str">
        <f aca="false">IFERROR(__xludf.dummyfunction("""COMPUTED_VALUE"""),"Toán")</f>
        <v>Toán</v>
      </c>
      <c r="B529" s="37" t="str">
        <f aca="false">IFERROR(__xludf.dummyfunction("""COMPUTED_VALUE"""),"TOV_TSA_T18")</f>
        <v>TOV_TSA_T18</v>
      </c>
      <c r="C529" s="59" t="str">
        <f aca="false">IFERROR(__xludf.dummyfunction("""COMPUTED_VALUE"""),"Các bài toán về hàm số chứa tham số")</f>
        <v>Các bài toán về hàm số chứa tham số</v>
      </c>
      <c r="D529" s="39" t="str">
        <f aca="false">IFERROR(__xludf.dummyfunction("""COMPUTED_VALUE"""),"Nguyễn Thanh Tùng")</f>
        <v>Nguyễn Thanh Tùng</v>
      </c>
      <c r="E529" s="40" t="n">
        <f aca="false">IFERROR(__xludf.dummyfunction("""COMPUTED_VALUE"""),46311)</f>
        <v>46311</v>
      </c>
      <c r="F529" s="41" t="n">
        <f aca="false">IFERROR(__xludf.dummyfunction("""COMPUTED_VALUE"""),6)</f>
        <v>6</v>
      </c>
      <c r="G529" s="37" t="str">
        <f aca="false">IFERROR(__xludf.dummyfunction("""COMPUTED_VALUE"""),"18:00-20:00")</f>
        <v>18:00-20:00</v>
      </c>
      <c r="H529" s="37"/>
      <c r="I529" s="37"/>
      <c r="J529" s="37"/>
      <c r="K529" s="68" t="str">
        <f aca="false">IFERROR(__xludf.dummyfunction("""COMPUTED_VALUE"""),"Locdd")</f>
        <v>Locdd</v>
      </c>
      <c r="L529" s="68" t="str">
        <f aca="false">IFERROR(__xludf.dummyfunction("""COMPUTED_VALUE"""),"Tưởng Thị Huyền Trang")</f>
        <v>Tưởng Thị Huyền Trang</v>
      </c>
      <c r="M529" s="71"/>
      <c r="N529" s="77" t="str">
        <f aca="false">IFERROR(__xludf.dummyfunction("""COMPUTED_VALUE"""),"3108")</f>
        <v>3108</v>
      </c>
      <c r="O529" s="63" t="n">
        <f aca="false">IFERROR(__xludf.dummyfunction("""COMPUTED_VALUE"""),168389)</f>
        <v>168389</v>
      </c>
      <c r="P529" s="63"/>
      <c r="Q529" s="63"/>
      <c r="R529" s="41"/>
      <c r="S529" s="41"/>
      <c r="T529" s="63"/>
      <c r="U529" s="63"/>
      <c r="V529" s="70" t="n">
        <f aca="false">IFERROR(__xludf.dummyfunction("""COMPUTED_VALUE"""),46314)</f>
        <v>46314</v>
      </c>
      <c r="W529" s="39"/>
      <c r="X529" s="41" t="str">
        <f aca="false">IFERROR(__xludf.dummyfunction("""COMPUTED_VALUE"""),"Locdd")</f>
        <v>Locdd</v>
      </c>
      <c r="Y529" s="44" t="str">
        <f aca="false">IFERROR(__xludf.dummyfunction("""COMPUTED_VALUE"""),"done")</f>
        <v>done</v>
      </c>
      <c r="Z529" s="57" t="str">
        <f aca="false">IFERROR(__xludf.dummyfunction("""COMPUTED_VALUE"""),"#N/A")</f>
        <v>#N/A</v>
      </c>
      <c r="AA529" s="57"/>
      <c r="AB529" s="41" t="n">
        <f aca="false">IFERROR(__xludf.dummyfunction("""COMPUTED_VALUE"""),10)</f>
        <v>10</v>
      </c>
      <c r="AC529" s="57" t="str">
        <f aca="false">IFERROR(__xludf.dummyfunction("""COMPUTED_VALUE"""),"gv.tungnt@hocmai.edu.vn ")</f>
        <v>gv.tungnt@hocmai.edu.vn </v>
      </c>
      <c r="AD529" s="46" t="str">
        <f aca="false">IFERROR(__xludf.dummyfunction("""COMPUTED_VALUE"""),"trangcrazy699@gmail.com")</f>
        <v>trangcrazy699@gmail.com</v>
      </c>
      <c r="AE529" s="46"/>
      <c r="AF529" s="47" t="str">
        <f aca="false">IFERROR(__xludf.dummyfunction("""COMPUTED_VALUE"""),"lophoctoan-946311")</f>
        <v>lophoctoan-946311</v>
      </c>
      <c r="AG529" s="46" t="str">
        <f aca="false">IFERROR(__xludf.dummyfunction("""COMPUTED_VALUE"""),"")</f>
        <v/>
      </c>
      <c r="AH529" s="46"/>
      <c r="AI529" s="81" t="b">
        <f aca="false">IFERROR(__xludf.dummyfunction("""COMPUTED_VALUE"""),TRUE())</f>
        <v>1</v>
      </c>
      <c r="AJ529" s="46"/>
      <c r="AK529" s="46"/>
      <c r="AL529" s="46"/>
      <c r="AM529" s="46"/>
      <c r="AN529" s="46"/>
      <c r="AO529" s="46"/>
    </row>
    <row r="530" customFormat="false" ht="15.75" hidden="false" customHeight="true" outlineLevel="0" collapsed="false">
      <c r="A530" s="37" t="str">
        <f aca="false">IFERROR(__xludf.dummyfunction("""COMPUTED_VALUE"""),"Sinh học")</f>
        <v>Sinh học</v>
      </c>
      <c r="B530" s="37" t="str">
        <f aca="false">IFERROR(__xludf.dummyfunction("""COMPUTED_VALUE"""),"TOV_HT_SH18")</f>
        <v>TOV_HT_SH18</v>
      </c>
      <c r="C530" s="59" t="str">
        <f aca="false">IFERROR(__xludf.dummyfunction("""COMPUTED_VALUE"""),"Tiến hoá: Bằng chứng – Darwin – Thuyết tổng hợp – Hình thành loài")</f>
        <v>Tiến hoá: Bằng chứng – Darwin – Thuyết tổng hợp – Hình thành loài</v>
      </c>
      <c r="D530" s="39" t="str">
        <f aca="false">IFERROR(__xludf.dummyfunction("""COMPUTED_VALUE"""),"Nguyễn Dương Ánh Hồng")</f>
        <v>Nguyễn Dương Ánh Hồng</v>
      </c>
      <c r="E530" s="40" t="n">
        <f aca="false">IFERROR(__xludf.dummyfunction("""COMPUTED_VALUE"""),46311)</f>
        <v>46311</v>
      </c>
      <c r="F530" s="41" t="n">
        <f aca="false">IFERROR(__xludf.dummyfunction("""COMPUTED_VALUE"""),6)</f>
        <v>6</v>
      </c>
      <c r="G530" s="37" t="str">
        <f aca="false">IFERROR(__xludf.dummyfunction("""COMPUTED_VALUE"""),"19:30-21:30")</f>
        <v>19:30-21:30</v>
      </c>
      <c r="H530" s="37"/>
      <c r="I530" s="37"/>
      <c r="J530" s="37"/>
      <c r="K530" s="68" t="str">
        <f aca="false">IFERROR(__xludf.dummyfunction("""COMPUTED_VALUE"""),"Phuongdt")</f>
        <v>Phuongdt</v>
      </c>
      <c r="L530" s="68" t="str">
        <f aca="false">IFERROR(__xludf.dummyfunction("""COMPUTED_VALUE"""),"Phan Đức Kiên")</f>
        <v>Phan Đức Kiên</v>
      </c>
      <c r="M530" s="71"/>
      <c r="N530" s="77" t="str">
        <f aca="false">IFERROR(__xludf.dummyfunction("""COMPUTED_VALUE"""),"3121,3132")</f>
        <v>3121,3132</v>
      </c>
      <c r="O530" s="73" t="n">
        <f aca="false">IFERROR(__xludf.dummyfunction("""COMPUTED_VALUE"""),167335.167349)</f>
        <v>167335.167349</v>
      </c>
      <c r="P530" s="63" t="str">
        <f aca="false">IFERROR(__xludf.dummyfunction("""COMPUTED_VALUE"""),"9033,9041,9022")</f>
        <v>9033,9041,9022</v>
      </c>
      <c r="Q530" s="63"/>
      <c r="R530" s="41"/>
      <c r="S530" s="41"/>
      <c r="T530" s="63" t="n">
        <f aca="false">IFERROR(__xludf.dummyfunction("""COMPUTED_VALUE"""),23850)</f>
        <v>23850</v>
      </c>
      <c r="U530" s="63"/>
      <c r="V530" s="70" t="n">
        <f aca="false">IFERROR(__xludf.dummyfunction("""COMPUTED_VALUE"""),46314)</f>
        <v>46314</v>
      </c>
      <c r="W530" s="39"/>
      <c r="X530" s="41" t="str">
        <f aca="false">IFERROR(__xludf.dummyfunction("""COMPUTED_VALUE"""),"Phuongdt")</f>
        <v>Phuongdt</v>
      </c>
      <c r="Y530" s="44"/>
      <c r="Z530" s="57" t="str">
        <f aca="false">IFERROR(__xludf.dummyfunction("""COMPUTED_VALUE"""),"#N/A")</f>
        <v>#N/A</v>
      </c>
      <c r="AA530" s="57"/>
      <c r="AB530" s="41" t="n">
        <f aca="false">IFERROR(__xludf.dummyfunction("""COMPUTED_VALUE"""),10)</f>
        <v>10</v>
      </c>
      <c r="AC530" s="57" t="str">
        <f aca="false">IFERROR(__xludf.dummyfunction("""COMPUTED_VALUE"""),"gv.hongnda@hocmai.edu.vn ")</f>
        <v>gv.hongnda@hocmai.edu.vn </v>
      </c>
      <c r="AD530" s="46" t="str">
        <f aca="false">IFERROR(__xludf.dummyfunction("""COMPUTED_VALUE"""),"duckien010607@gmail.com")</f>
        <v>duckien010607@gmail.com</v>
      </c>
      <c r="AE530" s="46"/>
      <c r="AF530" s="74" t="b">
        <f aca="false">IFERROR(__xludf.dummyfunction("""COMPUTED_VALUE"""),FALSE())</f>
        <v>0</v>
      </c>
      <c r="AG530" s="46" t="str">
        <f aca="false">IFERROR(__xludf.dummyfunction("""COMPUTED_VALUE"""),"")</f>
        <v/>
      </c>
      <c r="AH530" s="46"/>
      <c r="AI530" s="46"/>
      <c r="AJ530" s="81" t="b">
        <f aca="false">IFERROR(__xludf.dummyfunction("""COMPUTED_VALUE"""),TRUE())</f>
        <v>1</v>
      </c>
      <c r="AK530" s="81" t="b">
        <f aca="false">IFERROR(__xludf.dummyfunction("""COMPUTED_VALUE"""),TRUE())</f>
        <v>1</v>
      </c>
      <c r="AL530" s="81" t="b">
        <f aca="false">IFERROR(__xludf.dummyfunction("""COMPUTED_VALUE"""),TRUE())</f>
        <v>1</v>
      </c>
      <c r="AM530" s="46"/>
      <c r="AN530" s="46"/>
      <c r="AO530" s="46"/>
    </row>
    <row r="531" customFormat="false" ht="15.75" hidden="false" customHeight="true" outlineLevel="0" collapsed="false">
      <c r="A531" s="37" t="str">
        <f aca="false">IFERROR(__xludf.dummyfunction("""COMPUTED_VALUE"""),"Lịch sử")</f>
        <v>Lịch sử</v>
      </c>
      <c r="B531" s="37" t="str">
        <f aca="false">IFERROR(__xludf.dummyfunction("""COMPUTED_VALUE"""),"TOV_HSA_LS16")</f>
        <v>TOV_HSA_LS16</v>
      </c>
      <c r="C531" s="59" t="str">
        <f aca="false">IFERROR(__xludf.dummyfunction("""COMPUTED_VALUE"""),"Công cuộc Đổi mới ở Việt Nam từ năm 1986 đến nay (Phần 1)")</f>
        <v>Công cuộc Đổi mới ở Việt Nam từ năm 1986 đến nay (Phần 1)</v>
      </c>
      <c r="D531" s="39" t="str">
        <f aca="false">IFERROR(__xludf.dummyfunction("""COMPUTED_VALUE"""),"Dương Thị Huyền")</f>
        <v>Dương Thị Huyền</v>
      </c>
      <c r="E531" s="40" t="n">
        <f aca="false">IFERROR(__xludf.dummyfunction("""COMPUTED_VALUE"""),46311)</f>
        <v>46311</v>
      </c>
      <c r="F531" s="41" t="n">
        <f aca="false">IFERROR(__xludf.dummyfunction("""COMPUTED_VALUE"""),6)</f>
        <v>6</v>
      </c>
      <c r="G531" s="37" t="str">
        <f aca="false">IFERROR(__xludf.dummyfunction("""COMPUTED_VALUE"""),"21:30-23:30")</f>
        <v>21:30-23:30</v>
      </c>
      <c r="H531" s="37"/>
      <c r="I531" s="37"/>
      <c r="J531" s="37"/>
      <c r="K531" s="68" t="str">
        <f aca="false">IFERROR(__xludf.dummyfunction("""COMPUTED_VALUE"""),"Trinhntt")</f>
        <v>Trinhntt</v>
      </c>
      <c r="L531" s="68" t="str">
        <f aca="false">IFERROR(__xludf.dummyfunction("""COMPUTED_VALUE"""),"Phan Đức Kiên")</f>
        <v>Phan Đức Kiên</v>
      </c>
      <c r="M531" s="71"/>
      <c r="N531" s="77" t="str">
        <f aca="false">IFERROR(__xludf.dummyfunction("""COMPUTED_VALUE"""),"3122")</f>
        <v>3122</v>
      </c>
      <c r="O531" s="63" t="n">
        <f aca="false">IFERROR(__xludf.dummyfunction("""COMPUTED_VALUE"""),174743)</f>
        <v>174743</v>
      </c>
      <c r="P531" s="63"/>
      <c r="Q531" s="63"/>
      <c r="R531" s="41"/>
      <c r="S531" s="41"/>
      <c r="T531" s="63"/>
      <c r="U531" s="63"/>
      <c r="V531" s="70" t="n">
        <f aca="false">IFERROR(__xludf.dummyfunction("""COMPUTED_VALUE"""),46314)</f>
        <v>46314</v>
      </c>
      <c r="W531" s="39"/>
      <c r="X531" s="41" t="str">
        <f aca="false">IFERROR(__xludf.dummyfunction("""COMPUTED_VALUE"""),"Huent7")</f>
        <v>Huent7</v>
      </c>
      <c r="Y531" s="44"/>
      <c r="Z531" s="57" t="str">
        <f aca="false">IFERROR(__xludf.dummyfunction("""COMPUTED_VALUE"""),"#N/A")</f>
        <v>#N/A</v>
      </c>
      <c r="AA531" s="57"/>
      <c r="AB531" s="41"/>
      <c r="AC531" s="57" t="str">
        <f aca="false">IFERROR(__xludf.dummyfunction("""COMPUTED_VALUE"""),"gv.huyendt2@hocmai.edu.vn")</f>
        <v>gv.huyendt2@hocmai.edu.vn</v>
      </c>
      <c r="AD531" s="46" t="str">
        <f aca="false">IFERROR(__xludf.dummyfunction("""COMPUTED_VALUE"""),"duckien010607@gmail.com")</f>
        <v>duckien010607@gmail.com</v>
      </c>
      <c r="AE531" s="46"/>
      <c r="AF531" s="74" t="b">
        <f aca="false">IFERROR(__xludf.dummyfunction("""COMPUTED_VALUE"""),FALSE())</f>
        <v>0</v>
      </c>
      <c r="AG531" s="46" t="str">
        <f aca="false">IFERROR(__xludf.dummyfunction("""COMPUTED_VALUE"""),"")</f>
        <v/>
      </c>
      <c r="AH531" s="46"/>
      <c r="AI531" s="46"/>
      <c r="AJ531" s="81" t="b">
        <f aca="false">IFERROR(__xludf.dummyfunction("""COMPUTED_VALUE"""),TRUE())</f>
        <v>1</v>
      </c>
      <c r="AK531" s="81" t="b">
        <f aca="false">IFERROR(__xludf.dummyfunction("""COMPUTED_VALUE"""),TRUE())</f>
        <v>1</v>
      </c>
      <c r="AL531" s="46"/>
      <c r="AM531" s="46"/>
      <c r="AN531" s="46"/>
      <c r="AO531" s="46"/>
    </row>
    <row r="532" customFormat="false" ht="15.75" hidden="false" customHeight="true" outlineLevel="0" collapsed="false">
      <c r="A532" s="37" t="str">
        <f aca="false">IFERROR(__xludf.dummyfunction("""COMPUTED_VALUE"""),"Sinh học")</f>
        <v>Sinh học</v>
      </c>
      <c r="B532" s="37" t="str">
        <f aca="false">IFERROR(__xludf.dummyfunction("""COMPUTED_VALUE"""),"TOV_TSA_S09")</f>
        <v>TOV_TSA_S09</v>
      </c>
      <c r="C532" s="59" t="str">
        <f aca="false">IFERROR(__xludf.dummyfunction("""COMPUTED_VALUE"""),"Tiến hóa")</f>
        <v>Tiến hóa</v>
      </c>
      <c r="D532" s="39" t="str">
        <f aca="false">IFERROR(__xludf.dummyfunction("""COMPUTED_VALUE"""),"Vũ Khắc Ngọc")</f>
        <v>Vũ Khắc Ngọc</v>
      </c>
      <c r="E532" s="40" t="n">
        <f aca="false">IFERROR(__xludf.dummyfunction("""COMPUTED_VALUE"""),46312)</f>
        <v>46312</v>
      </c>
      <c r="F532" s="41" t="n">
        <f aca="false">IFERROR(__xludf.dummyfunction("""COMPUTED_VALUE"""),7)</f>
        <v>7</v>
      </c>
      <c r="G532" s="37" t="str">
        <f aca="false">IFERROR(__xludf.dummyfunction("""COMPUTED_VALUE"""),"21:30-23:30")</f>
        <v>21:30-23:30</v>
      </c>
      <c r="H532" s="37"/>
      <c r="I532" s="37"/>
      <c r="J532" s="37"/>
      <c r="K532" s="68" t="str">
        <f aca="false">IFERROR(__xludf.dummyfunction("""COMPUTED_VALUE"""),"Phuongdt")</f>
        <v>Phuongdt</v>
      </c>
      <c r="L532" s="68" t="str">
        <f aca="false">IFERROR(__xludf.dummyfunction("""COMPUTED_VALUE"""),"Bùi Vĩnh Thọ")</f>
        <v>Bùi Vĩnh Thọ</v>
      </c>
      <c r="M532" s="71"/>
      <c r="N532" s="77" t="str">
        <f aca="false">IFERROR(__xludf.dummyfunction("""COMPUTED_VALUE"""),"3110")</f>
        <v>3110</v>
      </c>
      <c r="O532" s="63" t="n">
        <f aca="false">IFERROR(__xludf.dummyfunction("""COMPUTED_VALUE"""),167280)</f>
        <v>167280</v>
      </c>
      <c r="P532" s="63"/>
      <c r="Q532" s="63"/>
      <c r="R532" s="41"/>
      <c r="S532" s="41"/>
      <c r="T532" s="63" t="n">
        <f aca="false">IFERROR(__xludf.dummyfunction("""COMPUTED_VALUE"""),23686)</f>
        <v>23686</v>
      </c>
      <c r="U532" s="63" t="n">
        <f aca="false">IFERROR(__xludf.dummyfunction("""COMPUTED_VALUE"""),10619)</f>
        <v>10619</v>
      </c>
      <c r="V532" s="70" t="n">
        <f aca="false">IFERROR(__xludf.dummyfunction("""COMPUTED_VALUE"""),46315)</f>
        <v>46315</v>
      </c>
      <c r="W532" s="39"/>
      <c r="X532" s="41" t="str">
        <f aca="false">IFERROR(__xludf.dummyfunction("""COMPUTED_VALUE"""),"Phuongdt")</f>
        <v>Phuongdt</v>
      </c>
      <c r="Y532" s="44" t="str">
        <f aca="false">IFERROR(__xludf.dummyfunction("""COMPUTED_VALUE"""),"done")</f>
        <v>done</v>
      </c>
      <c r="Z532" s="57" t="str">
        <f aca="false">IFERROR(__xludf.dummyfunction("""COMPUTED_VALUE"""),"#N/A")</f>
        <v>#N/A</v>
      </c>
      <c r="AA532" s="57"/>
      <c r="AB532" s="41" t="n">
        <f aca="false">IFERROR(__xludf.dummyfunction("""COMPUTED_VALUE"""),10)</f>
        <v>10</v>
      </c>
      <c r="AC532" s="57" t="str">
        <f aca="false">IFERROR(__xludf.dummyfunction("""COMPUTED_VALUE"""),"gv.ngocvk@hocmai.edu.vn")</f>
        <v>gv.ngocvk@hocmai.edu.vn</v>
      </c>
      <c r="AD532" s="46" t="str">
        <f aca="false">IFERROR(__xludf.dummyfunction("""COMPUTED_VALUE"""),"vinhtho0704@gmail.com")</f>
        <v>vinhtho0704@gmail.com</v>
      </c>
      <c r="AE532" s="46"/>
      <c r="AF532" s="74" t="b">
        <f aca="false">IFERROR(__xludf.dummyfunction("""COMPUTED_VALUE"""),FALSE())</f>
        <v>0</v>
      </c>
      <c r="AG532" s="46" t="str">
        <f aca="false">IFERROR(__xludf.dummyfunction("""COMPUTED_VALUE"""),"")</f>
        <v/>
      </c>
      <c r="AH532" s="46"/>
      <c r="AI532" s="81" t="b">
        <f aca="false">IFERROR(__xludf.dummyfunction("""COMPUTED_VALUE"""),TRUE())</f>
        <v>1</v>
      </c>
      <c r="AJ532" s="46"/>
      <c r="AK532" s="46"/>
      <c r="AL532" s="46"/>
      <c r="AM532" s="46"/>
      <c r="AN532" s="46"/>
      <c r="AO532" s="46"/>
    </row>
    <row r="533" customFormat="false" ht="15.75" hidden="false" customHeight="true" outlineLevel="0" collapsed="false">
      <c r="A533" s="37" t="str">
        <f aca="false">IFERROR(__xludf.dummyfunction("""COMPUTED_VALUE"""),"Khoa học")</f>
        <v>Khoa học</v>
      </c>
      <c r="B533" s="37" t="str">
        <f aca="false">IFERROR(__xludf.dummyfunction("""COMPUTED_VALUE"""),"TOS_V-ACT_KH18")</f>
        <v>TOS_V-ACT_KH18</v>
      </c>
      <c r="C533" s="59" t="str">
        <f aca="false">IFERROR(__xludf.dummyfunction("""COMPUTED_VALUE"""),"Thực hành “Phản biện đề bài” – Tránh bẫy tâm lý trong các bài đọc hiểu thí nghiệm (P1).")</f>
        <v>Thực hành “Phản biện đề bài” – Tránh bẫy tâm lý trong các bài đọc hiểu thí nghiệm (P1).</v>
      </c>
      <c r="D533" s="39" t="str">
        <f aca="false">IFERROR(__xludf.dummyfunction("""COMPUTED_VALUE"""),"Lê Văn Minh")</f>
        <v>Lê Văn Minh</v>
      </c>
      <c r="E533" s="40" t="n">
        <f aca="false">IFERROR(__xludf.dummyfunction("""COMPUTED_VALUE"""),46312)</f>
        <v>46312</v>
      </c>
      <c r="F533" s="41" t="n">
        <f aca="false">IFERROR(__xludf.dummyfunction("""COMPUTED_VALUE"""),7)</f>
        <v>7</v>
      </c>
      <c r="G533" s="37" t="str">
        <f aca="false">IFERROR(__xludf.dummyfunction("""COMPUTED_VALUE"""),"20:30-22:00")</f>
        <v>20:30-22:00</v>
      </c>
      <c r="H533" s="37"/>
      <c r="I533" s="37"/>
      <c r="J533" s="37"/>
      <c r="K533" s="68" t="str">
        <f aca="false">IFERROR(__xludf.dummyfunction("""COMPUTED_VALUE"""),"Kimnq")</f>
        <v>Kimnq</v>
      </c>
      <c r="L533" s="68" t="str">
        <f aca="false">IFERROR(__xludf.dummyfunction("""COMPUTED_VALUE"""),"Lê Quốc Việt")</f>
        <v>Lê Quốc Việt</v>
      </c>
      <c r="M533" s="71"/>
      <c r="N533" s="77" t="str">
        <f aca="false">IFERROR(__xludf.dummyfunction("""COMPUTED_VALUE"""),"3340,3126")</f>
        <v>3340,3126</v>
      </c>
      <c r="O533" s="73" t="n">
        <f aca="false">IFERROR(__xludf.dummyfunction("""COMPUTED_VALUE"""),167509.167396)</f>
        <v>167509.167396</v>
      </c>
      <c r="P533" s="63"/>
      <c r="Q533" s="63"/>
      <c r="R533" s="41"/>
      <c r="S533" s="41"/>
      <c r="T533" s="63"/>
      <c r="U533" s="63"/>
      <c r="V533" s="70" t="n">
        <f aca="false">IFERROR(__xludf.dummyfunction("""COMPUTED_VALUE"""),46315)</f>
        <v>46315</v>
      </c>
      <c r="W533" s="39"/>
      <c r="X533" s="41" t="str">
        <f aca="false">IFERROR(__xludf.dummyfunction("""COMPUTED_VALUE"""),"Kimnq")</f>
        <v>Kimnq</v>
      </c>
      <c r="Y533" s="44" t="str">
        <f aca="false">IFERROR(__xludf.dummyfunction("""COMPUTED_VALUE"""),"done")</f>
        <v>done</v>
      </c>
      <c r="Z533" s="57" t="str">
        <f aca="false">IFERROR(__xludf.dummyfunction("""COMPUTED_VALUE"""),"#N/A")</f>
        <v>#N/A</v>
      </c>
      <c r="AA533" s="57"/>
      <c r="AB533" s="41" t="n">
        <f aca="false">IFERROR(__xludf.dummyfunction("""COMPUTED_VALUE"""),10)</f>
        <v>10</v>
      </c>
      <c r="AC533" s="57" t="str">
        <f aca="false">IFERROR(__xludf.dummyfunction("""COMPUTED_VALUE"""),"gv.minhlv@hocmai.edu.vn		")</f>
        <v>gv.minhlv@hocmai.edu.vn		</v>
      </c>
      <c r="AD533" s="46" t="str">
        <f aca="false">IFERROR(__xludf.dummyfunction("""COMPUTED_VALUE"""),"Ralph02091@gmail.com")</f>
        <v>Ralph02091@gmail.com</v>
      </c>
      <c r="AE533" s="46"/>
      <c r="AF533" s="47" t="str">
        <f aca="false">IFERROR(__xludf.dummyfunction("""COMPUTED_VALUE"""),"lophoctoan-946312")</f>
        <v>lophoctoan-946312</v>
      </c>
      <c r="AG533" s="46" t="str">
        <f aca="false">IFERROR(__xludf.dummyfunction("""COMPUTED_VALUE"""),"")</f>
        <v/>
      </c>
      <c r="AH533" s="46"/>
      <c r="AI533" s="46"/>
      <c r="AJ533" s="46"/>
      <c r="AK533" s="46"/>
      <c r="AL533" s="46"/>
      <c r="AM533" s="81" t="b">
        <f aca="false">IFERROR(__xludf.dummyfunction("""COMPUTED_VALUE"""),TRUE())</f>
        <v>1</v>
      </c>
      <c r="AN533" s="81" t="b">
        <f aca="false">IFERROR(__xludf.dummyfunction("""COMPUTED_VALUE"""),TRUE())</f>
        <v>1</v>
      </c>
      <c r="AO533" s="46"/>
    </row>
    <row r="534" customFormat="false" ht="15.75" hidden="false" customHeight="true" outlineLevel="0" collapsed="false">
      <c r="A534" s="37" t="str">
        <f aca="false">IFERROR(__xludf.dummyfunction("""COMPUTED_VALUE"""),"Toán")</f>
        <v>Toán</v>
      </c>
      <c r="B534" s="37" t="str">
        <f aca="false">IFERROR(__xludf.dummyfunction("""COMPUTED_VALUE"""),"NT_N_27")</f>
        <v>NT_N_27</v>
      </c>
      <c r="C534" s="59" t="str">
        <f aca="false">IFERROR(__xludf.dummyfunction("""COMPUTED_VALUE"""),"Phương pháp viết phương trình mặt phẳng")</f>
        <v>Phương pháp viết phương trình mặt phẳng</v>
      </c>
      <c r="D534" s="39" t="str">
        <f aca="false">IFERROR(__xludf.dummyfunction("""COMPUTED_VALUE"""),"Nguyễn Hoài Nam")</f>
        <v>Nguyễn Hoài Nam</v>
      </c>
      <c r="E534" s="40" t="n">
        <f aca="false">IFERROR(__xludf.dummyfunction("""COMPUTED_VALUE"""),46313)</f>
        <v>46313</v>
      </c>
      <c r="F534" s="41" t="str">
        <f aca="false">IFERROR(__xludf.dummyfunction("""COMPUTED_VALUE"""),"CN")</f>
        <v>CN</v>
      </c>
      <c r="G534" s="37" t="str">
        <f aca="false">IFERROR(__xludf.dummyfunction("""COMPUTED_VALUE"""),"21:00-22:30")</f>
        <v>21:00-22:30</v>
      </c>
      <c r="H534" s="37"/>
      <c r="I534" s="37"/>
      <c r="J534" s="37"/>
      <c r="K534" s="68" t="str">
        <f aca="false">IFERROR(__xludf.dummyfunction("""COMPUTED_VALUE"""),"lent")</f>
        <v>lent</v>
      </c>
      <c r="L534" s="68" t="str">
        <f aca="false">IFERROR(__xludf.dummyfunction("""COMPUTED_VALUE"""),"Tưởng Thị Huyền Trang")</f>
        <v>Tưởng Thị Huyền Trang</v>
      </c>
      <c r="M534" s="69" t="str">
        <f aca="false">IFERROR(__xludf.dummyfunction("""COMPUTED_VALUE"""),"https://hocmai.sharepoint.com/Education_Development/Lists/San_xuat_video/DispForm.aspx?ID=12214")</f>
        <v>https://hocmai.sharepoint.com/Education_Development/Lists/San_xuat_video/DispForm.aspx?ID=12214</v>
      </c>
      <c r="N534" s="78" t="n">
        <f aca="false">IFERROR(__xludf.dummyfunction("""COMPUTED_VALUE"""),3313)</f>
        <v>3313</v>
      </c>
      <c r="O534" s="63" t="n">
        <f aca="false">IFERROR(__xludf.dummyfunction("""COMPUTED_VALUE"""),166652)</f>
        <v>166652</v>
      </c>
      <c r="P534" s="63"/>
      <c r="Q534" s="63" t="n">
        <f aca="false">IFERROR(__xludf.dummyfunction("""COMPUTED_VALUE"""),8054)</f>
        <v>8054</v>
      </c>
      <c r="R534" s="41"/>
      <c r="S534" s="41"/>
      <c r="T534" s="63" t="n">
        <f aca="false">IFERROR(__xludf.dummyfunction("""COMPUTED_VALUE"""),8055)</f>
        <v>8055</v>
      </c>
      <c r="U534" s="63"/>
      <c r="V534" s="70" t="n">
        <f aca="false">IFERROR(__xludf.dummyfunction("""COMPUTED_VALUE"""),46315)</f>
        <v>46315</v>
      </c>
      <c r="W534" s="39"/>
      <c r="X534" s="41" t="str">
        <f aca="false">IFERROR(__xludf.dummyfunction("""COMPUTED_VALUE"""),"Huent7")</f>
        <v>Huent7</v>
      </c>
      <c r="Y534" s="44"/>
      <c r="Z534" s="57"/>
      <c r="AA534" s="57"/>
      <c r="AB534" s="41" t="n">
        <f aca="false">IFERROR(__xludf.dummyfunction("""COMPUTED_VALUE"""),10)</f>
        <v>10</v>
      </c>
      <c r="AC534" s="57"/>
      <c r="AD534" s="46"/>
      <c r="AE534" s="46"/>
      <c r="AF534" s="47" t="str">
        <f aca="false">IFERROR(__xludf.dummyfunction("""COMPUTED_VALUE"""),"lophoctoan-946313")</f>
        <v>lophoctoan-946313</v>
      </c>
      <c r="AG534" s="46" t="str">
        <f aca="false">IFERROR(__xludf.dummyfunction("""COMPUTED_VALUE"""),"")</f>
        <v/>
      </c>
      <c r="AH534" s="81" t="b">
        <f aca="false">IFERROR(__xludf.dummyfunction("""COMPUTED_VALUE"""),TRUE())</f>
        <v>1</v>
      </c>
      <c r="AI534" s="46"/>
      <c r="AJ534" s="46"/>
      <c r="AK534" s="46"/>
      <c r="AL534" s="46"/>
      <c r="AM534" s="46"/>
      <c r="AN534" s="46"/>
      <c r="AO534" s="46"/>
    </row>
    <row r="535" customFormat="false" ht="15.75" hidden="false" customHeight="true" outlineLevel="0" collapsed="false">
      <c r="A535" s="37" t="str">
        <f aca="false">IFERROR(__xludf.dummyfunction("""COMPUTED_VALUE"""),"Toán")</f>
        <v>Toán</v>
      </c>
      <c r="B535" s="37" t="str">
        <f aca="false">IFERROR(__xludf.dummyfunction("""COMPUTED_VALUE"""),"NT_T_43")</f>
        <v>NT_T_43</v>
      </c>
      <c r="C535" s="59" t="str">
        <f aca="false">IFERROR(__xludf.dummyfunction("""COMPUTED_VALUE"""),"Các số đặc trưng đo xu thể trung tâm và độ phân tán của mẫu số liệu ghép nhóm")</f>
        <v>Các số đặc trưng đo xu thể trung tâm và độ phân tán của mẫu số liệu ghép nhóm</v>
      </c>
      <c r="D535" s="39" t="str">
        <f aca="false">IFERROR(__xludf.dummyfunction("""COMPUTED_VALUE"""),"Nguyễn Thanh Tùng")</f>
        <v>Nguyễn Thanh Tùng</v>
      </c>
      <c r="E535" s="40" t="n">
        <f aca="false">IFERROR(__xludf.dummyfunction("""COMPUTED_VALUE"""),46313)</f>
        <v>46313</v>
      </c>
      <c r="F535" s="41" t="str">
        <f aca="false">IFERROR(__xludf.dummyfunction("""COMPUTED_VALUE"""),"CN")</f>
        <v>CN</v>
      </c>
      <c r="G535" s="37" t="str">
        <f aca="false">IFERROR(__xludf.dummyfunction("""COMPUTED_VALUE"""),"18:00-20:00")</f>
        <v>18:00-20:00</v>
      </c>
      <c r="H535" s="37"/>
      <c r="I535" s="37"/>
      <c r="J535" s="37"/>
      <c r="K535" s="68" t="str">
        <f aca="false">IFERROR(__xludf.dummyfunction("""COMPUTED_VALUE"""),"Khanhnl")</f>
        <v>Khanhnl</v>
      </c>
      <c r="L535" s="68" t="str">
        <f aca="false">IFERROR(__xludf.dummyfunction("""COMPUTED_VALUE"""),"Tưởng Thị Huyền Trang")</f>
        <v>Tưởng Thị Huyền Trang</v>
      </c>
      <c r="M535" s="69" t="str">
        <f aca="false">IFERROR(__xludf.dummyfunction("""COMPUTED_VALUE"""),"https://hocmai.sharepoint.com/Education_Development/Lists/San_xuat_video/DispForm.aspx?ID=12182")</f>
        <v>https://hocmai.sharepoint.com/Education_Development/Lists/San_xuat_video/DispForm.aspx?ID=12182</v>
      </c>
      <c r="N535" s="63" t="n">
        <f aca="false">IFERROR(__xludf.dummyfunction("""COMPUTED_VALUE"""),3312)</f>
        <v>3312</v>
      </c>
      <c r="O535" s="63" t="n">
        <f aca="false">IFERROR(__xludf.dummyfunction("""COMPUTED_VALUE"""),166576)</f>
        <v>166576</v>
      </c>
      <c r="P535" s="63"/>
      <c r="Q535" s="63" t="n">
        <f aca="false">IFERROR(__xludf.dummyfunction("""COMPUTED_VALUE"""),7970)</f>
        <v>7970</v>
      </c>
      <c r="R535" s="41"/>
      <c r="S535" s="41"/>
      <c r="T535" s="63" t="n">
        <f aca="false">IFERROR(__xludf.dummyfunction("""COMPUTED_VALUE"""),7971)</f>
        <v>7971</v>
      </c>
      <c r="U535" s="63"/>
      <c r="V535" s="70" t="n">
        <f aca="false">IFERROR(__xludf.dummyfunction("""COMPUTED_VALUE"""),46323)</f>
        <v>46323</v>
      </c>
      <c r="W535" s="39"/>
      <c r="X535" s="41" t="str">
        <f aca="false">IFERROR(__xludf.dummyfunction("""COMPUTED_VALUE"""),"Huent7")</f>
        <v>Huent7</v>
      </c>
      <c r="Y535" s="44"/>
      <c r="Z535" s="57"/>
      <c r="AA535" s="57"/>
      <c r="AB535" s="41" t="n">
        <f aca="false">IFERROR(__xludf.dummyfunction("""COMPUTED_VALUE"""),10)</f>
        <v>10</v>
      </c>
      <c r="AC535" s="57"/>
      <c r="AD535" s="46"/>
      <c r="AE535" s="46"/>
      <c r="AF535" s="47" t="str">
        <f aca="false">IFERROR(__xludf.dummyfunction("""COMPUTED_VALUE"""),"lophoctoan-946313")</f>
        <v>lophoctoan-946313</v>
      </c>
      <c r="AG535" s="46" t="str">
        <f aca="false">IFERROR(__xludf.dummyfunction("""COMPUTED_VALUE"""),"")</f>
        <v/>
      </c>
      <c r="AH535" s="81" t="b">
        <f aca="false">IFERROR(__xludf.dummyfunction("""COMPUTED_VALUE"""),TRUE())</f>
        <v>1</v>
      </c>
      <c r="AI535" s="46"/>
      <c r="AJ535" s="46"/>
      <c r="AK535" s="46"/>
      <c r="AL535" s="46"/>
      <c r="AM535" s="46"/>
      <c r="AN535" s="46"/>
      <c r="AO535" s="46"/>
    </row>
    <row r="536" customFormat="false" ht="15.75" hidden="false" customHeight="true" outlineLevel="0" collapsed="false">
      <c r="A536" s="37" t="str">
        <f aca="false">IFERROR(__xludf.dummyfunction("""COMPUTED_VALUE"""),"Đọc hiểu")</f>
        <v>Đọc hiểu</v>
      </c>
      <c r="B536" s="37" t="str">
        <f aca="false">IFERROR(__xludf.dummyfunction("""COMPUTED_VALUE"""),"TOV_TSA_DH19")</f>
        <v>TOV_TSA_DH19</v>
      </c>
      <c r="C536" s="59" t="str">
        <f aca="false">IFERROR(__xludf.dummyfunction("""COMPUTED_VALUE"""),"Hướng dẫn đọc văn bản khoa học xã hội và báo chí")</f>
        <v>Hướng dẫn đọc văn bản khoa học xã hội và báo chí</v>
      </c>
      <c r="D536" s="39" t="str">
        <f aca="false">IFERROR(__xludf.dummyfunction("""COMPUTED_VALUE"""),"Vũ Khắc Ngọc")</f>
        <v>Vũ Khắc Ngọc</v>
      </c>
      <c r="E536" s="40" t="n">
        <f aca="false">IFERROR(__xludf.dummyfunction("""COMPUTED_VALUE"""),46314)</f>
        <v>46314</v>
      </c>
      <c r="F536" s="41" t="n">
        <f aca="false">IFERROR(__xludf.dummyfunction("""COMPUTED_VALUE"""),2)</f>
        <v>2</v>
      </c>
      <c r="G536" s="37" t="str">
        <f aca="false">IFERROR(__xludf.dummyfunction("""COMPUTED_VALUE"""),"21:30-23:30")</f>
        <v>21:30-23:30</v>
      </c>
      <c r="H536" s="37"/>
      <c r="I536" s="37"/>
      <c r="J536" s="37"/>
      <c r="K536" s="68" t="str">
        <f aca="false">IFERROR(__xludf.dummyfunction("""COMPUTED_VALUE"""),"Hangvt3")</f>
        <v>Hangvt3</v>
      </c>
      <c r="L536" s="68" t="str">
        <f aca="false">IFERROR(__xludf.dummyfunction("""COMPUTED_VALUE"""),"Phan Đức Kiên")</f>
        <v>Phan Đức Kiên</v>
      </c>
      <c r="M536" s="71"/>
      <c r="N536" s="77" t="str">
        <f aca="false">IFERROR(__xludf.dummyfunction("""COMPUTED_VALUE"""),"3109")</f>
        <v>3109</v>
      </c>
      <c r="O536" s="63" t="n">
        <f aca="false">IFERROR(__xludf.dummyfunction("""COMPUTED_VALUE"""),167242)</f>
        <v>167242</v>
      </c>
      <c r="P536" s="63"/>
      <c r="Q536" s="63"/>
      <c r="R536" s="41"/>
      <c r="S536" s="41"/>
      <c r="T536" s="63"/>
      <c r="U536" s="63"/>
      <c r="V536" s="70" t="n">
        <f aca="false">IFERROR(__xludf.dummyfunction("""COMPUTED_VALUE"""),46317)</f>
        <v>46317</v>
      </c>
      <c r="W536" s="39"/>
      <c r="X536" s="41" t="str">
        <f aca="false">IFERROR(__xludf.dummyfunction("""COMPUTED_VALUE"""),"Huent7")</f>
        <v>Huent7</v>
      </c>
      <c r="Y536" s="44" t="str">
        <f aca="false">IFERROR(__xludf.dummyfunction("""COMPUTED_VALUE"""),"done")</f>
        <v>done</v>
      </c>
      <c r="Z536" s="57" t="str">
        <f aca="false">IFERROR(__xludf.dummyfunction("""COMPUTED_VALUE"""),"#N/A")</f>
        <v>#N/A</v>
      </c>
      <c r="AA536" s="57"/>
      <c r="AB536" s="41" t="n">
        <f aca="false">IFERROR(__xludf.dummyfunction("""COMPUTED_VALUE"""),10)</f>
        <v>10</v>
      </c>
      <c r="AC536" s="57" t="str">
        <f aca="false">IFERROR(__xludf.dummyfunction("""COMPUTED_VALUE"""),"gv.ngocvk@hocmai.edu.vn")</f>
        <v>gv.ngocvk@hocmai.edu.vn</v>
      </c>
      <c r="AD536" s="46" t="str">
        <f aca="false">IFERROR(__xludf.dummyfunction("""COMPUTED_VALUE"""),"duckien010607@gmail.com")</f>
        <v>duckien010607@gmail.com</v>
      </c>
      <c r="AE536" s="46"/>
      <c r="AF536" s="47" t="str">
        <f aca="false">IFERROR(__xludf.dummyfunction("""COMPUTED_VALUE"""),"lophoctoan-946314")</f>
        <v>lophoctoan-946314</v>
      </c>
      <c r="AG536" s="46" t="str">
        <f aca="false">IFERROR(__xludf.dummyfunction("""COMPUTED_VALUE"""),"")</f>
        <v/>
      </c>
      <c r="AH536" s="46"/>
      <c r="AI536" s="81" t="b">
        <f aca="false">IFERROR(__xludf.dummyfunction("""COMPUTED_VALUE"""),TRUE())</f>
        <v>1</v>
      </c>
      <c r="AJ536" s="46"/>
      <c r="AK536" s="46"/>
      <c r="AL536" s="46"/>
      <c r="AM536" s="46"/>
      <c r="AN536" s="46"/>
      <c r="AO536" s="46"/>
    </row>
    <row r="537" customFormat="false" ht="15.75" hidden="false" customHeight="true" outlineLevel="0" collapsed="false">
      <c r="A537" s="37" t="str">
        <f aca="false">IFERROR(__xludf.dummyfunction("""COMPUTED_VALUE"""),"Tiếng Anh")</f>
        <v>Tiếng Anh</v>
      </c>
      <c r="B537" s="37" t="str">
        <f aca="false">IFERROR(__xludf.dummyfunction("""COMPUTED_VALUE"""),"TOV_HSA_TA19")</f>
        <v>TOV_HSA_TA19</v>
      </c>
      <c r="C537" s="59" t="str">
        <f aca="false">IFERROR(__xludf.dummyfunction("""COMPUTED_VALUE"""),"Tối ưu hoá dạng bài Sắp xếp hội thoại")</f>
        <v>Tối ưu hoá dạng bài Sắp xếp hội thoại</v>
      </c>
      <c r="D537" s="39" t="str">
        <f aca="false">IFERROR(__xludf.dummyfunction("""COMPUTED_VALUE"""),"Nguyễn Thanh Hương")</f>
        <v>Nguyễn Thanh Hương</v>
      </c>
      <c r="E537" s="40" t="n">
        <f aca="false">IFERROR(__xludf.dummyfunction("""COMPUTED_VALUE"""),46314)</f>
        <v>46314</v>
      </c>
      <c r="F537" s="41" t="n">
        <f aca="false">IFERROR(__xludf.dummyfunction("""COMPUTED_VALUE"""),2)</f>
        <v>2</v>
      </c>
      <c r="G537" s="37" t="str">
        <f aca="false">IFERROR(__xludf.dummyfunction("""COMPUTED_VALUE"""),"20:00-22:00")</f>
        <v>20:00-22:00</v>
      </c>
      <c r="H537" s="37"/>
      <c r="I537" s="37"/>
      <c r="J537" s="37"/>
      <c r="K537" s="68" t="str">
        <f aca="false">IFERROR(__xludf.dummyfunction("""COMPUTED_VALUE"""),"huyennn2")</f>
        <v>huyennn2</v>
      </c>
      <c r="L537" s="68" t="str">
        <f aca="false">IFERROR(__xludf.dummyfunction("""COMPUTED_VALUE"""),"Nguyễn Lê Thụy Quyên ")</f>
        <v>Nguyễn Lê Thụy Quyên </v>
      </c>
      <c r="M537" s="71"/>
      <c r="N537" s="77" t="str">
        <f aca="false">IFERROR(__xludf.dummyfunction("""COMPUTED_VALUE"""),"3140")</f>
        <v>3140</v>
      </c>
      <c r="O537" s="63" t="n">
        <f aca="false">IFERROR(__xludf.dummyfunction("""COMPUTED_VALUE"""),167555)</f>
        <v>167555</v>
      </c>
      <c r="P537" s="63" t="n">
        <f aca="false">IFERROR(__xludf.dummyfunction("""COMPUTED_VALUE"""),9030.9038)</f>
        <v>9030.9038</v>
      </c>
      <c r="Q537" s="63"/>
      <c r="R537" s="41"/>
      <c r="S537" s="41"/>
      <c r="T537" s="63"/>
      <c r="U537" s="63"/>
      <c r="V537" s="70" t="n">
        <f aca="false">IFERROR(__xludf.dummyfunction("""COMPUTED_VALUE"""),46317)</f>
        <v>46317</v>
      </c>
      <c r="W537" s="39"/>
      <c r="X537" s="41" t="str">
        <f aca="false">IFERROR(__xludf.dummyfunction("""COMPUTED_VALUE"""),"huyennn2")</f>
        <v>huyennn2</v>
      </c>
      <c r="Y537" s="44"/>
      <c r="Z537" s="57" t="str">
        <f aca="false">IFERROR(__xludf.dummyfunction("""COMPUTED_VALUE"""),"#N/A")</f>
        <v>#N/A</v>
      </c>
      <c r="AA537" s="57"/>
      <c r="AB537" s="41" t="n">
        <f aca="false">IFERROR(__xludf.dummyfunction("""COMPUTED_VALUE"""),10)</f>
        <v>10</v>
      </c>
      <c r="AC537" s="57" t="str">
        <f aca="false">IFERROR(__xludf.dummyfunction("""COMPUTED_VALUE"""),"gv.huongnt@hocmai.edu.vn ")</f>
        <v>gv.huongnt@hocmai.edu.vn </v>
      </c>
      <c r="AD537" s="46" t="str">
        <f aca="false">IFERROR(__xludf.dummyfunction("""COMPUTED_VALUE"""),"nguyenlethuyquyencp@gmail.com")</f>
        <v>nguyenlethuyquyencp@gmail.com</v>
      </c>
      <c r="AE537" s="46"/>
      <c r="AF537" s="47" t="str">
        <f aca="false">IFERROR(__xludf.dummyfunction("""COMPUTED_VALUE"""),"lophoctienganh46314")</f>
        <v>lophoctienganh46314</v>
      </c>
      <c r="AG537" s="46" t="str">
        <f aca="false">IFERROR(__xludf.dummyfunction("""COMPUTED_VALUE"""),"")</f>
        <v/>
      </c>
      <c r="AH537" s="46"/>
      <c r="AI537" s="46"/>
      <c r="AJ537" s="81" t="b">
        <f aca="false">IFERROR(__xludf.dummyfunction("""COMPUTED_VALUE"""),TRUE())</f>
        <v>1</v>
      </c>
      <c r="AK537" s="81" t="b">
        <f aca="false">IFERROR(__xludf.dummyfunction("""COMPUTED_VALUE"""),TRUE())</f>
        <v>1</v>
      </c>
      <c r="AL537" s="46"/>
      <c r="AM537" s="46"/>
      <c r="AN537" s="46"/>
      <c r="AO537" s="46"/>
    </row>
    <row r="538" customFormat="false" ht="15.75" hidden="false" customHeight="true" outlineLevel="0" collapsed="false">
      <c r="A538" s="37" t="str">
        <f aca="false">IFERROR(__xludf.dummyfunction("""COMPUTED_VALUE"""),"Tiếng Anh")</f>
        <v>Tiếng Anh</v>
      </c>
      <c r="B538" s="37" t="str">
        <f aca="false">IFERROR(__xludf.dummyfunction("""COMPUTED_VALUE"""),"TOV_V-ACT_TA19")</f>
        <v>TOV_V-ACT_TA19</v>
      </c>
      <c r="C538" s="59" t="str">
        <f aca="false">IFERROR(__xludf.dummyfunction("""COMPUTED_VALUE"""),"Phương pháp xử lý dạng bài hoàn thành câu (P1)")</f>
        <v>Phương pháp xử lý dạng bài hoàn thành câu (P1)</v>
      </c>
      <c r="D538" s="39" t="str">
        <f aca="false">IFERROR(__xludf.dummyfunction("""COMPUTED_VALUE"""),"Nguyễn Phương Linh")</f>
        <v>Nguyễn Phương Linh</v>
      </c>
      <c r="E538" s="40" t="n">
        <f aca="false">IFERROR(__xludf.dummyfunction("""COMPUTED_VALUE"""),46314)</f>
        <v>46314</v>
      </c>
      <c r="F538" s="41" t="n">
        <f aca="false">IFERROR(__xludf.dummyfunction("""COMPUTED_VALUE"""),2)</f>
        <v>2</v>
      </c>
      <c r="G538" s="37" t="str">
        <f aca="false">IFERROR(__xludf.dummyfunction("""COMPUTED_VALUE"""),"20:00-22:00")</f>
        <v>20:00-22:00</v>
      </c>
      <c r="H538" s="37"/>
      <c r="I538" s="37"/>
      <c r="J538" s="37"/>
      <c r="K538" s="68" t="str">
        <f aca="false">IFERROR(__xludf.dummyfunction("""COMPUTED_VALUE"""),"huyennn2")</f>
        <v>huyennn2</v>
      </c>
      <c r="L538" s="68"/>
      <c r="M538" s="71"/>
      <c r="N538" s="77" t="str">
        <f aca="false">IFERROR(__xludf.dummyfunction("""COMPUTED_VALUE"""),"3165,3339")</f>
        <v>3165,3339</v>
      </c>
      <c r="O538" s="73" t="n">
        <f aca="false">IFERROR(__xludf.dummyfunction("""COMPUTED_VALUE"""),167623.167647)</f>
        <v>167623.167647</v>
      </c>
      <c r="P538" s="63"/>
      <c r="Q538" s="63"/>
      <c r="R538" s="41"/>
      <c r="S538" s="41"/>
      <c r="T538" s="63"/>
      <c r="U538" s="63"/>
      <c r="V538" s="70" t="n">
        <f aca="false">IFERROR(__xludf.dummyfunction("""COMPUTED_VALUE"""),46317)</f>
        <v>46317</v>
      </c>
      <c r="W538" s="39"/>
      <c r="X538" s="41" t="str">
        <f aca="false">IFERROR(__xludf.dummyfunction("""COMPUTED_VALUE"""),"huyennn2")</f>
        <v>huyennn2</v>
      </c>
      <c r="Y538" s="44"/>
      <c r="Z538" s="57" t="str">
        <f aca="false">IFERROR(__xludf.dummyfunction("""COMPUTED_VALUE"""),"#N/A")</f>
        <v>#N/A</v>
      </c>
      <c r="AA538" s="57"/>
      <c r="AB538" s="41" t="n">
        <f aca="false">IFERROR(__xludf.dummyfunction("""COMPUTED_VALUE"""),10)</f>
        <v>10</v>
      </c>
      <c r="AC538" s="57" t="str">
        <f aca="false">IFERROR(__xludf.dummyfunction("""COMPUTED_VALUE"""),"gv.linhnp@hocmai.edu.vn		")</f>
        <v>gv.linhnp@hocmai.edu.vn		</v>
      </c>
      <c r="AD538" s="46" t="str">
        <f aca="false">IFERROR(__xludf.dummyfunction("""COMPUTED_VALUE"""),"#N/A")</f>
        <v>#N/A</v>
      </c>
      <c r="AE538" s="46"/>
      <c r="AF538" s="47" t="str">
        <f aca="false">IFERROR(__xludf.dummyfunction("""COMPUTED_VALUE"""),"lophoctienganh46314")</f>
        <v>lophoctienganh46314</v>
      </c>
      <c r="AG538" s="46" t="str">
        <f aca="false">IFERROR(__xludf.dummyfunction("""COMPUTED_VALUE"""),"")</f>
        <v/>
      </c>
      <c r="AH538" s="46"/>
      <c r="AI538" s="46"/>
      <c r="AJ538" s="46"/>
      <c r="AK538" s="46"/>
      <c r="AL538" s="46"/>
      <c r="AM538" s="81" t="b">
        <f aca="false">IFERROR(__xludf.dummyfunction("""COMPUTED_VALUE"""),TRUE())</f>
        <v>1</v>
      </c>
      <c r="AN538" s="46"/>
      <c r="AO538" s="46"/>
    </row>
    <row r="539" customFormat="false" ht="15.75" hidden="false" customHeight="true" outlineLevel="0" collapsed="false">
      <c r="A539" s="37" t="str">
        <f aca="false">IFERROR(__xludf.dummyfunction("""COMPUTED_VALUE"""),"Toán")</f>
        <v>Toán</v>
      </c>
      <c r="B539" s="37" t="str">
        <f aca="false">IFERROR(__xludf.dummyfunction("""COMPUTED_VALUE"""),"TOV_TC_T18")</f>
        <v>TOV_TC_T18</v>
      </c>
      <c r="C539" s="59" t="str">
        <f aca="false">IFERROR(__xludf.dummyfunction("""COMPUTED_VALUE"""),"Hệ trục tọa độ và các dạng bài tập liên quan")</f>
        <v>Hệ trục tọa độ và các dạng bài tập liên quan</v>
      </c>
      <c r="D539" s="39" t="str">
        <f aca="false">IFERROR(__xludf.dummyfunction("""COMPUTED_VALUE"""),"Nguyễn Thanh Tùng")</f>
        <v>Nguyễn Thanh Tùng</v>
      </c>
      <c r="E539" s="40" t="n">
        <f aca="false">IFERROR(__xludf.dummyfunction("""COMPUTED_VALUE"""),46315)</f>
        <v>46315</v>
      </c>
      <c r="F539" s="41" t="n">
        <f aca="false">IFERROR(__xludf.dummyfunction("""COMPUTED_VALUE"""),3)</f>
        <v>3</v>
      </c>
      <c r="G539" s="37" t="str">
        <f aca="false">IFERROR(__xludf.dummyfunction("""COMPUTED_VALUE"""),"21:00-23:00")</f>
        <v>21:00-23:00</v>
      </c>
      <c r="H539" s="37"/>
      <c r="I539" s="37"/>
      <c r="J539" s="37"/>
      <c r="K539" s="68" t="str">
        <f aca="false">IFERROR(__xludf.dummyfunction("""COMPUTED_VALUE"""),"Lent")</f>
        <v>Lent</v>
      </c>
      <c r="L539" s="68" t="str">
        <f aca="false">IFERROR(__xludf.dummyfunction("""COMPUTED_VALUE"""),"Tưởng Thị Huyền Trang")</f>
        <v>Tưởng Thị Huyền Trang</v>
      </c>
      <c r="M539" s="71"/>
      <c r="N539" s="77" t="str">
        <f aca="false">IFERROR(__xludf.dummyfunction("""COMPUTED_VALUE"""),"3108,3117,3315,3127,3314")</f>
        <v>3108,3117,3315,3127,3314</v>
      </c>
      <c r="O539" s="63" t="str">
        <f aca="false">IFERROR(__xludf.dummyfunction("""COMPUTED_VALUE"""),"168390, 168605, 168346, 167476, 167076")</f>
        <v>168390, 168605, 168346, 167476, 167076</v>
      </c>
      <c r="P539" s="63" t="str">
        <f aca="false">IFERROR(__xludf.dummyfunction("""COMPUTED_VALUE"""),"9025,9028,9036,9104,9106,9017,9102")</f>
        <v>9025,9028,9036,9104,9106,9017,9102</v>
      </c>
      <c r="Q539" s="63" t="n">
        <f aca="false">IFERROR(__xludf.dummyfunction("""COMPUTED_VALUE"""),167076)</f>
        <v>167076</v>
      </c>
      <c r="R539" s="41"/>
      <c r="S539" s="41"/>
      <c r="T539" s="63"/>
      <c r="U539" s="63"/>
      <c r="V539" s="70" t="n">
        <f aca="false">IFERROR(__xludf.dummyfunction("""COMPUTED_VALUE"""),46318)</f>
        <v>46318</v>
      </c>
      <c r="W539" s="39"/>
      <c r="X539" s="41" t="str">
        <f aca="false">IFERROR(__xludf.dummyfunction("""COMPUTED_VALUE"""),"Lent")</f>
        <v>Lent</v>
      </c>
      <c r="Y539" s="44" t="str">
        <f aca="false">IFERROR(__xludf.dummyfunction("""COMPUTED_VALUE"""),"done")</f>
        <v>done</v>
      </c>
      <c r="Z539" s="57" t="str">
        <f aca="false">IFERROR(__xludf.dummyfunction("""COMPUTED_VALUE"""),"#N/A")</f>
        <v>#N/A</v>
      </c>
      <c r="AA539" s="57"/>
      <c r="AB539" s="41" t="n">
        <f aca="false">IFERROR(__xludf.dummyfunction("""COMPUTED_VALUE"""),10)</f>
        <v>10</v>
      </c>
      <c r="AC539" s="57" t="str">
        <f aca="false">IFERROR(__xludf.dummyfunction("""COMPUTED_VALUE"""),"gv.tungnt@hocmai.edu.vn ")</f>
        <v>gv.tungnt@hocmai.edu.vn </v>
      </c>
      <c r="AD539" s="46" t="str">
        <f aca="false">IFERROR(__xludf.dummyfunction("""COMPUTED_VALUE"""),"trangcrazy699@gmail.com")</f>
        <v>trangcrazy699@gmail.com</v>
      </c>
      <c r="AE539" s="46"/>
      <c r="AF539" s="47" t="str">
        <f aca="false">IFERROR(__xludf.dummyfunction("""COMPUTED_VALUE"""),"lophoctoan-946315")</f>
        <v>lophoctoan-946315</v>
      </c>
      <c r="AG539" s="46" t="str">
        <f aca="false">IFERROR(__xludf.dummyfunction("""COMPUTED_VALUE"""),"")</f>
        <v/>
      </c>
      <c r="AH539" s="46"/>
      <c r="AI539" s="81" t="b">
        <f aca="false">IFERROR(__xludf.dummyfunction("""COMPUTED_VALUE"""),TRUE())</f>
        <v>1</v>
      </c>
      <c r="AJ539" s="81" t="b">
        <f aca="false">IFERROR(__xludf.dummyfunction("""COMPUTED_VALUE"""),TRUE())</f>
        <v>1</v>
      </c>
      <c r="AK539" s="81" t="b">
        <f aca="false">IFERROR(__xludf.dummyfunction("""COMPUTED_VALUE"""),TRUE())</f>
        <v>1</v>
      </c>
      <c r="AL539" s="81" t="b">
        <f aca="false">IFERROR(__xludf.dummyfunction("""COMPUTED_VALUE"""),TRUE())</f>
        <v>1</v>
      </c>
      <c r="AM539" s="46"/>
      <c r="AN539" s="46"/>
      <c r="AO539" s="46"/>
    </row>
    <row r="540" customFormat="false" ht="15.75" hidden="false" customHeight="true" outlineLevel="0" collapsed="false">
      <c r="A540" s="37" t="str">
        <f aca="false">IFERROR(__xludf.dummyfunction("""COMPUTED_VALUE"""),"Tiếng Việt")</f>
        <v>Tiếng Việt</v>
      </c>
      <c r="B540" s="37" t="str">
        <f aca="false">IFERROR(__xludf.dummyfunction("""COMPUTED_VALUE"""),"TOV_V-ACT_TV16")</f>
        <v>TOV_V-ACT_TV16</v>
      </c>
      <c r="C540" s="59" t="str">
        <f aca="false">IFERROR(__xludf.dummyfunction("""COMPUTED_VALUE"""),"Văn bản nghị luận và các đặc trưng cơ bản")</f>
        <v>Văn bản nghị luận và các đặc trưng cơ bản</v>
      </c>
      <c r="D540" s="39" t="str">
        <f aca="false">IFERROR(__xludf.dummyfunction("""COMPUTED_VALUE"""),"Văn Trịnh Quỳnh An")</f>
        <v>Văn Trịnh Quỳnh An</v>
      </c>
      <c r="E540" s="40" t="n">
        <f aca="false">IFERROR(__xludf.dummyfunction("""COMPUTED_VALUE"""),46315)</f>
        <v>46315</v>
      </c>
      <c r="F540" s="41" t="n">
        <f aca="false">IFERROR(__xludf.dummyfunction("""COMPUTED_VALUE"""),3)</f>
        <v>3</v>
      </c>
      <c r="G540" s="37" t="str">
        <f aca="false">IFERROR(__xludf.dummyfunction("""COMPUTED_VALUE"""),"20:00-21:30")</f>
        <v>20:00-21:30</v>
      </c>
      <c r="H540" s="37"/>
      <c r="I540" s="37"/>
      <c r="J540" s="37"/>
      <c r="K540" s="68" t="str">
        <f aca="false">IFERROR(__xludf.dummyfunction("""COMPUTED_VALUE"""),"Hangvt3")</f>
        <v>Hangvt3</v>
      </c>
      <c r="L540" s="68" t="str">
        <f aca="false">IFERROR(__xludf.dummyfunction("""COMPUTED_VALUE"""),"Bùi Vĩnh Thọ")</f>
        <v>Bùi Vĩnh Thọ</v>
      </c>
      <c r="M540" s="71"/>
      <c r="N540" s="77" t="str">
        <f aca="false">IFERROR(__xludf.dummyfunction("""COMPUTED_VALUE"""),"3125,3338")</f>
        <v>3125,3338</v>
      </c>
      <c r="O540" s="73" t="n">
        <f aca="false">IFERROR(__xludf.dummyfunction("""COMPUTED_VALUE"""),167368.174783)</f>
        <v>167368.174783</v>
      </c>
      <c r="P540" s="63" t="n">
        <f aca="false">IFERROR(__xludf.dummyfunction("""COMPUTED_VALUE"""),174783)</f>
        <v>174783</v>
      </c>
      <c r="Q540" s="63"/>
      <c r="R540" s="41"/>
      <c r="S540" s="41"/>
      <c r="T540" s="63"/>
      <c r="U540" s="63"/>
      <c r="V540" s="70" t="n">
        <f aca="false">IFERROR(__xludf.dummyfunction("""COMPUTED_VALUE"""),46318)</f>
        <v>46318</v>
      </c>
      <c r="W540" s="39"/>
      <c r="X540" s="41" t="str">
        <f aca="false">IFERROR(__xludf.dummyfunction("""COMPUTED_VALUE"""),"Phuongdt")</f>
        <v>Phuongdt</v>
      </c>
      <c r="Y540" s="44" t="str">
        <f aca="false">IFERROR(__xludf.dummyfunction("""COMPUTED_VALUE"""),"done")</f>
        <v>done</v>
      </c>
      <c r="Z540" s="57" t="str">
        <f aca="false">IFERROR(__xludf.dummyfunction("""COMPUTED_VALUE"""),"#N/A")</f>
        <v>#N/A</v>
      </c>
      <c r="AA540" s="57"/>
      <c r="AB540" s="41" t="n">
        <f aca="false">IFERROR(__xludf.dummyfunction("""COMPUTED_VALUE"""),10)</f>
        <v>10</v>
      </c>
      <c r="AC540" s="57" t="str">
        <f aca="false">IFERROR(__xludf.dummyfunction("""COMPUTED_VALUE"""),"gv.anvtq@hocmai.edu.vn ")</f>
        <v>gv.anvtq@hocmai.edu.vn </v>
      </c>
      <c r="AD540" s="46" t="str">
        <f aca="false">IFERROR(__xludf.dummyfunction("""COMPUTED_VALUE"""),"vinhtho0704@gmail.com")</f>
        <v>vinhtho0704@gmail.com</v>
      </c>
      <c r="AE540" s="46"/>
      <c r="AF540" s="74" t="b">
        <f aca="false">IFERROR(__xludf.dummyfunction("""COMPUTED_VALUE"""),FALSE())</f>
        <v>0</v>
      </c>
      <c r="AG540" s="46" t="str">
        <f aca="false">IFERROR(__xludf.dummyfunction("""COMPUTED_VALUE"""),"")</f>
        <v/>
      </c>
      <c r="AH540" s="46"/>
      <c r="AI540" s="46"/>
      <c r="AJ540" s="46"/>
      <c r="AK540" s="46"/>
      <c r="AL540" s="46"/>
      <c r="AM540" s="81" t="b">
        <f aca="false">IFERROR(__xludf.dummyfunction("""COMPUTED_VALUE"""),TRUE())</f>
        <v>1</v>
      </c>
      <c r="AN540" s="81" t="b">
        <f aca="false">IFERROR(__xludf.dummyfunction("""COMPUTED_VALUE"""),TRUE())</f>
        <v>1</v>
      </c>
      <c r="AO540" s="46"/>
    </row>
    <row r="541" customFormat="false" ht="15.75" hidden="false" customHeight="true" outlineLevel="0" collapsed="false">
      <c r="A541" s="37" t="str">
        <f aca="false">IFERROR(__xludf.dummyfunction("""COMPUTED_VALUE"""),"Địa lí")</f>
        <v>Địa lí</v>
      </c>
      <c r="B541" s="37" t="str">
        <f aca="false">IFERROR(__xludf.dummyfunction("""COMPUTED_VALUE"""),"TOV_HSA_ĐL15")</f>
        <v>TOV_HSA_ĐL15</v>
      </c>
      <c r="C541" s="59" t="str">
        <f aca="false">IFERROR(__xludf.dummyfunction("""COMPUTED_VALUE"""),"Địa lí các ngành kinh tế Việt Nam: Dịch vụ")</f>
        <v>Địa lí các ngành kinh tế Việt Nam: Dịch vụ</v>
      </c>
      <c r="D541" s="39" t="str">
        <f aca="false">IFERROR(__xludf.dummyfunction("""COMPUTED_VALUE"""),"Nguyễn Văn Vinh")</f>
        <v>Nguyễn Văn Vinh</v>
      </c>
      <c r="E541" s="40" t="n">
        <f aca="false">IFERROR(__xludf.dummyfunction("""COMPUTED_VALUE"""),46315)</f>
        <v>46315</v>
      </c>
      <c r="F541" s="41" t="n">
        <f aca="false">IFERROR(__xludf.dummyfunction("""COMPUTED_VALUE"""),3)</f>
        <v>3</v>
      </c>
      <c r="G541" s="37" t="str">
        <f aca="false">IFERROR(__xludf.dummyfunction("""COMPUTED_VALUE"""),"18:30-20:30")</f>
        <v>18:30-20:30</v>
      </c>
      <c r="H541" s="37"/>
      <c r="I541" s="37"/>
      <c r="J541" s="37"/>
      <c r="K541" s="68" t="str">
        <f aca="false">IFERROR(__xludf.dummyfunction("""COMPUTED_VALUE"""),"Trinhntt")</f>
        <v>Trinhntt</v>
      </c>
      <c r="L541" s="68" t="str">
        <f aca="false">IFERROR(__xludf.dummyfunction("""COMPUTED_VALUE"""),"Phan Đức Kiên")</f>
        <v>Phan Đức Kiên</v>
      </c>
      <c r="M541" s="71"/>
      <c r="N541" s="77" t="str">
        <f aca="false">IFERROR(__xludf.dummyfunction("""COMPUTED_VALUE"""),"3123")</f>
        <v>3123</v>
      </c>
      <c r="O541" s="63" t="n">
        <f aca="false">IFERROR(__xludf.dummyfunction("""COMPUTED_VALUE"""),174761)</f>
        <v>174761</v>
      </c>
      <c r="P541" s="63"/>
      <c r="Q541" s="63" t="n">
        <f aca="false">IFERROR(__xludf.dummyfunction("""COMPUTED_VALUE"""),174761)</f>
        <v>174761</v>
      </c>
      <c r="R541" s="41"/>
      <c r="S541" s="41"/>
      <c r="T541" s="63"/>
      <c r="U541" s="63"/>
      <c r="V541" s="70" t="n">
        <f aca="false">IFERROR(__xludf.dummyfunction("""COMPUTED_VALUE"""),46318)</f>
        <v>46318</v>
      </c>
      <c r="W541" s="39"/>
      <c r="X541" s="41" t="str">
        <f aca="false">IFERROR(__xludf.dummyfunction("""COMPUTED_VALUE"""),"Huent7")</f>
        <v>Huent7</v>
      </c>
      <c r="Y541" s="44"/>
      <c r="Z541" s="57" t="str">
        <f aca="false">IFERROR(__xludf.dummyfunction("""COMPUTED_VALUE"""),"#N/A")</f>
        <v>#N/A</v>
      </c>
      <c r="AA541" s="57"/>
      <c r="AB541" s="41"/>
      <c r="AC541" s="57" t="str">
        <f aca="false">IFERROR(__xludf.dummyfunction("""COMPUTED_VALUE"""),"gv.vinhnv@hocmai.edu.vn")</f>
        <v>gv.vinhnv@hocmai.edu.vn</v>
      </c>
      <c r="AD541" s="46" t="str">
        <f aca="false">IFERROR(__xludf.dummyfunction("""COMPUTED_VALUE"""),"duckien010607@gmail.com")</f>
        <v>duckien010607@gmail.com</v>
      </c>
      <c r="AE541" s="46"/>
      <c r="AF541" s="74" t="b">
        <f aca="false">IFERROR(__xludf.dummyfunction("""COMPUTED_VALUE"""),FALSE())</f>
        <v>0</v>
      </c>
      <c r="AG541" s="46" t="str">
        <f aca="false">IFERROR(__xludf.dummyfunction("""COMPUTED_VALUE"""),"")</f>
        <v/>
      </c>
      <c r="AH541" s="46"/>
      <c r="AI541" s="46"/>
      <c r="AJ541" s="81" t="b">
        <f aca="false">IFERROR(__xludf.dummyfunction("""COMPUTED_VALUE"""),TRUE())</f>
        <v>1</v>
      </c>
      <c r="AK541" s="81" t="b">
        <f aca="false">IFERROR(__xludf.dummyfunction("""COMPUTED_VALUE"""),TRUE())</f>
        <v>1</v>
      </c>
      <c r="AL541" s="46"/>
      <c r="AM541" s="46"/>
      <c r="AN541" s="46"/>
      <c r="AO541" s="46"/>
    </row>
    <row r="542" customFormat="false" ht="15.75" hidden="false" customHeight="true" outlineLevel="0" collapsed="false">
      <c r="A542" s="37" t="str">
        <f aca="false">IFERROR(__xludf.dummyfunction("""COMPUTED_VALUE"""),"Định tính")</f>
        <v>Định tính</v>
      </c>
      <c r="B542" s="37" t="str">
        <f aca="false">IFERROR(__xludf.dummyfunction("""COMPUTED_VALUE"""),"TOV_HSA_DT17")</f>
        <v>TOV_HSA_DT17</v>
      </c>
      <c r="C542" s="59" t="str">
        <f aca="false">IFERROR(__xludf.dummyfunction("""COMPUTED_VALUE"""),"Phương pháp xử lý nhóm câu hỏi về bố cục, mạch văn và liên kết văn bản")</f>
        <v>Phương pháp xử lý nhóm câu hỏi về bố cục, mạch văn và liên kết văn bản</v>
      </c>
      <c r="D542" s="39" t="str">
        <f aca="false">IFERROR(__xludf.dummyfunction("""COMPUTED_VALUE"""),"Vương Thúy Hằng")</f>
        <v>Vương Thúy Hằng</v>
      </c>
      <c r="E542" s="40" t="n">
        <f aca="false">IFERROR(__xludf.dummyfunction("""COMPUTED_VALUE"""),46316)</f>
        <v>46316</v>
      </c>
      <c r="F542" s="41" t="n">
        <f aca="false">IFERROR(__xludf.dummyfunction("""COMPUTED_VALUE"""),4)</f>
        <v>4</v>
      </c>
      <c r="G542" s="37" t="str">
        <f aca="false">IFERROR(__xludf.dummyfunction("""COMPUTED_VALUE"""),"21:00-23:00")</f>
        <v>21:00-23:00</v>
      </c>
      <c r="H542" s="37"/>
      <c r="I542" s="37"/>
      <c r="J542" s="37"/>
      <c r="K542" s="68" t="str">
        <f aca="false">IFERROR(__xludf.dummyfunction("""COMPUTED_VALUE"""),"Hangvt3")</f>
        <v>Hangvt3</v>
      </c>
      <c r="L542" s="68" t="str">
        <f aca="false">IFERROR(__xludf.dummyfunction("""COMPUTED_VALUE"""),"Kiều Bảo Minh")</f>
        <v>Kiều Bảo Minh</v>
      </c>
      <c r="M542" s="71"/>
      <c r="N542" s="77" t="str">
        <f aca="false">IFERROR(__xludf.dummyfunction("""COMPUTED_VALUE"""),"3118")</f>
        <v>3118</v>
      </c>
      <c r="O542" s="63" t="n">
        <f aca="false">IFERROR(__xludf.dummyfunction("""COMPUTED_VALUE"""),167306)</f>
        <v>167306</v>
      </c>
      <c r="P542" s="63"/>
      <c r="Q542" s="63"/>
      <c r="R542" s="41"/>
      <c r="S542" s="41"/>
      <c r="T542" s="63"/>
      <c r="U542" s="63"/>
      <c r="V542" s="70" t="n">
        <f aca="false">IFERROR(__xludf.dummyfunction("""COMPUTED_VALUE"""),46319)</f>
        <v>46319</v>
      </c>
      <c r="W542" s="39"/>
      <c r="X542" s="41" t="str">
        <f aca="false">IFERROR(__xludf.dummyfunction("""COMPUTED_VALUE"""),"Phuongdt")</f>
        <v>Phuongdt</v>
      </c>
      <c r="Y542" s="44" t="str">
        <f aca="false">IFERROR(__xludf.dummyfunction("""COMPUTED_VALUE"""),"done")</f>
        <v>done</v>
      </c>
      <c r="Z542" s="57" t="str">
        <f aca="false">IFERROR(__xludf.dummyfunction("""COMPUTED_VALUE"""),"#N/A")</f>
        <v>#N/A</v>
      </c>
      <c r="AA542" s="57"/>
      <c r="AB542" s="41" t="n">
        <f aca="false">IFERROR(__xludf.dummyfunction("""COMPUTED_VALUE"""),10)</f>
        <v>10</v>
      </c>
      <c r="AC542" s="57" t="str">
        <f aca="false">IFERROR(__xludf.dummyfunction("""COMPUTED_VALUE"""),"gv.hangvt@hocmai.edu.vn ")</f>
        <v>gv.hangvt@hocmai.edu.vn </v>
      </c>
      <c r="AD542" s="46" t="str">
        <f aca="false">IFERROR(__xludf.dummyfunction("""COMPUTED_VALUE"""),"mkieu2662@gmail.com")</f>
        <v>mkieu2662@gmail.com</v>
      </c>
      <c r="AE542" s="46"/>
      <c r="AF542" s="74" t="b">
        <f aca="false">IFERROR(__xludf.dummyfunction("""COMPUTED_VALUE"""),FALSE())</f>
        <v>0</v>
      </c>
      <c r="AG542" s="46" t="str">
        <f aca="false">IFERROR(__xludf.dummyfunction("""COMPUTED_VALUE"""),"")</f>
        <v/>
      </c>
      <c r="AH542" s="46"/>
      <c r="AI542" s="46"/>
      <c r="AJ542" s="81" t="b">
        <f aca="false">IFERROR(__xludf.dummyfunction("""COMPUTED_VALUE"""),TRUE())</f>
        <v>1</v>
      </c>
      <c r="AK542" s="81" t="b">
        <f aca="false">IFERROR(__xludf.dummyfunction("""COMPUTED_VALUE"""),TRUE())</f>
        <v>1</v>
      </c>
      <c r="AL542" s="46"/>
      <c r="AM542" s="46"/>
      <c r="AN542" s="46"/>
      <c r="AO542" s="46"/>
    </row>
    <row r="543" customFormat="false" ht="15.75" hidden="false" customHeight="true" outlineLevel="0" collapsed="false">
      <c r="A543" s="37" t="str">
        <f aca="false">IFERROR(__xludf.dummyfunction("""COMPUTED_VALUE"""),"Tiếng Việt")</f>
        <v>Tiếng Việt</v>
      </c>
      <c r="B543" s="37" t="str">
        <f aca="false">IFERROR(__xludf.dummyfunction("""COMPUTED_VALUE"""),"TOV_V-ACT_TV17")</f>
        <v>TOV_V-ACT_TV17</v>
      </c>
      <c r="C543" s="59" t="str">
        <f aca="false">IFERROR(__xludf.dummyfunction("""COMPUTED_VALUE"""),"Văn bản nghị luận và phương pháp đọc hiểu văn bản")</f>
        <v>Văn bản nghị luận và phương pháp đọc hiểu văn bản</v>
      </c>
      <c r="D543" s="39" t="str">
        <f aca="false">IFERROR(__xludf.dummyfunction("""COMPUTED_VALUE"""),"Văn Trịnh Quỳnh An")</f>
        <v>Văn Trịnh Quỳnh An</v>
      </c>
      <c r="E543" s="40" t="n">
        <f aca="false">IFERROR(__xludf.dummyfunction("""COMPUTED_VALUE"""),46316)</f>
        <v>46316</v>
      </c>
      <c r="F543" s="41" t="n">
        <f aca="false">IFERROR(__xludf.dummyfunction("""COMPUTED_VALUE"""),4)</f>
        <v>4</v>
      </c>
      <c r="G543" s="37" t="str">
        <f aca="false">IFERROR(__xludf.dummyfunction("""COMPUTED_VALUE"""),"21:00-22:30")</f>
        <v>21:00-22:30</v>
      </c>
      <c r="H543" s="37"/>
      <c r="I543" s="37"/>
      <c r="J543" s="37"/>
      <c r="K543" s="68" t="str">
        <f aca="false">IFERROR(__xludf.dummyfunction("""COMPUTED_VALUE"""),"Hangvt3")</f>
        <v>Hangvt3</v>
      </c>
      <c r="L543" s="68" t="str">
        <f aca="false">IFERROR(__xludf.dummyfunction("""COMPUTED_VALUE"""),"Bùi Vĩnh Thọ")</f>
        <v>Bùi Vĩnh Thọ</v>
      </c>
      <c r="M543" s="71"/>
      <c r="N543" s="77" t="str">
        <f aca="false">IFERROR(__xludf.dummyfunction("""COMPUTED_VALUE"""),"3125,3338")</f>
        <v>3125,3338</v>
      </c>
      <c r="O543" s="73" t="n">
        <f aca="false">IFERROR(__xludf.dummyfunction("""COMPUTED_VALUE"""),167369.174784)</f>
        <v>167369.174784</v>
      </c>
      <c r="P543" s="63" t="n">
        <f aca="false">IFERROR(__xludf.dummyfunction("""COMPUTED_VALUE"""),174784)</f>
        <v>174784</v>
      </c>
      <c r="Q543" s="63"/>
      <c r="R543" s="41"/>
      <c r="S543" s="41"/>
      <c r="T543" s="63"/>
      <c r="U543" s="63"/>
      <c r="V543" s="70" t="n">
        <f aca="false">IFERROR(__xludf.dummyfunction("""COMPUTED_VALUE"""),46319)</f>
        <v>46319</v>
      </c>
      <c r="W543" s="39"/>
      <c r="X543" s="41" t="str">
        <f aca="false">IFERROR(__xludf.dummyfunction("""COMPUTED_VALUE"""),"Phuongdt")</f>
        <v>Phuongdt</v>
      </c>
      <c r="Y543" s="44" t="str">
        <f aca="false">IFERROR(__xludf.dummyfunction("""COMPUTED_VALUE"""),"done")</f>
        <v>done</v>
      </c>
      <c r="Z543" s="57" t="str">
        <f aca="false">IFERROR(__xludf.dummyfunction("""COMPUTED_VALUE"""),"#N/A")</f>
        <v>#N/A</v>
      </c>
      <c r="AA543" s="57"/>
      <c r="AB543" s="41" t="n">
        <f aca="false">IFERROR(__xludf.dummyfunction("""COMPUTED_VALUE"""),10)</f>
        <v>10</v>
      </c>
      <c r="AC543" s="57" t="str">
        <f aca="false">IFERROR(__xludf.dummyfunction("""COMPUTED_VALUE"""),"gv.anvtq@hocmai.edu.vn ")</f>
        <v>gv.anvtq@hocmai.edu.vn </v>
      </c>
      <c r="AD543" s="46" t="str">
        <f aca="false">IFERROR(__xludf.dummyfunction("""COMPUTED_VALUE"""),"vinhtho0704@gmail.com")</f>
        <v>vinhtho0704@gmail.com</v>
      </c>
      <c r="AE543" s="46"/>
      <c r="AF543" s="74" t="b">
        <f aca="false">IFERROR(__xludf.dummyfunction("""COMPUTED_VALUE"""),FALSE())</f>
        <v>0</v>
      </c>
      <c r="AG543" s="46" t="str">
        <f aca="false">IFERROR(__xludf.dummyfunction("""COMPUTED_VALUE"""),"")</f>
        <v/>
      </c>
      <c r="AH543" s="46"/>
      <c r="AI543" s="46"/>
      <c r="AJ543" s="46"/>
      <c r="AK543" s="46"/>
      <c r="AL543" s="46"/>
      <c r="AM543" s="81" t="b">
        <f aca="false">IFERROR(__xludf.dummyfunction("""COMPUTED_VALUE"""),TRUE())</f>
        <v>1</v>
      </c>
      <c r="AN543" s="81" t="b">
        <f aca="false">IFERROR(__xludf.dummyfunction("""COMPUTED_VALUE"""),TRUE())</f>
        <v>1</v>
      </c>
      <c r="AO543" s="46"/>
    </row>
    <row r="544" customFormat="false" ht="15.75" hidden="false" customHeight="true" outlineLevel="0" collapsed="false">
      <c r="A544" s="37" t="str">
        <f aca="false">IFERROR(__xludf.dummyfunction("""COMPUTED_VALUE"""),"Ngữ văn")</f>
        <v>Ngữ văn</v>
      </c>
      <c r="B544" s="37" t="str">
        <f aca="false">IFERROR(__xludf.dummyfunction("""COMPUTED_VALUE"""),"TOV_TNTHPT_NV09")</f>
        <v>TOV_TNTHPT_NV09</v>
      </c>
      <c r="C544" s="59" t="str">
        <f aca="false">IFERROR(__xludf.dummyfunction("""COMPUTED_VALUE"""),"Hướng dẫn viết đoạn nghị luận văn học")</f>
        <v>Hướng dẫn viết đoạn nghị luận văn học</v>
      </c>
      <c r="D544" s="39" t="str">
        <f aca="false">IFERROR(__xludf.dummyfunction("""COMPUTED_VALUE"""),"Phạm Hữu Cường")</f>
        <v>Phạm Hữu Cường</v>
      </c>
      <c r="E544" s="40" t="n">
        <f aca="false">IFERROR(__xludf.dummyfunction("""COMPUTED_VALUE"""),46316)</f>
        <v>46316</v>
      </c>
      <c r="F544" s="41" t="n">
        <f aca="false">IFERROR(__xludf.dummyfunction("""COMPUTED_VALUE"""),4)</f>
        <v>4</v>
      </c>
      <c r="G544" s="37" t="str">
        <f aca="false">IFERROR(__xludf.dummyfunction("""COMPUTED_VALUE"""),"21:00-23:00")</f>
        <v>21:00-23:00</v>
      </c>
      <c r="H544" s="37"/>
      <c r="I544" s="37"/>
      <c r="J544" s="37"/>
      <c r="K544" s="68" t="str">
        <f aca="false">IFERROR(__xludf.dummyfunction("""COMPUTED_VALUE"""),"Hangvt3")</f>
        <v>Hangvt3</v>
      </c>
      <c r="L544" s="68" t="str">
        <f aca="false">IFERROR(__xludf.dummyfunction("""COMPUTED_VALUE"""),"Trần Đức Lương")</f>
        <v>Trần Đức Lương</v>
      </c>
      <c r="M544" s="71"/>
      <c r="N544" s="77" t="str">
        <f aca="false">IFERROR(__xludf.dummyfunction("""COMPUTED_VALUE"""),"3128")</f>
        <v>3128</v>
      </c>
      <c r="O544" s="63" t="n">
        <f aca="false">IFERROR(__xludf.dummyfunction("""COMPUTED_VALUE"""),167566)</f>
        <v>167566</v>
      </c>
      <c r="P544" s="63"/>
      <c r="Q544" s="63"/>
      <c r="R544" s="41"/>
      <c r="S544" s="41"/>
      <c r="T544" s="63"/>
      <c r="U544" s="63"/>
      <c r="V544" s="70" t="n">
        <f aca="false">IFERROR(__xludf.dummyfunction("""COMPUTED_VALUE"""),46319)</f>
        <v>46319</v>
      </c>
      <c r="W544" s="39"/>
      <c r="X544" s="41" t="str">
        <f aca="false">IFERROR(__xludf.dummyfunction("""COMPUTED_VALUE"""),"Phuongdt")</f>
        <v>Phuongdt</v>
      </c>
      <c r="Y544" s="44"/>
      <c r="Z544" s="57" t="str">
        <f aca="false">IFERROR(__xludf.dummyfunction("""COMPUTED_VALUE"""),"#N/A")</f>
        <v>#N/A</v>
      </c>
      <c r="AA544" s="57"/>
      <c r="AB544" s="41" t="n">
        <f aca="false">IFERROR(__xludf.dummyfunction("""COMPUTED_VALUE"""),10)</f>
        <v>10</v>
      </c>
      <c r="AC544" s="57" t="str">
        <f aca="false">IFERROR(__xludf.dummyfunction("""COMPUTED_VALUE"""),"gv.cuongph@hocmai.edu.vn ")</f>
        <v>gv.cuongph@hocmai.edu.vn </v>
      </c>
      <c r="AD544" s="46" t="str">
        <f aca="false">IFERROR(__xludf.dummyfunction("""COMPUTED_VALUE"""),"ss.hsa01@ctv.hocmai.vn")</f>
        <v>ss.hsa01@ctv.hocmai.vn</v>
      </c>
      <c r="AE544" s="46"/>
      <c r="AF544" s="74" t="b">
        <f aca="false">IFERROR(__xludf.dummyfunction("""COMPUTED_VALUE"""),FALSE())</f>
        <v>0</v>
      </c>
      <c r="AG544" s="46" t="str">
        <f aca="false">IFERROR(__xludf.dummyfunction("""COMPUTED_VALUE"""),"")</f>
        <v/>
      </c>
      <c r="AH544" s="46"/>
      <c r="AI544" s="46"/>
      <c r="AJ544" s="46"/>
      <c r="AK544" s="46"/>
      <c r="AL544" s="81" t="b">
        <f aca="false">IFERROR(__xludf.dummyfunction("""COMPUTED_VALUE"""),TRUE())</f>
        <v>1</v>
      </c>
      <c r="AM544" s="46"/>
      <c r="AN544" s="46"/>
      <c r="AO544" s="46"/>
    </row>
    <row r="545" customFormat="false" ht="15.75" hidden="false" customHeight="true" outlineLevel="0" collapsed="false">
      <c r="A545" s="37" t="str">
        <f aca="false">IFERROR(__xludf.dummyfunction("""COMPUTED_VALUE"""),"Vật lí")</f>
        <v>Vật lí</v>
      </c>
      <c r="B545" s="37" t="str">
        <f aca="false">IFERROR(__xludf.dummyfunction("""COMPUTED_VALUE"""),"TOV_TSA_L18")</f>
        <v>TOV_TSA_L18</v>
      </c>
      <c r="C545" s="59" t="str">
        <f aca="false">IFERROR(__xludf.dummyfunction("""COMPUTED_VALUE"""),"Thiên văn học – Chuyển động của Trái Đất và bầu trời")</f>
        <v>Thiên văn học – Chuyển động của Trái Đất và bầu trời</v>
      </c>
      <c r="D545" s="39" t="str">
        <f aca="false">IFERROR(__xludf.dummyfunction("""COMPUTED_VALUE"""),"Thiều Thị Dung")</f>
        <v>Thiều Thị Dung</v>
      </c>
      <c r="E545" s="40" t="n">
        <f aca="false">IFERROR(__xludf.dummyfunction("""COMPUTED_VALUE"""),46317)</f>
        <v>46317</v>
      </c>
      <c r="F545" s="41" t="n">
        <f aca="false">IFERROR(__xludf.dummyfunction("""COMPUTED_VALUE"""),5)</f>
        <v>5</v>
      </c>
      <c r="G545" s="37" t="str">
        <f aca="false">IFERROR(__xludf.dummyfunction("""COMPUTED_VALUE"""),"21:00-23:00")</f>
        <v>21:00-23:00</v>
      </c>
      <c r="H545" s="37"/>
      <c r="I545" s="37"/>
      <c r="J545" s="37"/>
      <c r="K545" s="68" t="str">
        <f aca="false">IFERROR(__xludf.dummyfunction("""COMPUTED_VALUE"""),"Trangnth2")</f>
        <v>Trangnth2</v>
      </c>
      <c r="L545" s="68" t="str">
        <f aca="false">IFERROR(__xludf.dummyfunction("""COMPUTED_VALUE"""),"Trần Đức Lương")</f>
        <v>Trần Đức Lương</v>
      </c>
      <c r="M545" s="71"/>
      <c r="N545" s="77" t="str">
        <f aca="false">IFERROR(__xludf.dummyfunction("""COMPUTED_VALUE"""),"3110")</f>
        <v>3110</v>
      </c>
      <c r="O545" s="63" t="n">
        <f aca="false">IFERROR(__xludf.dummyfunction("""COMPUTED_VALUE"""),167281)</f>
        <v>167281</v>
      </c>
      <c r="P545" s="63"/>
      <c r="Q545" s="63"/>
      <c r="R545" s="41"/>
      <c r="S545" s="41"/>
      <c r="T545" s="63"/>
      <c r="U545" s="63"/>
      <c r="V545" s="70" t="n">
        <f aca="false">IFERROR(__xludf.dummyfunction("""COMPUTED_VALUE"""),46320)</f>
        <v>46320</v>
      </c>
      <c r="W545" s="39"/>
      <c r="X545" s="41" t="str">
        <f aca="false">IFERROR(__xludf.dummyfunction("""COMPUTED_VALUE"""),"Trangnth2")</f>
        <v>Trangnth2</v>
      </c>
      <c r="Y545" s="44"/>
      <c r="Z545" s="57" t="str">
        <f aca="false">IFERROR(__xludf.dummyfunction("""COMPUTED_VALUE"""),"#N/A")</f>
        <v>#N/A</v>
      </c>
      <c r="AA545" s="57"/>
      <c r="AB545" s="41" t="n">
        <f aca="false">IFERROR(__xludf.dummyfunction("""COMPUTED_VALUE"""),10)</f>
        <v>10</v>
      </c>
      <c r="AC545" s="57" t="str">
        <f aca="false">IFERROR(__xludf.dummyfunction("""COMPUTED_VALUE"""),"dungtt2@hocmai.vn                ")</f>
        <v>dungtt2@hocmai.vn                </v>
      </c>
      <c r="AD545" s="46" t="str">
        <f aca="false">IFERROR(__xludf.dummyfunction("""COMPUTED_VALUE"""),"ss.hsa01@ctv.hocmai.vn")</f>
        <v>ss.hsa01@ctv.hocmai.vn</v>
      </c>
      <c r="AE545" s="46"/>
      <c r="AF545" s="74" t="b">
        <f aca="false">IFERROR(__xludf.dummyfunction("""COMPUTED_VALUE"""),FALSE())</f>
        <v>0</v>
      </c>
      <c r="AG545" s="46" t="str">
        <f aca="false">IFERROR(__xludf.dummyfunction("""COMPUTED_VALUE"""),"")</f>
        <v/>
      </c>
      <c r="AH545" s="46"/>
      <c r="AI545" s="81" t="b">
        <f aca="false">IFERROR(__xludf.dummyfunction("""COMPUTED_VALUE"""),TRUE())</f>
        <v>1</v>
      </c>
      <c r="AJ545" s="46"/>
      <c r="AK545" s="46"/>
      <c r="AL545" s="46"/>
      <c r="AM545" s="46"/>
      <c r="AN545" s="46"/>
      <c r="AO545" s="46"/>
    </row>
    <row r="546" customFormat="false" ht="15.75" hidden="false" customHeight="true" outlineLevel="0" collapsed="false">
      <c r="A546" s="37" t="str">
        <f aca="false">IFERROR(__xludf.dummyfunction("""COMPUTED_VALUE"""),"Vật lí")</f>
        <v>Vật lí</v>
      </c>
      <c r="B546" s="37" t="str">
        <f aca="false">IFERROR(__xludf.dummyfunction("""COMPUTED_VALUE"""),"TOV_HT_VL19")</f>
        <v>TOV_HT_VL19</v>
      </c>
      <c r="C546" s="59" t="str">
        <f aca="false">IFERROR(__xludf.dummyfunction("""COMPUTED_VALUE"""),"Hạt nhân – Phản ứng hạt nhân – Phóng xạ")</f>
        <v>Hạt nhân – Phản ứng hạt nhân – Phóng xạ</v>
      </c>
      <c r="D546" s="39" t="str">
        <f aca="false">IFERROR(__xludf.dummyfunction("""COMPUTED_VALUE"""),"Nguyễn Hữu Tình")</f>
        <v>Nguyễn Hữu Tình</v>
      </c>
      <c r="E546" s="40" t="n">
        <f aca="false">IFERROR(__xludf.dummyfunction("""COMPUTED_VALUE"""),46317)</f>
        <v>46317</v>
      </c>
      <c r="F546" s="41" t="n">
        <f aca="false">IFERROR(__xludf.dummyfunction("""COMPUTED_VALUE"""),5)</f>
        <v>5</v>
      </c>
      <c r="G546" s="37" t="str">
        <f aca="false">IFERROR(__xludf.dummyfunction("""COMPUTED_VALUE"""),"21:00-23:00")</f>
        <v>21:00-23:00</v>
      </c>
      <c r="H546" s="37"/>
      <c r="I546" s="37"/>
      <c r="J546" s="37"/>
      <c r="K546" s="68" t="str">
        <f aca="false">IFERROR(__xludf.dummyfunction("""COMPUTED_VALUE"""),"Trangnth2")</f>
        <v>Trangnth2</v>
      </c>
      <c r="L546" s="68" t="str">
        <f aca="false">IFERROR(__xludf.dummyfunction("""COMPUTED_VALUE"""),"Kiều Bảo Minh")</f>
        <v>Kiều Bảo Minh</v>
      </c>
      <c r="M546" s="71"/>
      <c r="N546" s="80" t="str">
        <f aca="false">IFERROR(__xludf.dummyfunction("""COMPUTED_VALUE"""),"3119,3130")</f>
        <v>3119,3130</v>
      </c>
      <c r="O546" s="73" t="n">
        <f aca="false">IFERROR(__xludf.dummyfunction("""COMPUTED_VALUE"""),167534.167581)</f>
        <v>167534.167581</v>
      </c>
      <c r="P546" s="63" t="str">
        <f aca="false">IFERROR(__xludf.dummyfunction("""COMPUTED_VALUE"""),"9031,9039,9020")</f>
        <v>9031,9039,9020</v>
      </c>
      <c r="Q546" s="63"/>
      <c r="R546" s="41"/>
      <c r="S546" s="41"/>
      <c r="T546" s="63"/>
      <c r="U546" s="63" t="n">
        <f aca="false">IFERROR(__xludf.dummyfunction("""COMPUTED_VALUE"""),10475)</f>
        <v>10475</v>
      </c>
      <c r="V546" s="70" t="n">
        <f aca="false">IFERROR(__xludf.dummyfunction("""COMPUTED_VALUE"""),46320)</f>
        <v>46320</v>
      </c>
      <c r="W546" s="39"/>
      <c r="X546" s="41" t="str">
        <f aca="false">IFERROR(__xludf.dummyfunction("""COMPUTED_VALUE"""),"Trangnth2")</f>
        <v>Trangnth2</v>
      </c>
      <c r="Y546" s="44"/>
      <c r="Z546" s="57" t="str">
        <f aca="false">IFERROR(__xludf.dummyfunction("""COMPUTED_VALUE"""),"#N/A")</f>
        <v>#N/A</v>
      </c>
      <c r="AA546" s="57"/>
      <c r="AB546" s="41" t="n">
        <f aca="false">IFERROR(__xludf.dummyfunction("""COMPUTED_VALUE"""),10)</f>
        <v>10</v>
      </c>
      <c r="AC546" s="57" t="str">
        <f aca="false">IFERROR(__xludf.dummyfunction("""COMPUTED_VALUE"""),"gv.tinhnh@hocmai.edu.vn ")</f>
        <v>gv.tinhnh@hocmai.edu.vn </v>
      </c>
      <c r="AD546" s="46" t="str">
        <f aca="false">IFERROR(__xludf.dummyfunction("""COMPUTED_VALUE"""),"mkieu2662@gmail.com")</f>
        <v>mkieu2662@gmail.com</v>
      </c>
      <c r="AE546" s="46"/>
      <c r="AF546" s="74" t="b">
        <f aca="false">IFERROR(__xludf.dummyfunction("""COMPUTED_VALUE"""),FALSE())</f>
        <v>0</v>
      </c>
      <c r="AG546" s="46" t="str">
        <f aca="false">IFERROR(__xludf.dummyfunction("""COMPUTED_VALUE"""),"")</f>
        <v/>
      </c>
      <c r="AH546" s="46"/>
      <c r="AI546" s="46"/>
      <c r="AJ546" s="81" t="b">
        <f aca="false">IFERROR(__xludf.dummyfunction("""COMPUTED_VALUE"""),TRUE())</f>
        <v>1</v>
      </c>
      <c r="AK546" s="81" t="b">
        <f aca="false">IFERROR(__xludf.dummyfunction("""COMPUTED_VALUE"""),TRUE())</f>
        <v>1</v>
      </c>
      <c r="AL546" s="81" t="b">
        <f aca="false">IFERROR(__xludf.dummyfunction("""COMPUTED_VALUE"""),TRUE())</f>
        <v>1</v>
      </c>
      <c r="AM546" s="46"/>
      <c r="AN546" s="46"/>
      <c r="AO546" s="46"/>
    </row>
    <row r="547" customFormat="false" ht="15.75" hidden="false" customHeight="true" outlineLevel="0" collapsed="false">
      <c r="A547" s="37" t="str">
        <f aca="false">IFERROR(__xludf.dummyfunction("""COMPUTED_VALUE"""),"Toán")</f>
        <v>Toán</v>
      </c>
      <c r="B547" s="37" t="str">
        <f aca="false">IFERROR(__xludf.dummyfunction("""COMPUTED_VALUE"""),"TOA_V-ACT_T18")</f>
        <v>TOA_V-ACT_T18</v>
      </c>
      <c r="C547" s="59" t="str">
        <f aca="false">IFERROR(__xludf.dummyfunction("""COMPUTED_VALUE"""),"Phương pháp, kĩ năng xử lí các bài toán về hình học không gian (P2)")</f>
        <v>Phương pháp, kĩ năng xử lí các bài toán về hình học không gian (P2)</v>
      </c>
      <c r="D547" s="39" t="str">
        <f aca="false">IFERROR(__xludf.dummyfunction("""COMPUTED_VALUE"""),"Nguyễn Hoài Nam")</f>
        <v>Nguyễn Hoài Nam</v>
      </c>
      <c r="E547" s="40" t="n">
        <f aca="false">IFERROR(__xludf.dummyfunction("""COMPUTED_VALUE"""),46317)</f>
        <v>46317</v>
      </c>
      <c r="F547" s="41" t="n">
        <f aca="false">IFERROR(__xludf.dummyfunction("""COMPUTED_VALUE"""),5)</f>
        <v>5</v>
      </c>
      <c r="G547" s="37" t="str">
        <f aca="false">IFERROR(__xludf.dummyfunction("""COMPUTED_VALUE"""),"21:00-22:30")</f>
        <v>21:00-22:30</v>
      </c>
      <c r="H547" s="37"/>
      <c r="I547" s="37"/>
      <c r="J547" s="37"/>
      <c r="K547" s="68" t="str">
        <f aca="false">IFERROR(__xludf.dummyfunction("""COMPUTED_VALUE"""),"Lent")</f>
        <v>Lent</v>
      </c>
      <c r="L547" s="68" t="str">
        <f aca="false">IFERROR(__xludf.dummyfunction("""COMPUTED_VALUE"""),"Lường Nhật Nam")</f>
        <v>Lường Nhật Nam</v>
      </c>
      <c r="M547" s="71"/>
      <c r="N547" s="77" t="str">
        <f aca="false">IFERROR(__xludf.dummyfunction("""COMPUTED_VALUE"""),"3124,3316")</f>
        <v>3124,3316</v>
      </c>
      <c r="O547" s="73" t="n">
        <f aca="false">IFERROR(__xludf.dummyfunction("""COMPUTED_VALUE"""),167217.166872)</f>
        <v>167217.166872</v>
      </c>
      <c r="P547" s="63" t="n">
        <f aca="false">IFERROR(__xludf.dummyfunction("""COMPUTED_VALUE"""),9044.9108)</f>
        <v>9044.9108</v>
      </c>
      <c r="Q547" s="63" t="n">
        <f aca="false">IFERROR(__xludf.dummyfunction("""COMPUTED_VALUE"""),167217)</f>
        <v>167217</v>
      </c>
      <c r="R547" s="41" t="n">
        <f aca="false">IFERROR(__xludf.dummyfunction("""COMPUTED_VALUE"""),166872)</f>
        <v>166872</v>
      </c>
      <c r="S547" s="41"/>
      <c r="T547" s="63"/>
      <c r="U547" s="63"/>
      <c r="V547" s="70" t="n">
        <f aca="false">IFERROR(__xludf.dummyfunction("""COMPUTED_VALUE"""),46320)</f>
        <v>46320</v>
      </c>
      <c r="W547" s="39"/>
      <c r="X547" s="41" t="str">
        <f aca="false">IFERROR(__xludf.dummyfunction("""COMPUTED_VALUE"""),"Lent")</f>
        <v>Lent</v>
      </c>
      <c r="Y547" s="44" t="str">
        <f aca="false">IFERROR(__xludf.dummyfunction("""COMPUTED_VALUE"""),"done")</f>
        <v>done</v>
      </c>
      <c r="Z547" s="57" t="str">
        <f aca="false">IFERROR(__xludf.dummyfunction("""COMPUTED_VALUE"""),"#N/A")</f>
        <v>#N/A</v>
      </c>
      <c r="AA547" s="57"/>
      <c r="AB547" s="41" t="n">
        <f aca="false">IFERROR(__xludf.dummyfunction("""COMPUTED_VALUE"""),10)</f>
        <v>10</v>
      </c>
      <c r="AC547" s="57" t="str">
        <f aca="false">IFERROR(__xludf.dummyfunction("""COMPUTED_VALUE"""),"gv.namnh@hocmai.edu.vn ")</f>
        <v>gv.namnh@hocmai.edu.vn </v>
      </c>
      <c r="AD547" s="46" t="str">
        <f aca="false">IFERROR(__xludf.dummyfunction("""COMPUTED_VALUE"""),"nhatnam1092@gmail.com")</f>
        <v>nhatnam1092@gmail.com</v>
      </c>
      <c r="AE547" s="46"/>
      <c r="AF547" s="47" t="str">
        <f aca="false">IFERROR(__xludf.dummyfunction("""COMPUTED_VALUE"""),"lophoctoan-946317")</f>
        <v>lophoctoan-946317</v>
      </c>
      <c r="AG547" s="46" t="str">
        <f aca="false">IFERROR(__xludf.dummyfunction("""COMPUTED_VALUE"""),"")</f>
        <v/>
      </c>
      <c r="AH547" s="46"/>
      <c r="AI547" s="46"/>
      <c r="AJ547" s="46"/>
      <c r="AK547" s="46"/>
      <c r="AL547" s="46"/>
      <c r="AM547" s="81" t="b">
        <f aca="false">IFERROR(__xludf.dummyfunction("""COMPUTED_VALUE"""),TRUE())</f>
        <v>1</v>
      </c>
      <c r="AN547" s="81" t="b">
        <f aca="false">IFERROR(__xludf.dummyfunction("""COMPUTED_VALUE"""),TRUE())</f>
        <v>1</v>
      </c>
      <c r="AO547" s="46"/>
    </row>
    <row r="548" customFormat="false" ht="15.75" hidden="false" customHeight="true" outlineLevel="0" collapsed="false">
      <c r="A548" s="37" t="str">
        <f aca="false">IFERROR(__xludf.dummyfunction("""COMPUTED_VALUE"""),"Toán")</f>
        <v>Toán</v>
      </c>
      <c r="B548" s="37" t="str">
        <f aca="false">IFERROR(__xludf.dummyfunction("""COMPUTED_VALUE"""),"TOV_TSA_T19")</f>
        <v>TOV_TSA_T19</v>
      </c>
      <c r="C548" s="59" t="str">
        <f aca="false">IFERROR(__xludf.dummyfunction("""COMPUTED_VALUE"""),"Các bài toán liên quan tới hàm chứa trị tuyệt đối")</f>
        <v>Các bài toán liên quan tới hàm chứa trị tuyệt đối</v>
      </c>
      <c r="D548" s="39" t="str">
        <f aca="false">IFERROR(__xludf.dummyfunction("""COMPUTED_VALUE"""),"Nguyễn Thanh Tùng")</f>
        <v>Nguyễn Thanh Tùng</v>
      </c>
      <c r="E548" s="40" t="n">
        <f aca="false">IFERROR(__xludf.dummyfunction("""COMPUTED_VALUE"""),46318)</f>
        <v>46318</v>
      </c>
      <c r="F548" s="41" t="n">
        <f aca="false">IFERROR(__xludf.dummyfunction("""COMPUTED_VALUE"""),6)</f>
        <v>6</v>
      </c>
      <c r="G548" s="37" t="str">
        <f aca="false">IFERROR(__xludf.dummyfunction("""COMPUTED_VALUE"""),"18:00-20:00")</f>
        <v>18:00-20:00</v>
      </c>
      <c r="H548" s="37"/>
      <c r="I548" s="37"/>
      <c r="J548" s="37"/>
      <c r="K548" s="68" t="str">
        <f aca="false">IFERROR(__xludf.dummyfunction("""COMPUTED_VALUE"""),"Locdd")</f>
        <v>Locdd</v>
      </c>
      <c r="L548" s="68" t="str">
        <f aca="false">IFERROR(__xludf.dummyfunction("""COMPUTED_VALUE"""),"Tưởng Thị Huyền Trang")</f>
        <v>Tưởng Thị Huyền Trang</v>
      </c>
      <c r="M548" s="71"/>
      <c r="N548" s="77" t="str">
        <f aca="false">IFERROR(__xludf.dummyfunction("""COMPUTED_VALUE"""),"3108")</f>
        <v>3108</v>
      </c>
      <c r="O548" s="63" t="n">
        <f aca="false">IFERROR(__xludf.dummyfunction("""COMPUTED_VALUE"""),168391)</f>
        <v>168391</v>
      </c>
      <c r="P548" s="63"/>
      <c r="Q548" s="63"/>
      <c r="R548" s="41"/>
      <c r="S548" s="41"/>
      <c r="T548" s="63"/>
      <c r="U548" s="63"/>
      <c r="V548" s="70" t="n">
        <f aca="false">IFERROR(__xludf.dummyfunction("""COMPUTED_VALUE"""),46321)</f>
        <v>46321</v>
      </c>
      <c r="W548" s="39"/>
      <c r="X548" s="41" t="str">
        <f aca="false">IFERROR(__xludf.dummyfunction("""COMPUTED_VALUE"""),"Locdd")</f>
        <v>Locdd</v>
      </c>
      <c r="Y548" s="44" t="str">
        <f aca="false">IFERROR(__xludf.dummyfunction("""COMPUTED_VALUE"""),"done")</f>
        <v>done</v>
      </c>
      <c r="Z548" s="57" t="str">
        <f aca="false">IFERROR(__xludf.dummyfunction("""COMPUTED_VALUE"""),"#N/A")</f>
        <v>#N/A</v>
      </c>
      <c r="AA548" s="57"/>
      <c r="AB548" s="41" t="n">
        <f aca="false">IFERROR(__xludf.dummyfunction("""COMPUTED_VALUE"""),10)</f>
        <v>10</v>
      </c>
      <c r="AC548" s="57" t="str">
        <f aca="false">IFERROR(__xludf.dummyfunction("""COMPUTED_VALUE"""),"gv.tungnt@hocmai.edu.vn ")</f>
        <v>gv.tungnt@hocmai.edu.vn </v>
      </c>
      <c r="AD548" s="46" t="str">
        <f aca="false">IFERROR(__xludf.dummyfunction("""COMPUTED_VALUE"""),"trangcrazy699@gmail.com")</f>
        <v>trangcrazy699@gmail.com</v>
      </c>
      <c r="AE548" s="46"/>
      <c r="AF548" s="47" t="str">
        <f aca="false">IFERROR(__xludf.dummyfunction("""COMPUTED_VALUE"""),"lophoctoan-946318")</f>
        <v>lophoctoan-946318</v>
      </c>
      <c r="AG548" s="46" t="str">
        <f aca="false">IFERROR(__xludf.dummyfunction("""COMPUTED_VALUE"""),"")</f>
        <v/>
      </c>
      <c r="AH548" s="46"/>
      <c r="AI548" s="81" t="b">
        <f aca="false">IFERROR(__xludf.dummyfunction("""COMPUTED_VALUE"""),TRUE())</f>
        <v>1</v>
      </c>
      <c r="AJ548" s="46"/>
      <c r="AK548" s="46"/>
      <c r="AL548" s="46"/>
      <c r="AM548" s="46"/>
      <c r="AN548" s="46"/>
      <c r="AO548" s="46"/>
    </row>
    <row r="549" customFormat="false" ht="15.75" hidden="false" customHeight="true" outlineLevel="0" collapsed="false">
      <c r="A549" s="37" t="str">
        <f aca="false">IFERROR(__xludf.dummyfunction("""COMPUTED_VALUE"""),"Sinh học")</f>
        <v>Sinh học</v>
      </c>
      <c r="B549" s="37" t="str">
        <f aca="false">IFERROR(__xludf.dummyfunction("""COMPUTED_VALUE"""),"TOV_HT_SH19")</f>
        <v>TOV_HT_SH19</v>
      </c>
      <c r="C549" s="59" t="str">
        <f aca="false">IFERROR(__xludf.dummyfunction("""COMPUTED_VALUE"""),"Sinh thái I: Môi trường – Quần thể – Quần xã")</f>
        <v>Sinh thái I: Môi trường – Quần thể – Quần xã</v>
      </c>
      <c r="D549" s="39" t="str">
        <f aca="false">IFERROR(__xludf.dummyfunction("""COMPUTED_VALUE"""),"Nguyễn Dương Ánh Hồng")</f>
        <v>Nguyễn Dương Ánh Hồng</v>
      </c>
      <c r="E549" s="40" t="n">
        <f aca="false">IFERROR(__xludf.dummyfunction("""COMPUTED_VALUE"""),46318)</f>
        <v>46318</v>
      </c>
      <c r="F549" s="41" t="n">
        <f aca="false">IFERROR(__xludf.dummyfunction("""COMPUTED_VALUE"""),6)</f>
        <v>6</v>
      </c>
      <c r="G549" s="37" t="str">
        <f aca="false">IFERROR(__xludf.dummyfunction("""COMPUTED_VALUE"""),"19:30-21:30")</f>
        <v>19:30-21:30</v>
      </c>
      <c r="H549" s="37"/>
      <c r="I549" s="37"/>
      <c r="J549" s="37"/>
      <c r="K549" s="68" t="str">
        <f aca="false">IFERROR(__xludf.dummyfunction("""COMPUTED_VALUE"""),"Phuongdt")</f>
        <v>Phuongdt</v>
      </c>
      <c r="L549" s="68" t="str">
        <f aca="false">IFERROR(__xludf.dummyfunction("""COMPUTED_VALUE"""),"Phan Đức Kiên")</f>
        <v>Phan Đức Kiên</v>
      </c>
      <c r="M549" s="71"/>
      <c r="N549" s="77" t="str">
        <f aca="false">IFERROR(__xludf.dummyfunction("""COMPUTED_VALUE"""),"3121,3132")</f>
        <v>3121,3132</v>
      </c>
      <c r="O549" s="73" t="n">
        <f aca="false">IFERROR(__xludf.dummyfunction("""COMPUTED_VALUE"""),167336.16735)</f>
        <v>167336.16735</v>
      </c>
      <c r="P549" s="63" t="str">
        <f aca="false">IFERROR(__xludf.dummyfunction("""COMPUTED_VALUE"""),"9033,9041,9022")</f>
        <v>9033,9041,9022</v>
      </c>
      <c r="Q549" s="63"/>
      <c r="R549" s="41"/>
      <c r="S549" s="41"/>
      <c r="T549" s="63" t="n">
        <f aca="false">IFERROR(__xludf.dummyfunction("""COMPUTED_VALUE"""),23851)</f>
        <v>23851</v>
      </c>
      <c r="U549" s="63"/>
      <c r="V549" s="70" t="n">
        <f aca="false">IFERROR(__xludf.dummyfunction("""COMPUTED_VALUE"""),46321)</f>
        <v>46321</v>
      </c>
      <c r="W549" s="39"/>
      <c r="X549" s="41" t="str">
        <f aca="false">IFERROR(__xludf.dummyfunction("""COMPUTED_VALUE"""),"Phuongdt")</f>
        <v>Phuongdt</v>
      </c>
      <c r="Y549" s="44"/>
      <c r="Z549" s="57" t="str">
        <f aca="false">IFERROR(__xludf.dummyfunction("""COMPUTED_VALUE"""),"#N/A")</f>
        <v>#N/A</v>
      </c>
      <c r="AA549" s="57"/>
      <c r="AB549" s="41" t="n">
        <f aca="false">IFERROR(__xludf.dummyfunction("""COMPUTED_VALUE"""),10)</f>
        <v>10</v>
      </c>
      <c r="AC549" s="57" t="str">
        <f aca="false">IFERROR(__xludf.dummyfunction("""COMPUTED_VALUE"""),"gv.hongnda@hocmai.edu.vn ")</f>
        <v>gv.hongnda@hocmai.edu.vn </v>
      </c>
      <c r="AD549" s="46" t="str">
        <f aca="false">IFERROR(__xludf.dummyfunction("""COMPUTED_VALUE"""),"duckien010607@gmail.com")</f>
        <v>duckien010607@gmail.com</v>
      </c>
      <c r="AE549" s="46"/>
      <c r="AF549" s="74" t="b">
        <f aca="false">IFERROR(__xludf.dummyfunction("""COMPUTED_VALUE"""),FALSE())</f>
        <v>0</v>
      </c>
      <c r="AG549" s="46" t="str">
        <f aca="false">IFERROR(__xludf.dummyfunction("""COMPUTED_VALUE"""),"")</f>
        <v/>
      </c>
      <c r="AH549" s="46"/>
      <c r="AI549" s="46"/>
      <c r="AJ549" s="81" t="b">
        <f aca="false">IFERROR(__xludf.dummyfunction("""COMPUTED_VALUE"""),TRUE())</f>
        <v>1</v>
      </c>
      <c r="AK549" s="81" t="b">
        <f aca="false">IFERROR(__xludf.dummyfunction("""COMPUTED_VALUE"""),TRUE())</f>
        <v>1</v>
      </c>
      <c r="AL549" s="81" t="b">
        <f aca="false">IFERROR(__xludf.dummyfunction("""COMPUTED_VALUE"""),TRUE())</f>
        <v>1</v>
      </c>
      <c r="AM549" s="46"/>
      <c r="AN549" s="46"/>
      <c r="AO549" s="46"/>
    </row>
    <row r="550" customFormat="false" ht="15.75" hidden="false" customHeight="true" outlineLevel="0" collapsed="false">
      <c r="A550" s="37" t="str">
        <f aca="false">IFERROR(__xludf.dummyfunction("""COMPUTED_VALUE"""),"Lịch sử")</f>
        <v>Lịch sử</v>
      </c>
      <c r="B550" s="37" t="str">
        <f aca="false">IFERROR(__xludf.dummyfunction("""COMPUTED_VALUE"""),"TOV_HSA_LS17")</f>
        <v>TOV_HSA_LS17</v>
      </c>
      <c r="C550" s="59" t="str">
        <f aca="false">IFERROR(__xludf.dummyfunction("""COMPUTED_VALUE"""),"Công cuộc Đổi mới ở Việt Nam từ năm 1986 đến nay (Phần 2)")</f>
        <v>Công cuộc Đổi mới ở Việt Nam từ năm 1986 đến nay (Phần 2)</v>
      </c>
      <c r="D550" s="39" t="str">
        <f aca="false">IFERROR(__xludf.dummyfunction("""COMPUTED_VALUE"""),"Dương Thị Huyền")</f>
        <v>Dương Thị Huyền</v>
      </c>
      <c r="E550" s="40" t="n">
        <f aca="false">IFERROR(__xludf.dummyfunction("""COMPUTED_VALUE"""),46318)</f>
        <v>46318</v>
      </c>
      <c r="F550" s="41" t="n">
        <f aca="false">IFERROR(__xludf.dummyfunction("""COMPUTED_VALUE"""),6)</f>
        <v>6</v>
      </c>
      <c r="G550" s="37" t="str">
        <f aca="false">IFERROR(__xludf.dummyfunction("""COMPUTED_VALUE"""),"21:30-23:30")</f>
        <v>21:30-23:30</v>
      </c>
      <c r="H550" s="37"/>
      <c r="I550" s="37"/>
      <c r="J550" s="37"/>
      <c r="K550" s="68" t="str">
        <f aca="false">IFERROR(__xludf.dummyfunction("""COMPUTED_VALUE"""),"Trinhntt")</f>
        <v>Trinhntt</v>
      </c>
      <c r="L550" s="68" t="str">
        <f aca="false">IFERROR(__xludf.dummyfunction("""COMPUTED_VALUE"""),"Phan Đức Kiên")</f>
        <v>Phan Đức Kiên</v>
      </c>
      <c r="M550" s="71"/>
      <c r="N550" s="77" t="str">
        <f aca="false">IFERROR(__xludf.dummyfunction("""COMPUTED_VALUE"""),"3122")</f>
        <v>3122</v>
      </c>
      <c r="O550" s="63" t="n">
        <f aca="false">IFERROR(__xludf.dummyfunction("""COMPUTED_VALUE"""),174744)</f>
        <v>174744</v>
      </c>
      <c r="P550" s="63"/>
      <c r="Q550" s="63"/>
      <c r="R550" s="41"/>
      <c r="S550" s="41"/>
      <c r="T550" s="63"/>
      <c r="U550" s="63"/>
      <c r="V550" s="70" t="n">
        <f aca="false">IFERROR(__xludf.dummyfunction("""COMPUTED_VALUE"""),46321)</f>
        <v>46321</v>
      </c>
      <c r="W550" s="39"/>
      <c r="X550" s="41" t="str">
        <f aca="false">IFERROR(__xludf.dummyfunction("""COMPUTED_VALUE"""),"Huent7")</f>
        <v>Huent7</v>
      </c>
      <c r="Y550" s="44"/>
      <c r="Z550" s="57" t="str">
        <f aca="false">IFERROR(__xludf.dummyfunction("""COMPUTED_VALUE"""),"#N/A")</f>
        <v>#N/A</v>
      </c>
      <c r="AA550" s="57"/>
      <c r="AB550" s="41"/>
      <c r="AC550" s="57" t="str">
        <f aca="false">IFERROR(__xludf.dummyfunction("""COMPUTED_VALUE"""),"gv.huyendt2@hocmai.edu.vn")</f>
        <v>gv.huyendt2@hocmai.edu.vn</v>
      </c>
      <c r="AD550" s="46" t="str">
        <f aca="false">IFERROR(__xludf.dummyfunction("""COMPUTED_VALUE"""),"duckien010607@gmail.com")</f>
        <v>duckien010607@gmail.com</v>
      </c>
      <c r="AE550" s="46"/>
      <c r="AF550" s="74" t="b">
        <f aca="false">IFERROR(__xludf.dummyfunction("""COMPUTED_VALUE"""),FALSE())</f>
        <v>0</v>
      </c>
      <c r="AG550" s="46" t="str">
        <f aca="false">IFERROR(__xludf.dummyfunction("""COMPUTED_VALUE"""),"")</f>
        <v/>
      </c>
      <c r="AH550" s="46"/>
      <c r="AI550" s="46"/>
      <c r="AJ550" s="81" t="b">
        <f aca="false">IFERROR(__xludf.dummyfunction("""COMPUTED_VALUE"""),TRUE())</f>
        <v>1</v>
      </c>
      <c r="AK550" s="81" t="b">
        <f aca="false">IFERROR(__xludf.dummyfunction("""COMPUTED_VALUE"""),TRUE())</f>
        <v>1</v>
      </c>
      <c r="AL550" s="46"/>
      <c r="AM550" s="46"/>
      <c r="AN550" s="46"/>
      <c r="AO550" s="46"/>
    </row>
    <row r="551" customFormat="false" ht="15.75" hidden="false" customHeight="true" outlineLevel="0" collapsed="false">
      <c r="A551" s="37" t="str">
        <f aca="false">IFERROR(__xludf.dummyfunction("""COMPUTED_VALUE"""),"Hóa học")</f>
        <v>Hóa học</v>
      </c>
      <c r="B551" s="37" t="str">
        <f aca="false">IFERROR(__xludf.dummyfunction("""COMPUTED_VALUE"""),"TOV_TSA_H10")</f>
        <v>TOV_TSA_H10</v>
      </c>
      <c r="C551" s="59" t="str">
        <f aca="false">IFERROR(__xludf.dummyfunction("""COMPUTED_VALUE"""),"Hợp chất hữu cơ chứa Oxygen")</f>
        <v>Hợp chất hữu cơ chứa Oxygen</v>
      </c>
      <c r="D551" s="39" t="str">
        <f aca="false">IFERROR(__xludf.dummyfunction("""COMPUTED_VALUE"""),"Vũ Khắc Ngọc")</f>
        <v>Vũ Khắc Ngọc</v>
      </c>
      <c r="E551" s="40" t="n">
        <f aca="false">IFERROR(__xludf.dummyfunction("""COMPUTED_VALUE"""),46319)</f>
        <v>46319</v>
      </c>
      <c r="F551" s="41" t="n">
        <f aca="false">IFERROR(__xludf.dummyfunction("""COMPUTED_VALUE"""),7)</f>
        <v>7</v>
      </c>
      <c r="G551" s="37" t="str">
        <f aca="false">IFERROR(__xludf.dummyfunction("""COMPUTED_VALUE"""),"21:30-23:30")</f>
        <v>21:30-23:30</v>
      </c>
      <c r="H551" s="37"/>
      <c r="I551" s="37"/>
      <c r="J551" s="37"/>
      <c r="K551" s="68" t="str">
        <f aca="false">IFERROR(__xludf.dummyfunction("""COMPUTED_VALUE"""),"Huebt")</f>
        <v>Huebt</v>
      </c>
      <c r="L551" s="68" t="str">
        <f aca="false">IFERROR(__xludf.dummyfunction("""COMPUTED_VALUE"""),"Bùi Vĩnh Thọ")</f>
        <v>Bùi Vĩnh Thọ</v>
      </c>
      <c r="M551" s="71"/>
      <c r="N551" s="77" t="str">
        <f aca="false">IFERROR(__xludf.dummyfunction("""COMPUTED_VALUE"""),"3110")</f>
        <v>3110</v>
      </c>
      <c r="O551" s="63" t="n">
        <f aca="false">IFERROR(__xludf.dummyfunction("""COMPUTED_VALUE"""),167282)</f>
        <v>167282</v>
      </c>
      <c r="P551" s="63"/>
      <c r="Q551" s="63"/>
      <c r="R551" s="41"/>
      <c r="S551" s="41"/>
      <c r="T551" s="63"/>
      <c r="U551" s="63" t="n">
        <f aca="false">IFERROR(__xludf.dummyfunction("""COMPUTED_VALUE"""),10608)</f>
        <v>10608</v>
      </c>
      <c r="V551" s="70" t="n">
        <f aca="false">IFERROR(__xludf.dummyfunction("""COMPUTED_VALUE"""),46322)</f>
        <v>46322</v>
      </c>
      <c r="W551" s="39"/>
      <c r="X551" s="41" t="str">
        <f aca="false">IFERROR(__xludf.dummyfunction("""COMPUTED_VALUE"""),"Huebt")</f>
        <v>Huebt</v>
      </c>
      <c r="Y551" s="44" t="str">
        <f aca="false">IFERROR(__xludf.dummyfunction("""COMPUTED_VALUE"""),"done")</f>
        <v>done</v>
      </c>
      <c r="Z551" s="57" t="str">
        <f aca="false">IFERROR(__xludf.dummyfunction("""COMPUTED_VALUE"""),"#N/A")</f>
        <v>#N/A</v>
      </c>
      <c r="AA551" s="57"/>
      <c r="AB551" s="41" t="n">
        <f aca="false">IFERROR(__xludf.dummyfunction("""COMPUTED_VALUE"""),10)</f>
        <v>10</v>
      </c>
      <c r="AC551" s="57" t="str">
        <f aca="false">IFERROR(__xludf.dummyfunction("""COMPUTED_VALUE"""),"gv.ngocvk@hocmai.edu.vn")</f>
        <v>gv.ngocvk@hocmai.edu.vn</v>
      </c>
      <c r="AD551" s="46" t="str">
        <f aca="false">IFERROR(__xludf.dummyfunction("""COMPUTED_VALUE"""),"vinhtho0704@gmail.com")</f>
        <v>vinhtho0704@gmail.com</v>
      </c>
      <c r="AE551" s="46"/>
      <c r="AF551" s="74" t="b">
        <f aca="false">IFERROR(__xludf.dummyfunction("""COMPUTED_VALUE"""),FALSE())</f>
        <v>0</v>
      </c>
      <c r="AG551" s="46" t="str">
        <f aca="false">IFERROR(__xludf.dummyfunction("""COMPUTED_VALUE"""),"")</f>
        <v/>
      </c>
      <c r="AH551" s="46"/>
      <c r="AI551" s="81" t="b">
        <f aca="false">IFERROR(__xludf.dummyfunction("""COMPUTED_VALUE"""),TRUE())</f>
        <v>1</v>
      </c>
      <c r="AJ551" s="46"/>
      <c r="AK551" s="46"/>
      <c r="AL551" s="46"/>
      <c r="AM551" s="46"/>
      <c r="AN551" s="46"/>
      <c r="AO551" s="46"/>
    </row>
    <row r="552" customFormat="false" ht="15.75" hidden="false" customHeight="true" outlineLevel="0" collapsed="false">
      <c r="A552" s="37" t="str">
        <f aca="false">IFERROR(__xludf.dummyfunction("""COMPUTED_VALUE"""),"Khoa học")</f>
        <v>Khoa học</v>
      </c>
      <c r="B552" s="37" t="str">
        <f aca="false">IFERROR(__xludf.dummyfunction("""COMPUTED_VALUE"""),"TOS_V-ACT_KH19")</f>
        <v>TOS_V-ACT_KH19</v>
      </c>
      <c r="C552" s="59" t="str">
        <f aca="false">IFERROR(__xludf.dummyfunction("""COMPUTED_VALUE"""),"Thực hành “Phản biện đề bài” – Tránh bẫy tâm lý trong các bài đọc hiểu thí nghiệm (P2).")</f>
        <v>Thực hành “Phản biện đề bài” – Tránh bẫy tâm lý trong các bài đọc hiểu thí nghiệm (P2).</v>
      </c>
      <c r="D552" s="39" t="str">
        <f aca="false">IFERROR(__xludf.dummyfunction("""COMPUTED_VALUE"""),"Lê Văn Minh")</f>
        <v>Lê Văn Minh</v>
      </c>
      <c r="E552" s="40" t="n">
        <f aca="false">IFERROR(__xludf.dummyfunction("""COMPUTED_VALUE"""),46319)</f>
        <v>46319</v>
      </c>
      <c r="F552" s="41" t="n">
        <f aca="false">IFERROR(__xludf.dummyfunction("""COMPUTED_VALUE"""),7)</f>
        <v>7</v>
      </c>
      <c r="G552" s="37" t="str">
        <f aca="false">IFERROR(__xludf.dummyfunction("""COMPUTED_VALUE"""),"20:30-22:00")</f>
        <v>20:30-22:00</v>
      </c>
      <c r="H552" s="37"/>
      <c r="I552" s="37"/>
      <c r="J552" s="37"/>
      <c r="K552" s="68" t="str">
        <f aca="false">IFERROR(__xludf.dummyfunction("""COMPUTED_VALUE"""),"Kimnq")</f>
        <v>Kimnq</v>
      </c>
      <c r="L552" s="68" t="str">
        <f aca="false">IFERROR(__xludf.dummyfunction("""COMPUTED_VALUE"""),"Lê Quốc Việt")</f>
        <v>Lê Quốc Việt</v>
      </c>
      <c r="M552" s="71"/>
      <c r="N552" s="77" t="str">
        <f aca="false">IFERROR(__xludf.dummyfunction("""COMPUTED_VALUE"""),"3340,3126")</f>
        <v>3340,3126</v>
      </c>
      <c r="O552" s="73" t="n">
        <f aca="false">IFERROR(__xludf.dummyfunction("""COMPUTED_VALUE"""),167510.167397)</f>
        <v>167510.167397</v>
      </c>
      <c r="P552" s="63"/>
      <c r="Q552" s="63"/>
      <c r="R552" s="41"/>
      <c r="S552" s="41"/>
      <c r="T552" s="63"/>
      <c r="U552" s="63"/>
      <c r="V552" s="70" t="n">
        <f aca="false">IFERROR(__xludf.dummyfunction("""COMPUTED_VALUE"""),46322)</f>
        <v>46322</v>
      </c>
      <c r="W552" s="39"/>
      <c r="X552" s="41" t="str">
        <f aca="false">IFERROR(__xludf.dummyfunction("""COMPUTED_VALUE"""),"Kimnq")</f>
        <v>Kimnq</v>
      </c>
      <c r="Y552" s="44" t="str">
        <f aca="false">IFERROR(__xludf.dummyfunction("""COMPUTED_VALUE"""),"done")</f>
        <v>done</v>
      </c>
      <c r="Z552" s="57" t="str">
        <f aca="false">IFERROR(__xludf.dummyfunction("""COMPUTED_VALUE"""),"#N/A")</f>
        <v>#N/A</v>
      </c>
      <c r="AA552" s="57"/>
      <c r="AB552" s="41" t="n">
        <f aca="false">IFERROR(__xludf.dummyfunction("""COMPUTED_VALUE"""),10)</f>
        <v>10</v>
      </c>
      <c r="AC552" s="57" t="str">
        <f aca="false">IFERROR(__xludf.dummyfunction("""COMPUTED_VALUE"""),"gv.minhlv@hocmai.edu.vn		")</f>
        <v>gv.minhlv@hocmai.edu.vn		</v>
      </c>
      <c r="AD552" s="46" t="str">
        <f aca="false">IFERROR(__xludf.dummyfunction("""COMPUTED_VALUE"""),"Ralph02091@gmail.com")</f>
        <v>Ralph02091@gmail.com</v>
      </c>
      <c r="AE552" s="46"/>
      <c r="AF552" s="47" t="str">
        <f aca="false">IFERROR(__xludf.dummyfunction("""COMPUTED_VALUE"""),"lophoctoan-946319")</f>
        <v>lophoctoan-946319</v>
      </c>
      <c r="AG552" s="46" t="str">
        <f aca="false">IFERROR(__xludf.dummyfunction("""COMPUTED_VALUE"""),"")</f>
        <v/>
      </c>
      <c r="AH552" s="46"/>
      <c r="AI552" s="46"/>
      <c r="AJ552" s="46"/>
      <c r="AK552" s="46"/>
      <c r="AL552" s="46"/>
      <c r="AM552" s="81" t="b">
        <f aca="false">IFERROR(__xludf.dummyfunction("""COMPUTED_VALUE"""),TRUE())</f>
        <v>1</v>
      </c>
      <c r="AN552" s="81" t="b">
        <f aca="false">IFERROR(__xludf.dummyfunction("""COMPUTED_VALUE"""),TRUE())</f>
        <v>1</v>
      </c>
      <c r="AO552" s="46"/>
    </row>
    <row r="553" customFormat="false" ht="15.75" hidden="false" customHeight="true" outlineLevel="0" collapsed="false">
      <c r="A553" s="37" t="str">
        <f aca="false">IFERROR(__xludf.dummyfunction("""COMPUTED_VALUE"""),"Toán")</f>
        <v>Toán</v>
      </c>
      <c r="B553" s="37" t="str">
        <f aca="false">IFERROR(__xludf.dummyfunction("""COMPUTED_VALUE"""),"NT_N_28")</f>
        <v>NT_N_28</v>
      </c>
      <c r="C553" s="59" t="str">
        <f aca="false">IFERROR(__xludf.dummyfunction("""COMPUTED_VALUE"""),"Phương pháp viết phương trình đường thẳng và mặt cầu")</f>
        <v>Phương pháp viết phương trình đường thẳng và mặt cầu</v>
      </c>
      <c r="D553" s="39" t="str">
        <f aca="false">IFERROR(__xludf.dummyfunction("""COMPUTED_VALUE"""),"Nguyễn Hoài Nam")</f>
        <v>Nguyễn Hoài Nam</v>
      </c>
      <c r="E553" s="40" t="n">
        <f aca="false">IFERROR(__xludf.dummyfunction("""COMPUTED_VALUE"""),46320)</f>
        <v>46320</v>
      </c>
      <c r="F553" s="41" t="str">
        <f aca="false">IFERROR(__xludf.dummyfunction("""COMPUTED_VALUE"""),"CN")</f>
        <v>CN</v>
      </c>
      <c r="G553" s="37" t="str">
        <f aca="false">IFERROR(__xludf.dummyfunction("""COMPUTED_VALUE"""),"21:00-22:30")</f>
        <v>21:00-22:30</v>
      </c>
      <c r="H553" s="37"/>
      <c r="I553" s="37"/>
      <c r="J553" s="62"/>
      <c r="K553" s="68" t="str">
        <f aca="false">IFERROR(__xludf.dummyfunction("""COMPUTED_VALUE"""),"lent")</f>
        <v>lent</v>
      </c>
      <c r="L553" s="68" t="str">
        <f aca="false">IFERROR(__xludf.dummyfunction("""COMPUTED_VALUE"""),"Tưởng Thị Huyền Trang")</f>
        <v>Tưởng Thị Huyền Trang</v>
      </c>
      <c r="M553" s="69" t="str">
        <f aca="false">IFERROR(__xludf.dummyfunction("""COMPUTED_VALUE"""),"https://hocmai.sharepoint.com/Education_Development/Lists/San_xuat_video/DispForm.aspx?ID=12215")</f>
        <v>https://hocmai.sharepoint.com/Education_Development/Lists/San_xuat_video/DispForm.aspx?ID=12215</v>
      </c>
      <c r="N553" s="78" t="n">
        <f aca="false">IFERROR(__xludf.dummyfunction("""COMPUTED_VALUE"""),3313)</f>
        <v>3313</v>
      </c>
      <c r="O553" s="63" t="n">
        <f aca="false">IFERROR(__xludf.dummyfunction("""COMPUTED_VALUE"""),166653)</f>
        <v>166653</v>
      </c>
      <c r="P553" s="63"/>
      <c r="Q553" s="63" t="n">
        <f aca="false">IFERROR(__xludf.dummyfunction("""COMPUTED_VALUE"""),8056)</f>
        <v>8056</v>
      </c>
      <c r="R553" s="41"/>
      <c r="S553" s="41"/>
      <c r="T553" s="63" t="n">
        <f aca="false">IFERROR(__xludf.dummyfunction("""COMPUTED_VALUE"""),8057)</f>
        <v>8057</v>
      </c>
      <c r="U553" s="63"/>
      <c r="V553" s="70" t="n">
        <f aca="false">IFERROR(__xludf.dummyfunction("""COMPUTED_VALUE"""),46322)</f>
        <v>46322</v>
      </c>
      <c r="W553" s="39"/>
      <c r="X553" s="41" t="str">
        <f aca="false">IFERROR(__xludf.dummyfunction("""COMPUTED_VALUE"""),"Huent7")</f>
        <v>Huent7</v>
      </c>
      <c r="Y553" s="44"/>
      <c r="Z553" s="57"/>
      <c r="AA553" s="57"/>
      <c r="AB553" s="41" t="n">
        <f aca="false">IFERROR(__xludf.dummyfunction("""COMPUTED_VALUE"""),10)</f>
        <v>10</v>
      </c>
      <c r="AC553" s="57"/>
      <c r="AD553" s="46"/>
      <c r="AE553" s="46"/>
      <c r="AF553" s="47" t="str">
        <f aca="false">IFERROR(__xludf.dummyfunction("""COMPUTED_VALUE"""),"lophoctoan-946320")</f>
        <v>lophoctoan-946320</v>
      </c>
      <c r="AG553" s="46" t="str">
        <f aca="false">IFERROR(__xludf.dummyfunction("""COMPUTED_VALUE"""),"")</f>
        <v/>
      </c>
      <c r="AH553" s="81" t="b">
        <f aca="false">IFERROR(__xludf.dummyfunction("""COMPUTED_VALUE"""),TRUE())</f>
        <v>1</v>
      </c>
      <c r="AI553" s="46"/>
      <c r="AJ553" s="46"/>
      <c r="AK553" s="46"/>
      <c r="AL553" s="46"/>
      <c r="AM553" s="46"/>
      <c r="AN553" s="46"/>
      <c r="AO553" s="46"/>
    </row>
    <row r="554" customFormat="false" ht="15.75" hidden="false" customHeight="true" outlineLevel="0" collapsed="false">
      <c r="A554" s="37" t="str">
        <f aca="false">IFERROR(__xludf.dummyfunction("""COMPUTED_VALUE"""),"Toán")</f>
        <v>Toán</v>
      </c>
      <c r="B554" s="37" t="str">
        <f aca="false">IFERROR(__xludf.dummyfunction("""COMPUTED_VALUE"""),"NT_T_44")</f>
        <v>NT_T_44</v>
      </c>
      <c r="C554" s="59" t="str">
        <f aca="false">IFERROR(__xludf.dummyfunction("""COMPUTED_VALUE"""),"Xác suất cổ điển")</f>
        <v>Xác suất cổ điển</v>
      </c>
      <c r="D554" s="39" t="str">
        <f aca="false">IFERROR(__xludf.dummyfunction("""COMPUTED_VALUE"""),"Nguyễn Thanh Tùng")</f>
        <v>Nguyễn Thanh Tùng</v>
      </c>
      <c r="E554" s="40" t="n">
        <f aca="false">IFERROR(__xludf.dummyfunction("""COMPUTED_VALUE"""),46320)</f>
        <v>46320</v>
      </c>
      <c r="F554" s="41" t="str">
        <f aca="false">IFERROR(__xludf.dummyfunction("""COMPUTED_VALUE"""),"CN")</f>
        <v>CN</v>
      </c>
      <c r="G554" s="37" t="str">
        <f aca="false">IFERROR(__xludf.dummyfunction("""COMPUTED_VALUE"""),"18:00-20:00")</f>
        <v>18:00-20:00</v>
      </c>
      <c r="H554" s="37"/>
      <c r="I554" s="37" t="str">
        <f aca="false">IFERROR(__xludf.dummyfunction("""COMPUTED_VALUE""")," ")</f>
        <v> </v>
      </c>
      <c r="J554" s="37"/>
      <c r="K554" s="68" t="str">
        <f aca="false">IFERROR(__xludf.dummyfunction("""COMPUTED_VALUE"""),"Khanhnl")</f>
        <v>Khanhnl</v>
      </c>
      <c r="L554" s="68" t="str">
        <f aca="false">IFERROR(__xludf.dummyfunction("""COMPUTED_VALUE"""),"Tưởng Thị Huyền Trang")</f>
        <v>Tưởng Thị Huyền Trang</v>
      </c>
      <c r="M554" s="69" t="str">
        <f aca="false">IFERROR(__xludf.dummyfunction("""COMPUTED_VALUE"""),"https://hocmai.sharepoint.com/Education_Development/Lists/San_xuat_video/DispForm.aspx?ID=12183")</f>
        <v>https://hocmai.sharepoint.com/Education_Development/Lists/San_xuat_video/DispForm.aspx?ID=12183</v>
      </c>
      <c r="N554" s="63" t="n">
        <f aca="false">IFERROR(__xludf.dummyfunction("""COMPUTED_VALUE"""),3312)</f>
        <v>3312</v>
      </c>
      <c r="O554" s="63" t="n">
        <f aca="false">IFERROR(__xludf.dummyfunction("""COMPUTED_VALUE"""),166577)</f>
        <v>166577</v>
      </c>
      <c r="P554" s="63"/>
      <c r="Q554" s="63" t="n">
        <f aca="false">IFERROR(__xludf.dummyfunction("""COMPUTED_VALUE"""),7973)</f>
        <v>7973</v>
      </c>
      <c r="R554" s="41"/>
      <c r="S554" s="41"/>
      <c r="T554" s="63" t="n">
        <f aca="false">IFERROR(__xludf.dummyfunction("""COMPUTED_VALUE"""),7974)</f>
        <v>7974</v>
      </c>
      <c r="U554" s="63"/>
      <c r="V554" s="70" t="n">
        <f aca="false">IFERROR(__xludf.dummyfunction("""COMPUTED_VALUE"""),46330)</f>
        <v>46330</v>
      </c>
      <c r="W554" s="39"/>
      <c r="X554" s="41" t="str">
        <f aca="false">IFERROR(__xludf.dummyfunction("""COMPUTED_VALUE"""),"Huent7")</f>
        <v>Huent7</v>
      </c>
      <c r="Y554" s="44"/>
      <c r="Z554" s="57"/>
      <c r="AA554" s="57"/>
      <c r="AB554" s="41" t="n">
        <f aca="false">IFERROR(__xludf.dummyfunction("""COMPUTED_VALUE"""),10)</f>
        <v>10</v>
      </c>
      <c r="AC554" s="57"/>
      <c r="AD554" s="46"/>
      <c r="AE554" s="46"/>
      <c r="AF554" s="47" t="str">
        <f aca="false">IFERROR(__xludf.dummyfunction("""COMPUTED_VALUE"""),"lophoctoan-946320")</f>
        <v>lophoctoan-946320</v>
      </c>
      <c r="AG554" s="46" t="str">
        <f aca="false">IFERROR(__xludf.dummyfunction("""COMPUTED_VALUE"""),"")</f>
        <v/>
      </c>
      <c r="AH554" s="81" t="b">
        <f aca="false">IFERROR(__xludf.dummyfunction("""COMPUTED_VALUE"""),TRUE())</f>
        <v>1</v>
      </c>
      <c r="AI554" s="46"/>
      <c r="AJ554" s="46"/>
      <c r="AK554" s="46"/>
      <c r="AL554" s="46"/>
      <c r="AM554" s="46"/>
      <c r="AN554" s="46"/>
      <c r="AO554" s="46"/>
    </row>
    <row r="555" customFormat="false" ht="15.75" hidden="false" customHeight="true" outlineLevel="0" collapsed="false">
      <c r="A555" s="37" t="str">
        <f aca="false">IFERROR(__xludf.dummyfunction("""COMPUTED_VALUE"""),"Đọc hiểu")</f>
        <v>Đọc hiểu</v>
      </c>
      <c r="B555" s="37" t="str">
        <f aca="false">IFERROR(__xludf.dummyfunction("""COMPUTED_VALUE"""),"TOV_TSA_DH20")</f>
        <v>TOV_TSA_DH20</v>
      </c>
      <c r="C555" s="59" t="str">
        <f aca="false">IFERROR(__xludf.dummyfunction("""COMPUTED_VALUE"""),"Luyện tập đọc hiểu văn bản khoa học xã hội và báo chí")</f>
        <v>Luyện tập đọc hiểu văn bản khoa học xã hội và báo chí</v>
      </c>
      <c r="D555" s="39" t="str">
        <f aca="false">IFERROR(__xludf.dummyfunction("""COMPUTED_VALUE"""),"Vũ Khắc Ngọc")</f>
        <v>Vũ Khắc Ngọc</v>
      </c>
      <c r="E555" s="40" t="n">
        <f aca="false">IFERROR(__xludf.dummyfunction("""COMPUTED_VALUE"""),46321)</f>
        <v>46321</v>
      </c>
      <c r="F555" s="41" t="n">
        <f aca="false">IFERROR(__xludf.dummyfunction("""COMPUTED_VALUE"""),2)</f>
        <v>2</v>
      </c>
      <c r="G555" s="37" t="str">
        <f aca="false">IFERROR(__xludf.dummyfunction("""COMPUTED_VALUE"""),"21:30-23:30")</f>
        <v>21:30-23:30</v>
      </c>
      <c r="H555" s="37"/>
      <c r="I555" s="37"/>
      <c r="J555" s="37"/>
      <c r="K555" s="68" t="str">
        <f aca="false">IFERROR(__xludf.dummyfunction("""COMPUTED_VALUE"""),"Hangvt3")</f>
        <v>Hangvt3</v>
      </c>
      <c r="L555" s="68" t="str">
        <f aca="false">IFERROR(__xludf.dummyfunction("""COMPUTED_VALUE"""),"Phan Đức Kiên")</f>
        <v>Phan Đức Kiên</v>
      </c>
      <c r="M555" s="71"/>
      <c r="N555" s="77" t="str">
        <f aca="false">IFERROR(__xludf.dummyfunction("""COMPUTED_VALUE"""),"3109")</f>
        <v>3109</v>
      </c>
      <c r="O555" s="63" t="n">
        <f aca="false">IFERROR(__xludf.dummyfunction("""COMPUTED_VALUE"""),167243)</f>
        <v>167243</v>
      </c>
      <c r="P555" s="63"/>
      <c r="Q555" s="63"/>
      <c r="R555" s="41"/>
      <c r="S555" s="41"/>
      <c r="T555" s="63"/>
      <c r="U555" s="63"/>
      <c r="V555" s="70" t="n">
        <f aca="false">IFERROR(__xludf.dummyfunction("""COMPUTED_VALUE"""),46324)</f>
        <v>46324</v>
      </c>
      <c r="W555" s="39"/>
      <c r="X555" s="41" t="str">
        <f aca="false">IFERROR(__xludf.dummyfunction("""COMPUTED_VALUE"""),"Huent7")</f>
        <v>Huent7</v>
      </c>
      <c r="Y555" s="44" t="str">
        <f aca="false">IFERROR(__xludf.dummyfunction("""COMPUTED_VALUE"""),"done")</f>
        <v>done</v>
      </c>
      <c r="Z555" s="57" t="str">
        <f aca="false">IFERROR(__xludf.dummyfunction("""COMPUTED_VALUE"""),"#N/A")</f>
        <v>#N/A</v>
      </c>
      <c r="AA555" s="57"/>
      <c r="AB555" s="41" t="n">
        <f aca="false">IFERROR(__xludf.dummyfunction("""COMPUTED_VALUE"""),10)</f>
        <v>10</v>
      </c>
      <c r="AC555" s="57" t="str">
        <f aca="false">IFERROR(__xludf.dummyfunction("""COMPUTED_VALUE"""),"gv.ngocvk@hocmai.edu.vn")</f>
        <v>gv.ngocvk@hocmai.edu.vn</v>
      </c>
      <c r="AD555" s="46" t="str">
        <f aca="false">IFERROR(__xludf.dummyfunction("""COMPUTED_VALUE"""),"duckien010607@gmail.com")</f>
        <v>duckien010607@gmail.com</v>
      </c>
      <c r="AE555" s="46"/>
      <c r="AF555" s="47" t="str">
        <f aca="false">IFERROR(__xludf.dummyfunction("""COMPUTED_VALUE"""),"lophoctoan-946321")</f>
        <v>lophoctoan-946321</v>
      </c>
      <c r="AG555" s="46" t="str">
        <f aca="false">IFERROR(__xludf.dummyfunction("""COMPUTED_VALUE"""),"")</f>
        <v/>
      </c>
      <c r="AH555" s="46"/>
      <c r="AI555" s="81" t="b">
        <f aca="false">IFERROR(__xludf.dummyfunction("""COMPUTED_VALUE"""),TRUE())</f>
        <v>1</v>
      </c>
      <c r="AJ555" s="46"/>
      <c r="AK555" s="46"/>
      <c r="AL555" s="46"/>
      <c r="AM555" s="46"/>
      <c r="AN555" s="46"/>
      <c r="AO555" s="46"/>
    </row>
    <row r="556" customFormat="false" ht="15.75" hidden="false" customHeight="true" outlineLevel="0" collapsed="false">
      <c r="A556" s="37" t="str">
        <f aca="false">IFERROR(__xludf.dummyfunction("""COMPUTED_VALUE"""),"Tiếng Anh")</f>
        <v>Tiếng Anh</v>
      </c>
      <c r="B556" s="37" t="str">
        <f aca="false">IFERROR(__xludf.dummyfunction("""COMPUTED_VALUE"""),"TOV_HSA_TA20")</f>
        <v>TOV_HSA_TA20</v>
      </c>
      <c r="C556" s="59" t="str">
        <f aca="false">IFERROR(__xludf.dummyfunction("""COMPUTED_VALUE"""),"Phương pháp làm dạng bài Đọc điền")</f>
        <v>Phương pháp làm dạng bài Đọc điền</v>
      </c>
      <c r="D556" s="39" t="str">
        <f aca="false">IFERROR(__xludf.dummyfunction("""COMPUTED_VALUE"""),"Nguyễn Thanh Hương")</f>
        <v>Nguyễn Thanh Hương</v>
      </c>
      <c r="E556" s="40" t="n">
        <f aca="false">IFERROR(__xludf.dummyfunction("""COMPUTED_VALUE"""),46321)</f>
        <v>46321</v>
      </c>
      <c r="F556" s="41" t="n">
        <f aca="false">IFERROR(__xludf.dummyfunction("""COMPUTED_VALUE"""),2)</f>
        <v>2</v>
      </c>
      <c r="G556" s="37" t="str">
        <f aca="false">IFERROR(__xludf.dummyfunction("""COMPUTED_VALUE"""),"20:00-22:00")</f>
        <v>20:00-22:00</v>
      </c>
      <c r="H556" s="37"/>
      <c r="I556" s="37"/>
      <c r="J556" s="37"/>
      <c r="K556" s="68" t="str">
        <f aca="false">IFERROR(__xludf.dummyfunction("""COMPUTED_VALUE"""),"huyennn2")</f>
        <v>huyennn2</v>
      </c>
      <c r="L556" s="68" t="str">
        <f aca="false">IFERROR(__xludf.dummyfunction("""COMPUTED_VALUE"""),"Nguyễn Lê Thụy Quyên ")</f>
        <v>Nguyễn Lê Thụy Quyên </v>
      </c>
      <c r="M556" s="71"/>
      <c r="N556" s="77" t="str">
        <f aca="false">IFERROR(__xludf.dummyfunction("""COMPUTED_VALUE"""),"3140")</f>
        <v>3140</v>
      </c>
      <c r="O556" s="63" t="n">
        <f aca="false">IFERROR(__xludf.dummyfunction("""COMPUTED_VALUE"""),167556)</f>
        <v>167556</v>
      </c>
      <c r="P556" s="63" t="n">
        <f aca="false">IFERROR(__xludf.dummyfunction("""COMPUTED_VALUE"""),9030.9038)</f>
        <v>9030.9038</v>
      </c>
      <c r="Q556" s="63"/>
      <c r="R556" s="41"/>
      <c r="S556" s="41"/>
      <c r="T556" s="63"/>
      <c r="U556" s="63"/>
      <c r="V556" s="70" t="n">
        <f aca="false">IFERROR(__xludf.dummyfunction("""COMPUTED_VALUE"""),46324)</f>
        <v>46324</v>
      </c>
      <c r="W556" s="39"/>
      <c r="X556" s="41" t="str">
        <f aca="false">IFERROR(__xludf.dummyfunction("""COMPUTED_VALUE"""),"huyennn2")</f>
        <v>huyennn2</v>
      </c>
      <c r="Y556" s="44"/>
      <c r="Z556" s="57" t="str">
        <f aca="false">IFERROR(__xludf.dummyfunction("""COMPUTED_VALUE"""),"#N/A")</f>
        <v>#N/A</v>
      </c>
      <c r="AA556" s="57"/>
      <c r="AB556" s="41" t="n">
        <f aca="false">IFERROR(__xludf.dummyfunction("""COMPUTED_VALUE"""),10)</f>
        <v>10</v>
      </c>
      <c r="AC556" s="57" t="str">
        <f aca="false">IFERROR(__xludf.dummyfunction("""COMPUTED_VALUE"""),"gv.huongnt@hocmai.edu.vn ")</f>
        <v>gv.huongnt@hocmai.edu.vn </v>
      </c>
      <c r="AD556" s="46" t="str">
        <f aca="false">IFERROR(__xludf.dummyfunction("""COMPUTED_VALUE"""),"nguyenlethuyquyencp@gmail.com")</f>
        <v>nguyenlethuyquyencp@gmail.com</v>
      </c>
      <c r="AE556" s="46"/>
      <c r="AF556" s="47" t="str">
        <f aca="false">IFERROR(__xludf.dummyfunction("""COMPUTED_VALUE"""),"lophoctienganh46321")</f>
        <v>lophoctienganh46321</v>
      </c>
      <c r="AG556" s="46" t="str">
        <f aca="false">IFERROR(__xludf.dummyfunction("""COMPUTED_VALUE"""),"")</f>
        <v/>
      </c>
      <c r="AH556" s="46"/>
      <c r="AI556" s="46"/>
      <c r="AJ556" s="81" t="b">
        <f aca="false">IFERROR(__xludf.dummyfunction("""COMPUTED_VALUE"""),TRUE())</f>
        <v>1</v>
      </c>
      <c r="AK556" s="81" t="b">
        <f aca="false">IFERROR(__xludf.dummyfunction("""COMPUTED_VALUE"""),TRUE())</f>
        <v>1</v>
      </c>
      <c r="AL556" s="46"/>
      <c r="AM556" s="46"/>
      <c r="AN556" s="46"/>
      <c r="AO556" s="46"/>
    </row>
    <row r="557" customFormat="false" ht="15.75" hidden="false" customHeight="true" outlineLevel="0" collapsed="false">
      <c r="A557" s="37" t="str">
        <f aca="false">IFERROR(__xludf.dummyfunction("""COMPUTED_VALUE"""),"Tiếng Anh")</f>
        <v>Tiếng Anh</v>
      </c>
      <c r="B557" s="37" t="str">
        <f aca="false">IFERROR(__xludf.dummyfunction("""COMPUTED_VALUE"""),"TOV_V-ACT_TA20")</f>
        <v>TOV_V-ACT_TA20</v>
      </c>
      <c r="C557" s="59" t="str">
        <f aca="false">IFERROR(__xludf.dummyfunction("""COMPUTED_VALUE"""),"Phương pháp xử lý dạng bài hoàn thành câu (P2)")</f>
        <v>Phương pháp xử lý dạng bài hoàn thành câu (P2)</v>
      </c>
      <c r="D557" s="39" t="str">
        <f aca="false">IFERROR(__xludf.dummyfunction("""COMPUTED_VALUE"""),"Nguyễn Phương Linh")</f>
        <v>Nguyễn Phương Linh</v>
      </c>
      <c r="E557" s="40" t="n">
        <f aca="false">IFERROR(__xludf.dummyfunction("""COMPUTED_VALUE"""),46321)</f>
        <v>46321</v>
      </c>
      <c r="F557" s="41" t="n">
        <f aca="false">IFERROR(__xludf.dummyfunction("""COMPUTED_VALUE"""),2)</f>
        <v>2</v>
      </c>
      <c r="G557" s="37" t="str">
        <f aca="false">IFERROR(__xludf.dummyfunction("""COMPUTED_VALUE"""),"20:00-22:00")</f>
        <v>20:00-22:00</v>
      </c>
      <c r="H557" s="37"/>
      <c r="I557" s="37"/>
      <c r="J557" s="37"/>
      <c r="K557" s="68" t="str">
        <f aca="false">IFERROR(__xludf.dummyfunction("""COMPUTED_VALUE"""),"huyennn2")</f>
        <v>huyennn2</v>
      </c>
      <c r="L557" s="68"/>
      <c r="M557" s="71"/>
      <c r="N557" s="77" t="str">
        <f aca="false">IFERROR(__xludf.dummyfunction("""COMPUTED_VALUE"""),"3165,3339")</f>
        <v>3165,3339</v>
      </c>
      <c r="O557" s="73" t="n">
        <f aca="false">IFERROR(__xludf.dummyfunction("""COMPUTED_VALUE"""),167624.167648)</f>
        <v>167624.167648</v>
      </c>
      <c r="P557" s="63"/>
      <c r="Q557" s="63"/>
      <c r="R557" s="41"/>
      <c r="S557" s="41"/>
      <c r="T557" s="63"/>
      <c r="U557" s="63"/>
      <c r="V557" s="70" t="n">
        <f aca="false">IFERROR(__xludf.dummyfunction("""COMPUTED_VALUE"""),46324)</f>
        <v>46324</v>
      </c>
      <c r="W557" s="39"/>
      <c r="X557" s="41" t="str">
        <f aca="false">IFERROR(__xludf.dummyfunction("""COMPUTED_VALUE"""),"huyennn2")</f>
        <v>huyennn2</v>
      </c>
      <c r="Y557" s="44"/>
      <c r="Z557" s="57" t="str">
        <f aca="false">IFERROR(__xludf.dummyfunction("""COMPUTED_VALUE"""),"#N/A")</f>
        <v>#N/A</v>
      </c>
      <c r="AA557" s="57"/>
      <c r="AB557" s="41" t="n">
        <f aca="false">IFERROR(__xludf.dummyfunction("""COMPUTED_VALUE"""),10)</f>
        <v>10</v>
      </c>
      <c r="AC557" s="57" t="str">
        <f aca="false">IFERROR(__xludf.dummyfunction("""COMPUTED_VALUE"""),"gv.linhnp@hocmai.edu.vn		")</f>
        <v>gv.linhnp@hocmai.edu.vn		</v>
      </c>
      <c r="AD557" s="46" t="str">
        <f aca="false">IFERROR(__xludf.dummyfunction("""COMPUTED_VALUE"""),"#N/A")</f>
        <v>#N/A</v>
      </c>
      <c r="AE557" s="46"/>
      <c r="AF557" s="47" t="str">
        <f aca="false">IFERROR(__xludf.dummyfunction("""COMPUTED_VALUE"""),"lophoctienganh46321")</f>
        <v>lophoctienganh46321</v>
      </c>
      <c r="AG557" s="46" t="str">
        <f aca="false">IFERROR(__xludf.dummyfunction("""COMPUTED_VALUE"""),"")</f>
        <v/>
      </c>
      <c r="AH557" s="46"/>
      <c r="AI557" s="46"/>
      <c r="AJ557" s="46"/>
      <c r="AK557" s="46"/>
      <c r="AL557" s="46"/>
      <c r="AM557" s="81" t="b">
        <f aca="false">IFERROR(__xludf.dummyfunction("""COMPUTED_VALUE"""),TRUE())</f>
        <v>1</v>
      </c>
      <c r="AN557" s="46"/>
      <c r="AO557" s="46"/>
    </row>
    <row r="558" customFormat="false" ht="15.75" hidden="false" customHeight="true" outlineLevel="0" collapsed="false">
      <c r="A558" s="37" t="str">
        <f aca="false">IFERROR(__xludf.dummyfunction("""COMPUTED_VALUE"""),"Toán")</f>
        <v>Toán</v>
      </c>
      <c r="B558" s="37" t="str">
        <f aca="false">IFERROR(__xludf.dummyfunction("""COMPUTED_VALUE"""),"TOV_TC_T19")</f>
        <v>TOV_TC_T19</v>
      </c>
      <c r="C558" s="59" t="str">
        <f aca="false">IFERROR(__xludf.dummyfunction("""COMPUTED_VALUE"""),"Các công thức định lượng và các bài tập liên quan")</f>
        <v>Các công thức định lượng và các bài tập liên quan</v>
      </c>
      <c r="D558" s="39" t="str">
        <f aca="false">IFERROR(__xludf.dummyfunction("""COMPUTED_VALUE"""),"Nguyễn Thanh Tùng")</f>
        <v>Nguyễn Thanh Tùng</v>
      </c>
      <c r="E558" s="40" t="n">
        <f aca="false">IFERROR(__xludf.dummyfunction("""COMPUTED_VALUE"""),46322)</f>
        <v>46322</v>
      </c>
      <c r="F558" s="41" t="n">
        <f aca="false">IFERROR(__xludf.dummyfunction("""COMPUTED_VALUE"""),3)</f>
        <v>3</v>
      </c>
      <c r="G558" s="37" t="str">
        <f aca="false">IFERROR(__xludf.dummyfunction("""COMPUTED_VALUE"""),"21:00-23:00")</f>
        <v>21:00-23:00</v>
      </c>
      <c r="H558" s="37"/>
      <c r="I558" s="37"/>
      <c r="J558" s="37"/>
      <c r="K558" s="68" t="str">
        <f aca="false">IFERROR(__xludf.dummyfunction("""COMPUTED_VALUE"""),"Lent")</f>
        <v>Lent</v>
      </c>
      <c r="L558" s="68" t="str">
        <f aca="false">IFERROR(__xludf.dummyfunction("""COMPUTED_VALUE"""),"Tưởng Thị Huyền Trang")</f>
        <v>Tưởng Thị Huyền Trang</v>
      </c>
      <c r="M558" s="71"/>
      <c r="N558" s="77" t="str">
        <f aca="false">IFERROR(__xludf.dummyfunction("""COMPUTED_VALUE"""),"3108,3117,3315,3127,3314")</f>
        <v>3108,3117,3315,3127,3314</v>
      </c>
      <c r="O558" s="63" t="str">
        <f aca="false">IFERROR(__xludf.dummyfunction("""COMPUTED_VALUE"""),"168392, 168607, 168348, 167477, 167077")</f>
        <v>168392, 168607, 168348, 167477, 167077</v>
      </c>
      <c r="P558" s="63" t="str">
        <f aca="false">IFERROR(__xludf.dummyfunction("""COMPUTED_VALUE"""),"9025,9028,9036,9104,9106,9017,9102")</f>
        <v>9025,9028,9036,9104,9106,9017,9102</v>
      </c>
      <c r="Q558" s="63" t="n">
        <f aca="false">IFERROR(__xludf.dummyfunction("""COMPUTED_VALUE"""),167077)</f>
        <v>167077</v>
      </c>
      <c r="R558" s="41"/>
      <c r="S558" s="41"/>
      <c r="T558" s="63"/>
      <c r="U558" s="63"/>
      <c r="V558" s="70" t="n">
        <f aca="false">IFERROR(__xludf.dummyfunction("""COMPUTED_VALUE"""),46325)</f>
        <v>46325</v>
      </c>
      <c r="W558" s="39"/>
      <c r="X558" s="41" t="str">
        <f aca="false">IFERROR(__xludf.dummyfunction("""COMPUTED_VALUE"""),"Lent")</f>
        <v>Lent</v>
      </c>
      <c r="Y558" s="44" t="str">
        <f aca="false">IFERROR(__xludf.dummyfunction("""COMPUTED_VALUE"""),"done")</f>
        <v>done</v>
      </c>
      <c r="Z558" s="57" t="str">
        <f aca="false">IFERROR(__xludf.dummyfunction("""COMPUTED_VALUE"""),"#N/A")</f>
        <v>#N/A</v>
      </c>
      <c r="AA558" s="57"/>
      <c r="AB558" s="41" t="n">
        <f aca="false">IFERROR(__xludf.dummyfunction("""COMPUTED_VALUE"""),10)</f>
        <v>10</v>
      </c>
      <c r="AC558" s="57" t="str">
        <f aca="false">IFERROR(__xludf.dummyfunction("""COMPUTED_VALUE"""),"gv.tungnt@hocmai.edu.vn ")</f>
        <v>gv.tungnt@hocmai.edu.vn </v>
      </c>
      <c r="AD558" s="46" t="str">
        <f aca="false">IFERROR(__xludf.dummyfunction("""COMPUTED_VALUE"""),"trangcrazy699@gmail.com")</f>
        <v>trangcrazy699@gmail.com</v>
      </c>
      <c r="AE558" s="46"/>
      <c r="AF558" s="47" t="str">
        <f aca="false">IFERROR(__xludf.dummyfunction("""COMPUTED_VALUE"""),"lophoctoan-946322")</f>
        <v>lophoctoan-946322</v>
      </c>
      <c r="AG558" s="46" t="str">
        <f aca="false">IFERROR(__xludf.dummyfunction("""COMPUTED_VALUE"""),"")</f>
        <v/>
      </c>
      <c r="AH558" s="46"/>
      <c r="AI558" s="81" t="b">
        <f aca="false">IFERROR(__xludf.dummyfunction("""COMPUTED_VALUE"""),TRUE())</f>
        <v>1</v>
      </c>
      <c r="AJ558" s="81" t="b">
        <f aca="false">IFERROR(__xludf.dummyfunction("""COMPUTED_VALUE"""),TRUE())</f>
        <v>1</v>
      </c>
      <c r="AK558" s="81" t="b">
        <f aca="false">IFERROR(__xludf.dummyfunction("""COMPUTED_VALUE"""),TRUE())</f>
        <v>1</v>
      </c>
      <c r="AL558" s="81" t="b">
        <f aca="false">IFERROR(__xludf.dummyfunction("""COMPUTED_VALUE"""),TRUE())</f>
        <v>1</v>
      </c>
      <c r="AM558" s="46"/>
      <c r="AN558" s="46"/>
      <c r="AO558" s="46"/>
    </row>
    <row r="559" customFormat="false" ht="15.75" hidden="false" customHeight="true" outlineLevel="0" collapsed="false">
      <c r="A559" s="37" t="str">
        <f aca="false">IFERROR(__xludf.dummyfunction("""COMPUTED_VALUE"""),"Tiếng Việt")</f>
        <v>Tiếng Việt</v>
      </c>
      <c r="B559" s="37" t="str">
        <f aca="false">IFERROR(__xludf.dummyfunction("""COMPUTED_VALUE"""),"TOV_V-ACT_TV18")</f>
        <v>TOV_V-ACT_TV18</v>
      </c>
      <c r="C559" s="59" t="str">
        <f aca="false">IFERROR(__xludf.dummyfunction("""COMPUTED_VALUE"""),"Nghĩa, cấu tạo và nguồn gốc của từ")</f>
        <v>Nghĩa, cấu tạo và nguồn gốc của từ</v>
      </c>
      <c r="D559" s="39" t="str">
        <f aca="false">IFERROR(__xludf.dummyfunction("""COMPUTED_VALUE"""),"Văn Trịnh Quỳnh An")</f>
        <v>Văn Trịnh Quỳnh An</v>
      </c>
      <c r="E559" s="40" t="n">
        <f aca="false">IFERROR(__xludf.dummyfunction("""COMPUTED_VALUE"""),46322)</f>
        <v>46322</v>
      </c>
      <c r="F559" s="41" t="n">
        <f aca="false">IFERROR(__xludf.dummyfunction("""COMPUTED_VALUE"""),3)</f>
        <v>3</v>
      </c>
      <c r="G559" s="37" t="str">
        <f aca="false">IFERROR(__xludf.dummyfunction("""COMPUTED_VALUE"""),"20:00-21:30")</f>
        <v>20:00-21:30</v>
      </c>
      <c r="H559" s="37"/>
      <c r="I559" s="37"/>
      <c r="J559" s="37"/>
      <c r="K559" s="68" t="str">
        <f aca="false">IFERROR(__xludf.dummyfunction("""COMPUTED_VALUE"""),"Hangvt3")</f>
        <v>Hangvt3</v>
      </c>
      <c r="L559" s="68" t="str">
        <f aca="false">IFERROR(__xludf.dummyfunction("""COMPUTED_VALUE"""),"Bùi Vĩnh Thọ")</f>
        <v>Bùi Vĩnh Thọ</v>
      </c>
      <c r="M559" s="71"/>
      <c r="N559" s="77" t="str">
        <f aca="false">IFERROR(__xludf.dummyfunction("""COMPUTED_VALUE"""),"3125,3338")</f>
        <v>3125,3338</v>
      </c>
      <c r="O559" s="73" t="n">
        <f aca="false">IFERROR(__xludf.dummyfunction("""COMPUTED_VALUE"""),167370.174785)</f>
        <v>167370.174785</v>
      </c>
      <c r="P559" s="63" t="n">
        <f aca="false">IFERROR(__xludf.dummyfunction("""COMPUTED_VALUE"""),174785)</f>
        <v>174785</v>
      </c>
      <c r="Q559" s="63"/>
      <c r="R559" s="41"/>
      <c r="S559" s="41"/>
      <c r="T559" s="63"/>
      <c r="U559" s="63"/>
      <c r="V559" s="70" t="n">
        <f aca="false">IFERROR(__xludf.dummyfunction("""COMPUTED_VALUE"""),46325)</f>
        <v>46325</v>
      </c>
      <c r="W559" s="39"/>
      <c r="X559" s="41" t="str">
        <f aca="false">IFERROR(__xludf.dummyfunction("""COMPUTED_VALUE"""),"Phuongdt")</f>
        <v>Phuongdt</v>
      </c>
      <c r="Y559" s="44" t="str">
        <f aca="false">IFERROR(__xludf.dummyfunction("""COMPUTED_VALUE"""),"done")</f>
        <v>done</v>
      </c>
      <c r="Z559" s="57" t="str">
        <f aca="false">IFERROR(__xludf.dummyfunction("""COMPUTED_VALUE"""),"#N/A")</f>
        <v>#N/A</v>
      </c>
      <c r="AA559" s="57"/>
      <c r="AB559" s="41" t="n">
        <f aca="false">IFERROR(__xludf.dummyfunction("""COMPUTED_VALUE"""),10)</f>
        <v>10</v>
      </c>
      <c r="AC559" s="57" t="str">
        <f aca="false">IFERROR(__xludf.dummyfunction("""COMPUTED_VALUE"""),"gv.anvtq@hocmai.edu.vn ")</f>
        <v>gv.anvtq@hocmai.edu.vn </v>
      </c>
      <c r="AD559" s="46" t="str">
        <f aca="false">IFERROR(__xludf.dummyfunction("""COMPUTED_VALUE"""),"vinhtho0704@gmail.com")</f>
        <v>vinhtho0704@gmail.com</v>
      </c>
      <c r="AE559" s="46"/>
      <c r="AF559" s="74" t="b">
        <f aca="false">IFERROR(__xludf.dummyfunction("""COMPUTED_VALUE"""),FALSE())</f>
        <v>0</v>
      </c>
      <c r="AG559" s="46" t="str">
        <f aca="false">IFERROR(__xludf.dummyfunction("""COMPUTED_VALUE"""),"")</f>
        <v/>
      </c>
      <c r="AH559" s="46"/>
      <c r="AI559" s="46"/>
      <c r="AJ559" s="46"/>
      <c r="AK559" s="46"/>
      <c r="AL559" s="46"/>
      <c r="AM559" s="81" t="b">
        <f aca="false">IFERROR(__xludf.dummyfunction("""COMPUTED_VALUE"""),TRUE())</f>
        <v>1</v>
      </c>
      <c r="AN559" s="81" t="b">
        <f aca="false">IFERROR(__xludf.dummyfunction("""COMPUTED_VALUE"""),TRUE())</f>
        <v>1</v>
      </c>
      <c r="AO559" s="46"/>
    </row>
    <row r="560" customFormat="false" ht="15.75" hidden="false" customHeight="true" outlineLevel="0" collapsed="false">
      <c r="A560" s="37" t="str">
        <f aca="false">IFERROR(__xludf.dummyfunction("""COMPUTED_VALUE"""),"Địa lí")</f>
        <v>Địa lí</v>
      </c>
      <c r="B560" s="37" t="str">
        <f aca="false">IFERROR(__xludf.dummyfunction("""COMPUTED_VALUE"""),"TOV_HSA_ĐL16")</f>
        <v>TOV_HSA_ĐL16</v>
      </c>
      <c r="C560" s="59" t="str">
        <f aca="false">IFERROR(__xludf.dummyfunction("""COMPUTED_VALUE"""),"Khai thác thế mạnh ở Trung du và miền múi phía Bắc. Đồng bằng sông Cửu Long")</f>
        <v>Khai thác thế mạnh ở Trung du và miền múi phía Bắc. Đồng bằng sông Cửu Long</v>
      </c>
      <c r="D560" s="39" t="str">
        <f aca="false">IFERROR(__xludf.dummyfunction("""COMPUTED_VALUE"""),"Nguyễn Văn Vinh")</f>
        <v>Nguyễn Văn Vinh</v>
      </c>
      <c r="E560" s="40" t="n">
        <f aca="false">IFERROR(__xludf.dummyfunction("""COMPUTED_VALUE"""),46322)</f>
        <v>46322</v>
      </c>
      <c r="F560" s="41" t="n">
        <f aca="false">IFERROR(__xludf.dummyfunction("""COMPUTED_VALUE"""),3)</f>
        <v>3</v>
      </c>
      <c r="G560" s="37" t="str">
        <f aca="false">IFERROR(__xludf.dummyfunction("""COMPUTED_VALUE"""),"18:30-20:30")</f>
        <v>18:30-20:30</v>
      </c>
      <c r="H560" s="37"/>
      <c r="I560" s="37"/>
      <c r="J560" s="37"/>
      <c r="K560" s="68" t="str">
        <f aca="false">IFERROR(__xludf.dummyfunction("""COMPUTED_VALUE"""),"Trinhntt")</f>
        <v>Trinhntt</v>
      </c>
      <c r="L560" s="68" t="str">
        <f aca="false">IFERROR(__xludf.dummyfunction("""COMPUTED_VALUE"""),"Phan Đức Kiên")</f>
        <v>Phan Đức Kiên</v>
      </c>
      <c r="M560" s="71"/>
      <c r="N560" s="77" t="str">
        <f aca="false">IFERROR(__xludf.dummyfunction("""COMPUTED_VALUE"""),"3123")</f>
        <v>3123</v>
      </c>
      <c r="O560" s="63" t="n">
        <f aca="false">IFERROR(__xludf.dummyfunction("""COMPUTED_VALUE"""),174762)</f>
        <v>174762</v>
      </c>
      <c r="P560" s="63"/>
      <c r="Q560" s="63" t="n">
        <f aca="false">IFERROR(__xludf.dummyfunction("""COMPUTED_VALUE"""),174762)</f>
        <v>174762</v>
      </c>
      <c r="R560" s="41"/>
      <c r="S560" s="41"/>
      <c r="T560" s="63"/>
      <c r="U560" s="63"/>
      <c r="V560" s="70" t="n">
        <f aca="false">IFERROR(__xludf.dummyfunction("""COMPUTED_VALUE"""),46325)</f>
        <v>46325</v>
      </c>
      <c r="W560" s="39"/>
      <c r="X560" s="41" t="str">
        <f aca="false">IFERROR(__xludf.dummyfunction("""COMPUTED_VALUE"""),"Huent7")</f>
        <v>Huent7</v>
      </c>
      <c r="Y560" s="44"/>
      <c r="Z560" s="57" t="str">
        <f aca="false">IFERROR(__xludf.dummyfunction("""COMPUTED_VALUE"""),"#N/A")</f>
        <v>#N/A</v>
      </c>
      <c r="AA560" s="57"/>
      <c r="AB560" s="41"/>
      <c r="AC560" s="57" t="str">
        <f aca="false">IFERROR(__xludf.dummyfunction("""COMPUTED_VALUE"""),"gv.vinhnv@hocmai.edu.vn")</f>
        <v>gv.vinhnv@hocmai.edu.vn</v>
      </c>
      <c r="AD560" s="46" t="str">
        <f aca="false">IFERROR(__xludf.dummyfunction("""COMPUTED_VALUE"""),"duckien010607@gmail.com")</f>
        <v>duckien010607@gmail.com</v>
      </c>
      <c r="AE560" s="46"/>
      <c r="AF560" s="74" t="b">
        <f aca="false">IFERROR(__xludf.dummyfunction("""COMPUTED_VALUE"""),FALSE())</f>
        <v>0</v>
      </c>
      <c r="AG560" s="46" t="str">
        <f aca="false">IFERROR(__xludf.dummyfunction("""COMPUTED_VALUE"""),"")</f>
        <v/>
      </c>
      <c r="AH560" s="46"/>
      <c r="AI560" s="46"/>
      <c r="AJ560" s="81" t="b">
        <f aca="false">IFERROR(__xludf.dummyfunction("""COMPUTED_VALUE"""),TRUE())</f>
        <v>1</v>
      </c>
      <c r="AK560" s="81" t="b">
        <f aca="false">IFERROR(__xludf.dummyfunction("""COMPUTED_VALUE"""),TRUE())</f>
        <v>1</v>
      </c>
      <c r="AL560" s="46"/>
      <c r="AM560" s="46"/>
      <c r="AN560" s="46"/>
      <c r="AO560" s="46"/>
    </row>
    <row r="561" customFormat="false" ht="15.75" hidden="false" customHeight="true" outlineLevel="0" collapsed="false">
      <c r="A561" s="37" t="str">
        <f aca="false">IFERROR(__xludf.dummyfunction("""COMPUTED_VALUE"""),"Định tính")</f>
        <v>Định tính</v>
      </c>
      <c r="B561" s="37" t="str">
        <f aca="false">IFERROR(__xludf.dummyfunction("""COMPUTED_VALUE"""),"TOV_HSA_DT18")</f>
        <v>TOV_HSA_DT18</v>
      </c>
      <c r="C561" s="59" t="str">
        <f aca="false">IFERROR(__xludf.dummyfunction("""COMPUTED_VALUE"""),"Phương pháp xử lý nhóm câu hỏi về giọng điệu, thái độ và quan điểm")</f>
        <v>Phương pháp xử lý nhóm câu hỏi về giọng điệu, thái độ và quan điểm</v>
      </c>
      <c r="D561" s="39" t="str">
        <f aca="false">IFERROR(__xludf.dummyfunction("""COMPUTED_VALUE"""),"Vương Thúy Hằng")</f>
        <v>Vương Thúy Hằng</v>
      </c>
      <c r="E561" s="40" t="n">
        <f aca="false">IFERROR(__xludf.dummyfunction("""COMPUTED_VALUE"""),46323)</f>
        <v>46323</v>
      </c>
      <c r="F561" s="41" t="n">
        <f aca="false">IFERROR(__xludf.dummyfunction("""COMPUTED_VALUE"""),4)</f>
        <v>4</v>
      </c>
      <c r="G561" s="37" t="str">
        <f aca="false">IFERROR(__xludf.dummyfunction("""COMPUTED_VALUE"""),"21:00-23:00")</f>
        <v>21:00-23:00</v>
      </c>
      <c r="H561" s="37"/>
      <c r="I561" s="37"/>
      <c r="J561" s="37"/>
      <c r="K561" s="68" t="str">
        <f aca="false">IFERROR(__xludf.dummyfunction("""COMPUTED_VALUE"""),"Hangvt3")</f>
        <v>Hangvt3</v>
      </c>
      <c r="L561" s="68" t="str">
        <f aca="false">IFERROR(__xludf.dummyfunction("""COMPUTED_VALUE"""),"Kiều Bảo Minh")</f>
        <v>Kiều Bảo Minh</v>
      </c>
      <c r="M561" s="71"/>
      <c r="N561" s="77" t="str">
        <f aca="false">IFERROR(__xludf.dummyfunction("""COMPUTED_VALUE"""),"3118")</f>
        <v>3118</v>
      </c>
      <c r="O561" s="63" t="n">
        <f aca="false">IFERROR(__xludf.dummyfunction("""COMPUTED_VALUE"""),167307)</f>
        <v>167307</v>
      </c>
      <c r="P561" s="63"/>
      <c r="Q561" s="63"/>
      <c r="R561" s="41"/>
      <c r="S561" s="41"/>
      <c r="T561" s="63"/>
      <c r="U561" s="63"/>
      <c r="V561" s="70" t="n">
        <f aca="false">IFERROR(__xludf.dummyfunction("""COMPUTED_VALUE"""),46326)</f>
        <v>46326</v>
      </c>
      <c r="W561" s="39"/>
      <c r="X561" s="41" t="str">
        <f aca="false">IFERROR(__xludf.dummyfunction("""COMPUTED_VALUE"""),"Phuongdt")</f>
        <v>Phuongdt</v>
      </c>
      <c r="Y561" s="44" t="str">
        <f aca="false">IFERROR(__xludf.dummyfunction("""COMPUTED_VALUE"""),"done")</f>
        <v>done</v>
      </c>
      <c r="Z561" s="57" t="str">
        <f aca="false">IFERROR(__xludf.dummyfunction("""COMPUTED_VALUE"""),"#N/A")</f>
        <v>#N/A</v>
      </c>
      <c r="AA561" s="57"/>
      <c r="AB561" s="41" t="n">
        <f aca="false">IFERROR(__xludf.dummyfunction("""COMPUTED_VALUE"""),10)</f>
        <v>10</v>
      </c>
      <c r="AC561" s="57" t="str">
        <f aca="false">IFERROR(__xludf.dummyfunction("""COMPUTED_VALUE"""),"gv.hangvt@hocmai.edu.vn ")</f>
        <v>gv.hangvt@hocmai.edu.vn </v>
      </c>
      <c r="AD561" s="46" t="str">
        <f aca="false">IFERROR(__xludf.dummyfunction("""COMPUTED_VALUE"""),"mkieu2662@gmail.com")</f>
        <v>mkieu2662@gmail.com</v>
      </c>
      <c r="AE561" s="46"/>
      <c r="AF561" s="74" t="b">
        <f aca="false">IFERROR(__xludf.dummyfunction("""COMPUTED_VALUE"""),FALSE())</f>
        <v>0</v>
      </c>
      <c r="AG561" s="46" t="str">
        <f aca="false">IFERROR(__xludf.dummyfunction("""COMPUTED_VALUE"""),"")</f>
        <v/>
      </c>
      <c r="AH561" s="46"/>
      <c r="AI561" s="46"/>
      <c r="AJ561" s="81" t="b">
        <f aca="false">IFERROR(__xludf.dummyfunction("""COMPUTED_VALUE"""),TRUE())</f>
        <v>1</v>
      </c>
      <c r="AK561" s="81" t="b">
        <f aca="false">IFERROR(__xludf.dummyfunction("""COMPUTED_VALUE"""),TRUE())</f>
        <v>1</v>
      </c>
      <c r="AL561" s="46"/>
      <c r="AM561" s="46"/>
      <c r="AN561" s="46"/>
      <c r="AO561" s="46"/>
    </row>
    <row r="562" customFormat="false" ht="15.75" hidden="false" customHeight="true" outlineLevel="0" collapsed="false">
      <c r="A562" s="37" t="str">
        <f aca="false">IFERROR(__xludf.dummyfunction("""COMPUTED_VALUE"""),"LG&amp;PTSL")</f>
        <v>LG&amp;PTSL</v>
      </c>
      <c r="B562" s="37" t="str">
        <f aca="false">IFERROR(__xludf.dummyfunction("""COMPUTED_VALUE"""),"TOV_V-ACT_LG03")</f>
        <v>TOV_V-ACT_LG03</v>
      </c>
      <c r="C562" s="59" t="str">
        <f aca="false">IFERROR(__xludf.dummyfunction("""COMPUTED_VALUE"""),"Bài toán logic sử dụng phương pháp lựa chọn tình huống")</f>
        <v>Bài toán logic sử dụng phương pháp lựa chọn tình huống</v>
      </c>
      <c r="D562" s="39" t="str">
        <f aca="false">IFERROR(__xludf.dummyfunction("""COMPUTED_VALUE"""),"Nguyễn Hoài Nam")</f>
        <v>Nguyễn Hoài Nam</v>
      </c>
      <c r="E562" s="40" t="n">
        <f aca="false">IFERROR(__xludf.dummyfunction("""COMPUTED_VALUE"""),46323)</f>
        <v>46323</v>
      </c>
      <c r="F562" s="41" t="n">
        <f aca="false">IFERROR(__xludf.dummyfunction("""COMPUTED_VALUE"""),4)</f>
        <v>4</v>
      </c>
      <c r="G562" s="37" t="str">
        <f aca="false">IFERROR(__xludf.dummyfunction("""COMPUTED_VALUE"""),"21:00-22:30")</f>
        <v>21:00-22:30</v>
      </c>
      <c r="H562" s="37"/>
      <c r="I562" s="37"/>
      <c r="J562" s="37"/>
      <c r="K562" s="68" t="str">
        <f aca="false">IFERROR(__xludf.dummyfunction("""COMPUTED_VALUE"""),"Lent")</f>
        <v>Lent</v>
      </c>
      <c r="L562" s="68" t="str">
        <f aca="false">IFERROR(__xludf.dummyfunction("""COMPUTED_VALUE"""),"Lường Nhật Nam")</f>
        <v>Lường Nhật Nam</v>
      </c>
      <c r="M562" s="71"/>
      <c r="N562" s="77" t="str">
        <f aca="false">IFERROR(__xludf.dummyfunction("""COMPUTED_VALUE"""),"3126,3340,3316")</f>
        <v>3126,3340,3316</v>
      </c>
      <c r="O562" s="73" t="str">
        <f aca="false">IFERROR(__xludf.dummyfunction("""COMPUTED_VALUE"""),"174798,174794,166881")</f>
        <v>174798,174794,166881</v>
      </c>
      <c r="P562" s="63" t="n">
        <f aca="false">IFERROR(__xludf.dummyfunction("""COMPUTED_VALUE"""),9045.9108)</f>
        <v>9045.9108</v>
      </c>
      <c r="Q562" s="63"/>
      <c r="R562" s="41"/>
      <c r="S562" s="41"/>
      <c r="T562" s="63"/>
      <c r="U562" s="63"/>
      <c r="V562" s="70" t="n">
        <f aca="false">IFERROR(__xludf.dummyfunction("""COMPUTED_VALUE"""),46326)</f>
        <v>46326</v>
      </c>
      <c r="W562" s="39"/>
      <c r="X562" s="41" t="str">
        <f aca="false">IFERROR(__xludf.dummyfunction("""COMPUTED_VALUE"""),"Lent")</f>
        <v>Lent</v>
      </c>
      <c r="Y562" s="44"/>
      <c r="Z562" s="57" t="str">
        <f aca="false">IFERROR(__xludf.dummyfunction("""COMPUTED_VALUE"""),"#N/A")</f>
        <v>#N/A</v>
      </c>
      <c r="AA562" s="57"/>
      <c r="AB562" s="41" t="n">
        <f aca="false">IFERROR(__xludf.dummyfunction("""COMPUTED_VALUE"""),10)</f>
        <v>10</v>
      </c>
      <c r="AC562" s="57" t="str">
        <f aca="false">IFERROR(__xludf.dummyfunction("""COMPUTED_VALUE"""),"gv.namnh@hocmai.edu.vn ")</f>
        <v>gv.namnh@hocmai.edu.vn </v>
      </c>
      <c r="AD562" s="46" t="str">
        <f aca="false">IFERROR(__xludf.dummyfunction("""COMPUTED_VALUE"""),"nhatnam1092@gmail.com")</f>
        <v>nhatnam1092@gmail.com</v>
      </c>
      <c r="AE562" s="46"/>
      <c r="AF562" s="74" t="b">
        <f aca="false">IFERROR(__xludf.dummyfunction("""COMPUTED_VALUE"""),FALSE())</f>
        <v>0</v>
      </c>
      <c r="AG562" s="46" t="str">
        <f aca="false">IFERROR(__xludf.dummyfunction("""COMPUTED_VALUE"""),"")</f>
        <v/>
      </c>
      <c r="AH562" s="46"/>
      <c r="AI562" s="46"/>
      <c r="AJ562" s="46"/>
      <c r="AK562" s="46"/>
      <c r="AL562" s="46"/>
      <c r="AM562" s="81" t="b">
        <f aca="false">IFERROR(__xludf.dummyfunction("""COMPUTED_VALUE"""),TRUE())</f>
        <v>1</v>
      </c>
      <c r="AN562" s="46"/>
      <c r="AO562" s="46"/>
    </row>
    <row r="563" customFormat="false" ht="15.75" hidden="false" customHeight="true" outlineLevel="0" collapsed="false">
      <c r="A563" s="37" t="str">
        <f aca="false">IFERROR(__xludf.dummyfunction("""COMPUTED_VALUE"""),"Ngữ văn")</f>
        <v>Ngữ văn</v>
      </c>
      <c r="B563" s="37" t="str">
        <f aca="false">IFERROR(__xludf.dummyfunction("""COMPUTED_VALUE"""),"TOV_TNTHPT_NV10")</f>
        <v>TOV_TNTHPT_NV10</v>
      </c>
      <c r="C563" s="59" t="str">
        <f aca="false">IFERROR(__xludf.dummyfunction("""COMPUTED_VALUE"""),"Hướng dẫn viết bài nghị luận văn học")</f>
        <v>Hướng dẫn viết bài nghị luận văn học</v>
      </c>
      <c r="D563" s="39" t="str">
        <f aca="false">IFERROR(__xludf.dummyfunction("""COMPUTED_VALUE"""),"Phạm Hữu Cường")</f>
        <v>Phạm Hữu Cường</v>
      </c>
      <c r="E563" s="40" t="n">
        <f aca="false">IFERROR(__xludf.dummyfunction("""COMPUTED_VALUE"""),46323)</f>
        <v>46323</v>
      </c>
      <c r="F563" s="41" t="n">
        <f aca="false">IFERROR(__xludf.dummyfunction("""COMPUTED_VALUE"""),4)</f>
        <v>4</v>
      </c>
      <c r="G563" s="37" t="str">
        <f aca="false">IFERROR(__xludf.dummyfunction("""COMPUTED_VALUE"""),"21:00-23:00")</f>
        <v>21:00-23:00</v>
      </c>
      <c r="H563" s="37"/>
      <c r="I563" s="37"/>
      <c r="J563" s="37"/>
      <c r="K563" s="68" t="str">
        <f aca="false">IFERROR(__xludf.dummyfunction("""COMPUTED_VALUE"""),"Hangvt3")</f>
        <v>Hangvt3</v>
      </c>
      <c r="L563" s="68" t="str">
        <f aca="false">IFERROR(__xludf.dummyfunction("""COMPUTED_VALUE"""),"Trần Đức Lương")</f>
        <v>Trần Đức Lương</v>
      </c>
      <c r="M563" s="71"/>
      <c r="N563" s="77" t="str">
        <f aca="false">IFERROR(__xludf.dummyfunction("""COMPUTED_VALUE"""),"3128")</f>
        <v>3128</v>
      </c>
      <c r="O563" s="63" t="n">
        <f aca="false">IFERROR(__xludf.dummyfunction("""COMPUTED_VALUE"""),167567)</f>
        <v>167567</v>
      </c>
      <c r="P563" s="63"/>
      <c r="Q563" s="63"/>
      <c r="R563" s="41"/>
      <c r="S563" s="41"/>
      <c r="T563" s="63"/>
      <c r="U563" s="63"/>
      <c r="V563" s="70" t="n">
        <f aca="false">IFERROR(__xludf.dummyfunction("""COMPUTED_VALUE"""),46326)</f>
        <v>46326</v>
      </c>
      <c r="W563" s="39"/>
      <c r="X563" s="41" t="str">
        <f aca="false">IFERROR(__xludf.dummyfunction("""COMPUTED_VALUE"""),"Phuongdt")</f>
        <v>Phuongdt</v>
      </c>
      <c r="Y563" s="44"/>
      <c r="Z563" s="57" t="str">
        <f aca="false">IFERROR(__xludf.dummyfunction("""COMPUTED_VALUE"""),"#N/A")</f>
        <v>#N/A</v>
      </c>
      <c r="AA563" s="57"/>
      <c r="AB563" s="41" t="n">
        <f aca="false">IFERROR(__xludf.dummyfunction("""COMPUTED_VALUE"""),10)</f>
        <v>10</v>
      </c>
      <c r="AC563" s="57" t="str">
        <f aca="false">IFERROR(__xludf.dummyfunction("""COMPUTED_VALUE"""),"gv.cuongph@hocmai.edu.vn ")</f>
        <v>gv.cuongph@hocmai.edu.vn </v>
      </c>
      <c r="AD563" s="46" t="str">
        <f aca="false">IFERROR(__xludf.dummyfunction("""COMPUTED_VALUE"""),"ss.hsa01@ctv.hocmai.vn")</f>
        <v>ss.hsa01@ctv.hocmai.vn</v>
      </c>
      <c r="AE563" s="46"/>
      <c r="AF563" s="74" t="b">
        <f aca="false">IFERROR(__xludf.dummyfunction("""COMPUTED_VALUE"""),FALSE())</f>
        <v>0</v>
      </c>
      <c r="AG563" s="46" t="str">
        <f aca="false">IFERROR(__xludf.dummyfunction("""COMPUTED_VALUE"""),"")</f>
        <v/>
      </c>
      <c r="AH563" s="46"/>
      <c r="AI563" s="46"/>
      <c r="AJ563" s="46"/>
      <c r="AK563" s="46"/>
      <c r="AL563" s="81" t="b">
        <f aca="false">IFERROR(__xludf.dummyfunction("""COMPUTED_VALUE"""),TRUE())</f>
        <v>1</v>
      </c>
      <c r="AM563" s="46"/>
      <c r="AN563" s="46"/>
      <c r="AO563" s="46"/>
    </row>
    <row r="564" customFormat="false" ht="15.75" hidden="false" customHeight="true" outlineLevel="0" collapsed="false">
      <c r="A564" s="37" t="str">
        <f aca="false">IFERROR(__xludf.dummyfunction("""COMPUTED_VALUE"""),"Vật lí")</f>
        <v>Vật lí</v>
      </c>
      <c r="B564" s="37" t="str">
        <f aca="false">IFERROR(__xludf.dummyfunction("""COMPUTED_VALUE"""),"TOV_TSA_L19")</f>
        <v>TOV_TSA_L19</v>
      </c>
      <c r="C564" s="59" t="str">
        <f aca="false">IFERROR(__xludf.dummyfunction("""COMPUTED_VALUE"""),"Phương pháp xử lí dạng ngữ liệu Biểu diễn dữ liệu")</f>
        <v>Phương pháp xử lí dạng ngữ liệu Biểu diễn dữ liệu</v>
      </c>
      <c r="D564" s="39" t="str">
        <f aca="false">IFERROR(__xludf.dummyfunction("""COMPUTED_VALUE"""),"Thiều Thị Dung")</f>
        <v>Thiều Thị Dung</v>
      </c>
      <c r="E564" s="40" t="n">
        <f aca="false">IFERROR(__xludf.dummyfunction("""COMPUTED_VALUE"""),46324)</f>
        <v>46324</v>
      </c>
      <c r="F564" s="41" t="n">
        <f aca="false">IFERROR(__xludf.dummyfunction("""COMPUTED_VALUE"""),5)</f>
        <v>5</v>
      </c>
      <c r="G564" s="37" t="str">
        <f aca="false">IFERROR(__xludf.dummyfunction("""COMPUTED_VALUE"""),"21:00-23:00")</f>
        <v>21:00-23:00</v>
      </c>
      <c r="H564" s="37"/>
      <c r="I564" s="37"/>
      <c r="J564" s="37"/>
      <c r="K564" s="68" t="str">
        <f aca="false">IFERROR(__xludf.dummyfunction("""COMPUTED_VALUE"""),"Trangnth2")</f>
        <v>Trangnth2</v>
      </c>
      <c r="L564" s="68" t="str">
        <f aca="false">IFERROR(__xludf.dummyfunction("""COMPUTED_VALUE"""),"Trần Đức Lương")</f>
        <v>Trần Đức Lương</v>
      </c>
      <c r="M564" s="71"/>
      <c r="N564" s="77" t="str">
        <f aca="false">IFERROR(__xludf.dummyfunction("""COMPUTED_VALUE"""),"3110")</f>
        <v>3110</v>
      </c>
      <c r="O564" s="63" t="n">
        <f aca="false">IFERROR(__xludf.dummyfunction("""COMPUTED_VALUE"""),167283)</f>
        <v>167283</v>
      </c>
      <c r="P564" s="63"/>
      <c r="Q564" s="63"/>
      <c r="R564" s="41"/>
      <c r="S564" s="41"/>
      <c r="T564" s="63"/>
      <c r="U564" s="63"/>
      <c r="V564" s="70" t="n">
        <f aca="false">IFERROR(__xludf.dummyfunction("""COMPUTED_VALUE"""),46327)</f>
        <v>46327</v>
      </c>
      <c r="W564" s="39"/>
      <c r="X564" s="41" t="str">
        <f aca="false">IFERROR(__xludf.dummyfunction("""COMPUTED_VALUE"""),"Trangnth2")</f>
        <v>Trangnth2</v>
      </c>
      <c r="Y564" s="44"/>
      <c r="Z564" s="57" t="str">
        <f aca="false">IFERROR(__xludf.dummyfunction("""COMPUTED_VALUE"""),"#N/A")</f>
        <v>#N/A</v>
      </c>
      <c r="AA564" s="57"/>
      <c r="AB564" s="41" t="n">
        <f aca="false">IFERROR(__xludf.dummyfunction("""COMPUTED_VALUE"""),10)</f>
        <v>10</v>
      </c>
      <c r="AC564" s="57" t="str">
        <f aca="false">IFERROR(__xludf.dummyfunction("""COMPUTED_VALUE"""),"dungtt2@hocmai.vn                ")</f>
        <v>dungtt2@hocmai.vn                </v>
      </c>
      <c r="AD564" s="46" t="str">
        <f aca="false">IFERROR(__xludf.dummyfunction("""COMPUTED_VALUE"""),"ss.hsa01@ctv.hocmai.vn")</f>
        <v>ss.hsa01@ctv.hocmai.vn</v>
      </c>
      <c r="AE564" s="46"/>
      <c r="AF564" s="74" t="b">
        <f aca="false">IFERROR(__xludf.dummyfunction("""COMPUTED_VALUE"""),FALSE())</f>
        <v>0</v>
      </c>
      <c r="AG564" s="46" t="str">
        <f aca="false">IFERROR(__xludf.dummyfunction("""COMPUTED_VALUE"""),"")</f>
        <v/>
      </c>
      <c r="AH564" s="46"/>
      <c r="AI564" s="81" t="b">
        <f aca="false">IFERROR(__xludf.dummyfunction("""COMPUTED_VALUE"""),TRUE())</f>
        <v>1</v>
      </c>
      <c r="AJ564" s="46"/>
      <c r="AK564" s="46"/>
      <c r="AL564" s="46"/>
      <c r="AM564" s="46"/>
      <c r="AN564" s="46"/>
      <c r="AO564" s="46"/>
    </row>
    <row r="565" customFormat="false" ht="15.75" hidden="false" customHeight="true" outlineLevel="0" collapsed="false">
      <c r="A565" s="37" t="str">
        <f aca="false">IFERROR(__xludf.dummyfunction("""COMPUTED_VALUE"""),"Vật lí")</f>
        <v>Vật lí</v>
      </c>
      <c r="B565" s="37" t="str">
        <f aca="false">IFERROR(__xludf.dummyfunction("""COMPUTED_VALUE"""),"TOV_HT_VL20")</f>
        <v>TOV_HT_VL20</v>
      </c>
      <c r="C565" s="59" t="str">
        <f aca="false">IFERROR(__xludf.dummyfunction("""COMPUTED_VALUE"""),"Ôn tập chủ đề Từ trường – Vật lí hạt nhân")</f>
        <v>Ôn tập chủ đề Từ trường – Vật lí hạt nhân</v>
      </c>
      <c r="D565" s="39" t="str">
        <f aca="false">IFERROR(__xludf.dummyfunction("""COMPUTED_VALUE"""),"Nguyễn Hữu Tình")</f>
        <v>Nguyễn Hữu Tình</v>
      </c>
      <c r="E565" s="40" t="n">
        <f aca="false">IFERROR(__xludf.dummyfunction("""COMPUTED_VALUE"""),46324)</f>
        <v>46324</v>
      </c>
      <c r="F565" s="41" t="n">
        <f aca="false">IFERROR(__xludf.dummyfunction("""COMPUTED_VALUE"""),5)</f>
        <v>5</v>
      </c>
      <c r="G565" s="37" t="str">
        <f aca="false">IFERROR(__xludf.dummyfunction("""COMPUTED_VALUE"""),"21:00-23:00")</f>
        <v>21:00-23:00</v>
      </c>
      <c r="H565" s="37"/>
      <c r="I565" s="37"/>
      <c r="J565" s="37"/>
      <c r="K565" s="68" t="str">
        <f aca="false">IFERROR(__xludf.dummyfunction("""COMPUTED_VALUE"""),"Trangnth2")</f>
        <v>Trangnth2</v>
      </c>
      <c r="L565" s="68" t="str">
        <f aca="false">IFERROR(__xludf.dummyfunction("""COMPUTED_VALUE"""),"Kiều Bảo Minh")</f>
        <v>Kiều Bảo Minh</v>
      </c>
      <c r="M565" s="71"/>
      <c r="N565" s="80" t="str">
        <f aca="false">IFERROR(__xludf.dummyfunction("""COMPUTED_VALUE"""),"3119,3130")</f>
        <v>3119,3130</v>
      </c>
      <c r="O565" s="73" t="n">
        <f aca="false">IFERROR(__xludf.dummyfunction("""COMPUTED_VALUE"""),167535.167582)</f>
        <v>167535.167582</v>
      </c>
      <c r="P565" s="63" t="str">
        <f aca="false">IFERROR(__xludf.dummyfunction("""COMPUTED_VALUE"""),"9031,9039,9020")</f>
        <v>9031,9039,9020</v>
      </c>
      <c r="Q565" s="63"/>
      <c r="R565" s="41"/>
      <c r="S565" s="41"/>
      <c r="T565" s="63"/>
      <c r="U565" s="63" t="n">
        <f aca="false">IFERROR(__xludf.dummyfunction("""COMPUTED_VALUE"""),10476)</f>
        <v>10476</v>
      </c>
      <c r="V565" s="70" t="n">
        <f aca="false">IFERROR(__xludf.dummyfunction("""COMPUTED_VALUE"""),46327)</f>
        <v>46327</v>
      </c>
      <c r="W565" s="39"/>
      <c r="X565" s="41" t="str">
        <f aca="false">IFERROR(__xludf.dummyfunction("""COMPUTED_VALUE"""),"Trangnth2")</f>
        <v>Trangnth2</v>
      </c>
      <c r="Y565" s="44"/>
      <c r="Z565" s="57" t="str">
        <f aca="false">IFERROR(__xludf.dummyfunction("""COMPUTED_VALUE"""),"#N/A")</f>
        <v>#N/A</v>
      </c>
      <c r="AA565" s="57"/>
      <c r="AB565" s="41" t="n">
        <f aca="false">IFERROR(__xludf.dummyfunction("""COMPUTED_VALUE"""),10)</f>
        <v>10</v>
      </c>
      <c r="AC565" s="57" t="str">
        <f aca="false">IFERROR(__xludf.dummyfunction("""COMPUTED_VALUE"""),"gv.tinhnh@hocmai.edu.vn ")</f>
        <v>gv.tinhnh@hocmai.edu.vn </v>
      </c>
      <c r="AD565" s="46" t="str">
        <f aca="false">IFERROR(__xludf.dummyfunction("""COMPUTED_VALUE"""),"mkieu2662@gmail.com")</f>
        <v>mkieu2662@gmail.com</v>
      </c>
      <c r="AE565" s="46"/>
      <c r="AF565" s="74" t="b">
        <f aca="false">IFERROR(__xludf.dummyfunction("""COMPUTED_VALUE"""),FALSE())</f>
        <v>0</v>
      </c>
      <c r="AG565" s="46" t="str">
        <f aca="false">IFERROR(__xludf.dummyfunction("""COMPUTED_VALUE"""),"")</f>
        <v/>
      </c>
      <c r="AH565" s="46"/>
      <c r="AI565" s="46"/>
      <c r="AJ565" s="81" t="b">
        <f aca="false">IFERROR(__xludf.dummyfunction("""COMPUTED_VALUE"""),TRUE())</f>
        <v>1</v>
      </c>
      <c r="AK565" s="81" t="b">
        <f aca="false">IFERROR(__xludf.dummyfunction("""COMPUTED_VALUE"""),TRUE())</f>
        <v>1</v>
      </c>
      <c r="AL565" s="81" t="b">
        <f aca="false">IFERROR(__xludf.dummyfunction("""COMPUTED_VALUE"""),TRUE())</f>
        <v>1</v>
      </c>
      <c r="AM565" s="46"/>
      <c r="AN565" s="46"/>
      <c r="AO565" s="46"/>
    </row>
    <row r="566" customFormat="false" ht="15.75" hidden="false" customHeight="true" outlineLevel="0" collapsed="false">
      <c r="A566" s="37" t="str">
        <f aca="false">IFERROR(__xludf.dummyfunction("""COMPUTED_VALUE"""),"Toán")</f>
        <v>Toán</v>
      </c>
      <c r="B566" s="37" t="str">
        <f aca="false">IFERROR(__xludf.dummyfunction("""COMPUTED_VALUE"""),"TOA_V-ACT_T19")</f>
        <v>TOA_V-ACT_T19</v>
      </c>
      <c r="C566" s="59" t="str">
        <f aca="false">IFERROR(__xludf.dummyfunction("""COMPUTED_VALUE"""),"Phương pháp, kĩ năng xử lí các bài toán về hình học Oxyz (P1)")</f>
        <v>Phương pháp, kĩ năng xử lí các bài toán về hình học Oxyz (P1)</v>
      </c>
      <c r="D566" s="39" t="str">
        <f aca="false">IFERROR(__xludf.dummyfunction("""COMPUTED_VALUE"""),"Nguyễn Hoài Nam")</f>
        <v>Nguyễn Hoài Nam</v>
      </c>
      <c r="E566" s="40" t="n">
        <f aca="false">IFERROR(__xludf.dummyfunction("""COMPUTED_VALUE"""),46324)</f>
        <v>46324</v>
      </c>
      <c r="F566" s="41" t="n">
        <f aca="false">IFERROR(__xludf.dummyfunction("""COMPUTED_VALUE"""),5)</f>
        <v>5</v>
      </c>
      <c r="G566" s="37" t="str">
        <f aca="false">IFERROR(__xludf.dummyfunction("""COMPUTED_VALUE"""),"21:00-22:30")</f>
        <v>21:00-22:30</v>
      </c>
      <c r="H566" s="37"/>
      <c r="I566" s="37"/>
      <c r="J566" s="37"/>
      <c r="K566" s="68" t="str">
        <f aca="false">IFERROR(__xludf.dummyfunction("""COMPUTED_VALUE"""),"Lent")</f>
        <v>Lent</v>
      </c>
      <c r="L566" s="68" t="str">
        <f aca="false">IFERROR(__xludf.dummyfunction("""COMPUTED_VALUE"""),"Lường Nhật Nam")</f>
        <v>Lường Nhật Nam</v>
      </c>
      <c r="M566" s="71"/>
      <c r="N566" s="77" t="str">
        <f aca="false">IFERROR(__xludf.dummyfunction("""COMPUTED_VALUE"""),"3124,3316")</f>
        <v>3124,3316</v>
      </c>
      <c r="O566" s="73" t="n">
        <f aca="false">IFERROR(__xludf.dummyfunction("""COMPUTED_VALUE"""),167218.166873)</f>
        <v>167218.166873</v>
      </c>
      <c r="P566" s="63" t="n">
        <f aca="false">IFERROR(__xludf.dummyfunction("""COMPUTED_VALUE"""),9044.9108)</f>
        <v>9044.9108</v>
      </c>
      <c r="Q566" s="63" t="n">
        <f aca="false">IFERROR(__xludf.dummyfunction("""COMPUTED_VALUE"""),167218)</f>
        <v>167218</v>
      </c>
      <c r="R566" s="41" t="n">
        <f aca="false">IFERROR(__xludf.dummyfunction("""COMPUTED_VALUE"""),166873)</f>
        <v>166873</v>
      </c>
      <c r="S566" s="41"/>
      <c r="T566" s="63"/>
      <c r="U566" s="63"/>
      <c r="V566" s="70" t="n">
        <f aca="false">IFERROR(__xludf.dummyfunction("""COMPUTED_VALUE"""),46327)</f>
        <v>46327</v>
      </c>
      <c r="W566" s="39"/>
      <c r="X566" s="41" t="str">
        <f aca="false">IFERROR(__xludf.dummyfunction("""COMPUTED_VALUE"""),"Lent")</f>
        <v>Lent</v>
      </c>
      <c r="Y566" s="44" t="str">
        <f aca="false">IFERROR(__xludf.dummyfunction("""COMPUTED_VALUE"""),"done")</f>
        <v>done</v>
      </c>
      <c r="Z566" s="57" t="str">
        <f aca="false">IFERROR(__xludf.dummyfunction("""COMPUTED_VALUE"""),"#N/A")</f>
        <v>#N/A</v>
      </c>
      <c r="AA566" s="57"/>
      <c r="AB566" s="41" t="n">
        <f aca="false">IFERROR(__xludf.dummyfunction("""COMPUTED_VALUE"""),10)</f>
        <v>10</v>
      </c>
      <c r="AC566" s="57" t="str">
        <f aca="false">IFERROR(__xludf.dummyfunction("""COMPUTED_VALUE"""),"gv.namnh@hocmai.edu.vn ")</f>
        <v>gv.namnh@hocmai.edu.vn </v>
      </c>
      <c r="AD566" s="46" t="str">
        <f aca="false">IFERROR(__xludf.dummyfunction("""COMPUTED_VALUE"""),"nhatnam1092@gmail.com")</f>
        <v>nhatnam1092@gmail.com</v>
      </c>
      <c r="AE566" s="46"/>
      <c r="AF566" s="47" t="str">
        <f aca="false">IFERROR(__xludf.dummyfunction("""COMPUTED_VALUE"""),"lophoctoan-946324")</f>
        <v>lophoctoan-946324</v>
      </c>
      <c r="AG566" s="46" t="str">
        <f aca="false">IFERROR(__xludf.dummyfunction("""COMPUTED_VALUE"""),"")</f>
        <v/>
      </c>
      <c r="AH566" s="46"/>
      <c r="AI566" s="46"/>
      <c r="AJ566" s="46"/>
      <c r="AK566" s="46"/>
      <c r="AL566" s="46"/>
      <c r="AM566" s="81" t="b">
        <f aca="false">IFERROR(__xludf.dummyfunction("""COMPUTED_VALUE"""),TRUE())</f>
        <v>1</v>
      </c>
      <c r="AN566" s="81" t="b">
        <f aca="false">IFERROR(__xludf.dummyfunction("""COMPUTED_VALUE"""),TRUE())</f>
        <v>1</v>
      </c>
      <c r="AO566" s="46"/>
    </row>
    <row r="567" customFormat="false" ht="15.75" hidden="false" customHeight="true" outlineLevel="0" collapsed="false">
      <c r="A567" s="37" t="str">
        <f aca="false">IFERROR(__xludf.dummyfunction("""COMPUTED_VALUE"""),"Toán")</f>
        <v>Toán</v>
      </c>
      <c r="B567" s="37" t="str">
        <f aca="false">IFERROR(__xludf.dummyfunction("""COMPUTED_VALUE"""),"TOV_TSA_T20")</f>
        <v>TOV_TSA_T20</v>
      </c>
      <c r="C567" s="59" t="str">
        <f aca="false">IFERROR(__xludf.dummyfunction("""COMPUTED_VALUE"""),"Một số công thức giải nhanh cần biết")</f>
        <v>Một số công thức giải nhanh cần biết</v>
      </c>
      <c r="D567" s="39" t="str">
        <f aca="false">IFERROR(__xludf.dummyfunction("""COMPUTED_VALUE"""),"Nguyễn Thanh Tùng")</f>
        <v>Nguyễn Thanh Tùng</v>
      </c>
      <c r="E567" s="40" t="n">
        <f aca="false">IFERROR(__xludf.dummyfunction("""COMPUTED_VALUE"""),46325)</f>
        <v>46325</v>
      </c>
      <c r="F567" s="41" t="n">
        <f aca="false">IFERROR(__xludf.dummyfunction("""COMPUTED_VALUE"""),6)</f>
        <v>6</v>
      </c>
      <c r="G567" s="37" t="str">
        <f aca="false">IFERROR(__xludf.dummyfunction("""COMPUTED_VALUE"""),"18:00-20:00")</f>
        <v>18:00-20:00</v>
      </c>
      <c r="H567" s="37"/>
      <c r="I567" s="37"/>
      <c r="J567" s="37"/>
      <c r="K567" s="68" t="str">
        <f aca="false">IFERROR(__xludf.dummyfunction("""COMPUTED_VALUE"""),"Locdd")</f>
        <v>Locdd</v>
      </c>
      <c r="L567" s="68" t="str">
        <f aca="false">IFERROR(__xludf.dummyfunction("""COMPUTED_VALUE"""),"Tưởng Thị Huyền Trang")</f>
        <v>Tưởng Thị Huyền Trang</v>
      </c>
      <c r="M567" s="71"/>
      <c r="N567" s="77" t="str">
        <f aca="false">IFERROR(__xludf.dummyfunction("""COMPUTED_VALUE"""),"3108")</f>
        <v>3108</v>
      </c>
      <c r="O567" s="63" t="n">
        <f aca="false">IFERROR(__xludf.dummyfunction("""COMPUTED_VALUE"""),168393)</f>
        <v>168393</v>
      </c>
      <c r="P567" s="63"/>
      <c r="Q567" s="63"/>
      <c r="R567" s="41"/>
      <c r="S567" s="41"/>
      <c r="T567" s="63"/>
      <c r="U567" s="63"/>
      <c r="V567" s="70" t="n">
        <f aca="false">IFERROR(__xludf.dummyfunction("""COMPUTED_VALUE"""),46328)</f>
        <v>46328</v>
      </c>
      <c r="W567" s="39"/>
      <c r="X567" s="41" t="str">
        <f aca="false">IFERROR(__xludf.dummyfunction("""COMPUTED_VALUE"""),"Locdd")</f>
        <v>Locdd</v>
      </c>
      <c r="Y567" s="44" t="str">
        <f aca="false">IFERROR(__xludf.dummyfunction("""COMPUTED_VALUE"""),"done")</f>
        <v>done</v>
      </c>
      <c r="Z567" s="57" t="str">
        <f aca="false">IFERROR(__xludf.dummyfunction("""COMPUTED_VALUE"""),"#N/A")</f>
        <v>#N/A</v>
      </c>
      <c r="AA567" s="57"/>
      <c r="AB567" s="41" t="n">
        <f aca="false">IFERROR(__xludf.dummyfunction("""COMPUTED_VALUE"""),10)</f>
        <v>10</v>
      </c>
      <c r="AC567" s="57" t="str">
        <f aca="false">IFERROR(__xludf.dummyfunction("""COMPUTED_VALUE"""),"gv.tungnt@hocmai.edu.vn ")</f>
        <v>gv.tungnt@hocmai.edu.vn </v>
      </c>
      <c r="AD567" s="46" t="str">
        <f aca="false">IFERROR(__xludf.dummyfunction("""COMPUTED_VALUE"""),"trangcrazy699@gmail.com")</f>
        <v>trangcrazy699@gmail.com</v>
      </c>
      <c r="AE567" s="46"/>
      <c r="AF567" s="47" t="str">
        <f aca="false">IFERROR(__xludf.dummyfunction("""COMPUTED_VALUE"""),"lophoctoan-946325")</f>
        <v>lophoctoan-946325</v>
      </c>
      <c r="AG567" s="46" t="str">
        <f aca="false">IFERROR(__xludf.dummyfunction("""COMPUTED_VALUE"""),"")</f>
        <v/>
      </c>
      <c r="AH567" s="46"/>
      <c r="AI567" s="81" t="b">
        <f aca="false">IFERROR(__xludf.dummyfunction("""COMPUTED_VALUE"""),TRUE())</f>
        <v>1</v>
      </c>
      <c r="AJ567" s="46"/>
      <c r="AK567" s="46"/>
      <c r="AL567" s="46"/>
      <c r="AM567" s="46"/>
      <c r="AN567" s="46"/>
      <c r="AO567" s="46"/>
    </row>
    <row r="568" customFormat="false" ht="15.75" hidden="false" customHeight="true" outlineLevel="0" collapsed="false">
      <c r="A568" s="37" t="str">
        <f aca="false">IFERROR(__xludf.dummyfunction("""COMPUTED_VALUE"""),"Sinh học")</f>
        <v>Sinh học</v>
      </c>
      <c r="B568" s="37" t="str">
        <f aca="false">IFERROR(__xludf.dummyfunction("""COMPUTED_VALUE"""),"TOV_HT_SH20")</f>
        <v>TOV_HT_SH20</v>
      </c>
      <c r="C568" s="59" t="str">
        <f aca="false">IFERROR(__xludf.dummyfunction("""COMPUTED_VALUE"""),"Sinh thái II: Hệ sinh thái – Dòng năng lượng – Chu trình vật chất – Bền vững")</f>
        <v>Sinh thái II: Hệ sinh thái – Dòng năng lượng – Chu trình vật chất – Bền vững</v>
      </c>
      <c r="D568" s="39" t="str">
        <f aca="false">IFERROR(__xludf.dummyfunction("""COMPUTED_VALUE"""),"Nguyễn Dương Ánh Hồng")</f>
        <v>Nguyễn Dương Ánh Hồng</v>
      </c>
      <c r="E568" s="40" t="n">
        <f aca="false">IFERROR(__xludf.dummyfunction("""COMPUTED_VALUE"""),46325)</f>
        <v>46325</v>
      </c>
      <c r="F568" s="41" t="n">
        <f aca="false">IFERROR(__xludf.dummyfunction("""COMPUTED_VALUE"""),6)</f>
        <v>6</v>
      </c>
      <c r="G568" s="37" t="str">
        <f aca="false">IFERROR(__xludf.dummyfunction("""COMPUTED_VALUE"""),"19:30-21:30")</f>
        <v>19:30-21:30</v>
      </c>
      <c r="H568" s="37"/>
      <c r="I568" s="37"/>
      <c r="J568" s="37"/>
      <c r="K568" s="68" t="str">
        <f aca="false">IFERROR(__xludf.dummyfunction("""COMPUTED_VALUE"""),"Phuongdt")</f>
        <v>Phuongdt</v>
      </c>
      <c r="L568" s="68" t="str">
        <f aca="false">IFERROR(__xludf.dummyfunction("""COMPUTED_VALUE"""),"Phan Đức Kiên")</f>
        <v>Phan Đức Kiên</v>
      </c>
      <c r="M568" s="71"/>
      <c r="N568" s="77" t="str">
        <f aca="false">IFERROR(__xludf.dummyfunction("""COMPUTED_VALUE"""),"3121,3132")</f>
        <v>3121,3132</v>
      </c>
      <c r="O568" s="73" t="n">
        <f aca="false">IFERROR(__xludf.dummyfunction("""COMPUTED_VALUE"""),167337.167351)</f>
        <v>167337.167351</v>
      </c>
      <c r="P568" s="63" t="str">
        <f aca="false">IFERROR(__xludf.dummyfunction("""COMPUTED_VALUE"""),"9033,9041,9022")</f>
        <v>9033,9041,9022</v>
      </c>
      <c r="Q568" s="63"/>
      <c r="R568" s="41"/>
      <c r="S568" s="41"/>
      <c r="T568" s="63" t="n">
        <f aca="false">IFERROR(__xludf.dummyfunction("""COMPUTED_VALUE"""),23852)</f>
        <v>23852</v>
      </c>
      <c r="U568" s="63"/>
      <c r="V568" s="70" t="n">
        <f aca="false">IFERROR(__xludf.dummyfunction("""COMPUTED_VALUE"""),46328)</f>
        <v>46328</v>
      </c>
      <c r="W568" s="39"/>
      <c r="X568" s="41" t="str">
        <f aca="false">IFERROR(__xludf.dummyfunction("""COMPUTED_VALUE"""),"Phuongdt")</f>
        <v>Phuongdt</v>
      </c>
      <c r="Y568" s="44"/>
      <c r="Z568" s="57" t="str">
        <f aca="false">IFERROR(__xludf.dummyfunction("""COMPUTED_VALUE"""),"#N/A")</f>
        <v>#N/A</v>
      </c>
      <c r="AA568" s="57"/>
      <c r="AB568" s="41" t="n">
        <f aca="false">IFERROR(__xludf.dummyfunction("""COMPUTED_VALUE"""),10)</f>
        <v>10</v>
      </c>
      <c r="AC568" s="57" t="str">
        <f aca="false">IFERROR(__xludf.dummyfunction("""COMPUTED_VALUE"""),"gv.hongnda@hocmai.edu.vn ")</f>
        <v>gv.hongnda@hocmai.edu.vn </v>
      </c>
      <c r="AD568" s="46" t="str">
        <f aca="false">IFERROR(__xludf.dummyfunction("""COMPUTED_VALUE"""),"duckien010607@gmail.com")</f>
        <v>duckien010607@gmail.com</v>
      </c>
      <c r="AE568" s="46"/>
      <c r="AF568" s="74" t="b">
        <f aca="false">IFERROR(__xludf.dummyfunction("""COMPUTED_VALUE"""),FALSE())</f>
        <v>0</v>
      </c>
      <c r="AG568" s="46" t="str">
        <f aca="false">IFERROR(__xludf.dummyfunction("""COMPUTED_VALUE"""),"")</f>
        <v/>
      </c>
      <c r="AH568" s="46"/>
      <c r="AI568" s="46"/>
      <c r="AJ568" s="81" t="b">
        <f aca="false">IFERROR(__xludf.dummyfunction("""COMPUTED_VALUE"""),TRUE())</f>
        <v>1</v>
      </c>
      <c r="AK568" s="81" t="b">
        <f aca="false">IFERROR(__xludf.dummyfunction("""COMPUTED_VALUE"""),TRUE())</f>
        <v>1</v>
      </c>
      <c r="AL568" s="81" t="b">
        <f aca="false">IFERROR(__xludf.dummyfunction("""COMPUTED_VALUE"""),TRUE())</f>
        <v>1</v>
      </c>
      <c r="AM568" s="46"/>
      <c r="AN568" s="46"/>
      <c r="AO568" s="46"/>
    </row>
    <row r="569" customFormat="false" ht="15.75" hidden="false" customHeight="true" outlineLevel="0" collapsed="false">
      <c r="A569" s="37" t="str">
        <f aca="false">IFERROR(__xludf.dummyfunction("""COMPUTED_VALUE"""),"Lịch sử")</f>
        <v>Lịch sử</v>
      </c>
      <c r="B569" s="37" t="str">
        <f aca="false">IFERROR(__xludf.dummyfunction("""COMPUTED_VALUE"""),"TOV_HSA_LS18")</f>
        <v>TOV_HSA_LS18</v>
      </c>
      <c r="C569" s="59" t="str">
        <f aca="false">IFERROR(__xludf.dummyfunction("""COMPUTED_VALUE"""),"Lịch sử đối ngoại Việt Nam thời cận - hiện đại")</f>
        <v>Lịch sử đối ngoại Việt Nam thời cận - hiện đại</v>
      </c>
      <c r="D569" s="39" t="str">
        <f aca="false">IFERROR(__xludf.dummyfunction("""COMPUTED_VALUE"""),"Dương Thị Huyền")</f>
        <v>Dương Thị Huyền</v>
      </c>
      <c r="E569" s="40" t="n">
        <f aca="false">IFERROR(__xludf.dummyfunction("""COMPUTED_VALUE"""),46325)</f>
        <v>46325</v>
      </c>
      <c r="F569" s="41" t="n">
        <f aca="false">IFERROR(__xludf.dummyfunction("""COMPUTED_VALUE"""),6)</f>
        <v>6</v>
      </c>
      <c r="G569" s="37" t="str">
        <f aca="false">IFERROR(__xludf.dummyfunction("""COMPUTED_VALUE"""),"21:30-23:30")</f>
        <v>21:30-23:30</v>
      </c>
      <c r="H569" s="37"/>
      <c r="I569" s="37"/>
      <c r="J569" s="37"/>
      <c r="K569" s="68" t="str">
        <f aca="false">IFERROR(__xludf.dummyfunction("""COMPUTED_VALUE"""),"Trinhntt")</f>
        <v>Trinhntt</v>
      </c>
      <c r="L569" s="68" t="str">
        <f aca="false">IFERROR(__xludf.dummyfunction("""COMPUTED_VALUE"""),"Phan Đức Kiên")</f>
        <v>Phan Đức Kiên</v>
      </c>
      <c r="M569" s="71"/>
      <c r="N569" s="77" t="str">
        <f aca="false">IFERROR(__xludf.dummyfunction("""COMPUTED_VALUE"""),"3122")</f>
        <v>3122</v>
      </c>
      <c r="O569" s="63" t="n">
        <f aca="false">IFERROR(__xludf.dummyfunction("""COMPUTED_VALUE"""),174745)</f>
        <v>174745</v>
      </c>
      <c r="P569" s="63"/>
      <c r="Q569" s="63"/>
      <c r="R569" s="41"/>
      <c r="S569" s="41"/>
      <c r="T569" s="63"/>
      <c r="U569" s="63"/>
      <c r="V569" s="70" t="n">
        <f aca="false">IFERROR(__xludf.dummyfunction("""COMPUTED_VALUE"""),46328)</f>
        <v>46328</v>
      </c>
      <c r="W569" s="39"/>
      <c r="X569" s="41" t="str">
        <f aca="false">IFERROR(__xludf.dummyfunction("""COMPUTED_VALUE"""),"Huent7")</f>
        <v>Huent7</v>
      </c>
      <c r="Y569" s="44"/>
      <c r="Z569" s="57" t="str">
        <f aca="false">IFERROR(__xludf.dummyfunction("""COMPUTED_VALUE"""),"#N/A")</f>
        <v>#N/A</v>
      </c>
      <c r="AA569" s="57"/>
      <c r="AB569" s="41"/>
      <c r="AC569" s="57" t="str">
        <f aca="false">IFERROR(__xludf.dummyfunction("""COMPUTED_VALUE"""),"gv.huyendt2@hocmai.edu.vn")</f>
        <v>gv.huyendt2@hocmai.edu.vn</v>
      </c>
      <c r="AD569" s="46" t="str">
        <f aca="false">IFERROR(__xludf.dummyfunction("""COMPUTED_VALUE"""),"duckien010607@gmail.com")</f>
        <v>duckien010607@gmail.com</v>
      </c>
      <c r="AE569" s="46"/>
      <c r="AF569" s="74" t="b">
        <f aca="false">IFERROR(__xludf.dummyfunction("""COMPUTED_VALUE"""),FALSE())</f>
        <v>0</v>
      </c>
      <c r="AG569" s="46" t="str">
        <f aca="false">IFERROR(__xludf.dummyfunction("""COMPUTED_VALUE"""),"")</f>
        <v/>
      </c>
      <c r="AH569" s="46"/>
      <c r="AI569" s="46"/>
      <c r="AJ569" s="81" t="b">
        <f aca="false">IFERROR(__xludf.dummyfunction("""COMPUTED_VALUE"""),TRUE())</f>
        <v>1</v>
      </c>
      <c r="AK569" s="81" t="b">
        <f aca="false">IFERROR(__xludf.dummyfunction("""COMPUTED_VALUE"""),TRUE())</f>
        <v>1</v>
      </c>
      <c r="AL569" s="46"/>
      <c r="AM569" s="46"/>
      <c r="AN569" s="46"/>
      <c r="AO569" s="46"/>
    </row>
    <row r="570" customFormat="false" ht="15.75" hidden="false" customHeight="true" outlineLevel="0" collapsed="false">
      <c r="A570" s="37" t="str">
        <f aca="false">IFERROR(__xludf.dummyfunction("""COMPUTED_VALUE"""),"Sinh học")</f>
        <v>Sinh học</v>
      </c>
      <c r="B570" s="37" t="str">
        <f aca="false">IFERROR(__xludf.dummyfunction("""COMPUTED_VALUE"""),"TOV_TSA_S10")</f>
        <v>TOV_TSA_S10</v>
      </c>
      <c r="C570" s="59" t="str">
        <f aca="false">IFERROR(__xludf.dummyfunction("""COMPUTED_VALUE"""),"Sinh thái học")</f>
        <v>Sinh thái học</v>
      </c>
      <c r="D570" s="39" t="str">
        <f aca="false">IFERROR(__xludf.dummyfunction("""COMPUTED_VALUE"""),"Vũ Khắc Ngọc")</f>
        <v>Vũ Khắc Ngọc</v>
      </c>
      <c r="E570" s="40" t="n">
        <f aca="false">IFERROR(__xludf.dummyfunction("""COMPUTED_VALUE"""),46326)</f>
        <v>46326</v>
      </c>
      <c r="F570" s="41" t="n">
        <f aca="false">IFERROR(__xludf.dummyfunction("""COMPUTED_VALUE"""),7)</f>
        <v>7</v>
      </c>
      <c r="G570" s="37" t="str">
        <f aca="false">IFERROR(__xludf.dummyfunction("""COMPUTED_VALUE"""),"21:30-23:30")</f>
        <v>21:30-23:30</v>
      </c>
      <c r="H570" s="37"/>
      <c r="I570" s="37"/>
      <c r="J570" s="37"/>
      <c r="K570" s="68" t="str">
        <f aca="false">IFERROR(__xludf.dummyfunction("""COMPUTED_VALUE"""),"Phuongdt")</f>
        <v>Phuongdt</v>
      </c>
      <c r="L570" s="68" t="str">
        <f aca="false">IFERROR(__xludf.dummyfunction("""COMPUTED_VALUE"""),"Bùi Vĩnh Thọ")</f>
        <v>Bùi Vĩnh Thọ</v>
      </c>
      <c r="M570" s="71"/>
      <c r="N570" s="77" t="str">
        <f aca="false">IFERROR(__xludf.dummyfunction("""COMPUTED_VALUE"""),"3110")</f>
        <v>3110</v>
      </c>
      <c r="O570" s="63" t="n">
        <f aca="false">IFERROR(__xludf.dummyfunction("""COMPUTED_VALUE"""),167284)</f>
        <v>167284</v>
      </c>
      <c r="P570" s="63"/>
      <c r="Q570" s="63"/>
      <c r="R570" s="41"/>
      <c r="S570" s="41"/>
      <c r="T570" s="63" t="n">
        <f aca="false">IFERROR(__xludf.dummyfunction("""COMPUTED_VALUE"""),23688)</f>
        <v>23688</v>
      </c>
      <c r="U570" s="63" t="n">
        <f aca="false">IFERROR(__xludf.dummyfunction("""COMPUTED_VALUE"""),10620)</f>
        <v>10620</v>
      </c>
      <c r="V570" s="70" t="n">
        <f aca="false">IFERROR(__xludf.dummyfunction("""COMPUTED_VALUE"""),46329)</f>
        <v>46329</v>
      </c>
      <c r="W570" s="39"/>
      <c r="X570" s="41" t="str">
        <f aca="false">IFERROR(__xludf.dummyfunction("""COMPUTED_VALUE"""),"Phuongdt")</f>
        <v>Phuongdt</v>
      </c>
      <c r="Y570" s="44" t="str">
        <f aca="false">IFERROR(__xludf.dummyfunction("""COMPUTED_VALUE"""),"done")</f>
        <v>done</v>
      </c>
      <c r="Z570" s="57" t="str">
        <f aca="false">IFERROR(__xludf.dummyfunction("""COMPUTED_VALUE"""),"#N/A")</f>
        <v>#N/A</v>
      </c>
      <c r="AA570" s="57"/>
      <c r="AB570" s="41" t="n">
        <f aca="false">IFERROR(__xludf.dummyfunction("""COMPUTED_VALUE"""),10)</f>
        <v>10</v>
      </c>
      <c r="AC570" s="57" t="str">
        <f aca="false">IFERROR(__xludf.dummyfunction("""COMPUTED_VALUE"""),"gv.ngocvk@hocmai.edu.vn")</f>
        <v>gv.ngocvk@hocmai.edu.vn</v>
      </c>
      <c r="AD570" s="46" t="str">
        <f aca="false">IFERROR(__xludf.dummyfunction("""COMPUTED_VALUE"""),"vinhtho0704@gmail.com")</f>
        <v>vinhtho0704@gmail.com</v>
      </c>
      <c r="AE570" s="46"/>
      <c r="AF570" s="74" t="b">
        <f aca="false">IFERROR(__xludf.dummyfunction("""COMPUTED_VALUE"""),FALSE())</f>
        <v>0</v>
      </c>
      <c r="AG570" s="46" t="str">
        <f aca="false">IFERROR(__xludf.dummyfunction("""COMPUTED_VALUE"""),"")</f>
        <v/>
      </c>
      <c r="AH570" s="46"/>
      <c r="AI570" s="81" t="b">
        <f aca="false">IFERROR(__xludf.dummyfunction("""COMPUTED_VALUE"""),TRUE())</f>
        <v>1</v>
      </c>
      <c r="AJ570" s="46"/>
      <c r="AK570" s="46"/>
      <c r="AL570" s="46"/>
      <c r="AM570" s="46"/>
      <c r="AN570" s="46"/>
      <c r="AO570" s="46"/>
    </row>
    <row r="571" customFormat="false" ht="15.75" hidden="false" customHeight="true" outlineLevel="0" collapsed="false">
      <c r="A571" s="37" t="str">
        <f aca="false">IFERROR(__xludf.dummyfunction("""COMPUTED_VALUE"""),"Khoa học")</f>
        <v>Khoa học</v>
      </c>
      <c r="B571" s="37" t="str">
        <f aca="false">IFERROR(__xludf.dummyfunction("""COMPUTED_VALUE"""),"TOS_V-ACT_KH20")</f>
        <v>TOS_V-ACT_KH20</v>
      </c>
      <c r="C571" s="59" t="str">
        <f aca="false">IFERROR(__xludf.dummyfunction("""COMPUTED_VALUE"""),"Phương pháp “nội suy” và “ngoại suy” từ bảng số liệu khoa học.")</f>
        <v>Phương pháp “nội suy” và “ngoại suy” từ bảng số liệu khoa học.</v>
      </c>
      <c r="D571" s="39" t="str">
        <f aca="false">IFERROR(__xludf.dummyfunction("""COMPUTED_VALUE"""),"Lê Văn Minh")</f>
        <v>Lê Văn Minh</v>
      </c>
      <c r="E571" s="40" t="n">
        <f aca="false">IFERROR(__xludf.dummyfunction("""COMPUTED_VALUE"""),46326)</f>
        <v>46326</v>
      </c>
      <c r="F571" s="41" t="n">
        <f aca="false">IFERROR(__xludf.dummyfunction("""COMPUTED_VALUE"""),7)</f>
        <v>7</v>
      </c>
      <c r="G571" s="37" t="str">
        <f aca="false">IFERROR(__xludf.dummyfunction("""COMPUTED_VALUE"""),"20:30-22:00")</f>
        <v>20:30-22:00</v>
      </c>
      <c r="H571" s="37"/>
      <c r="I571" s="37"/>
      <c r="J571" s="37"/>
      <c r="K571" s="68" t="str">
        <f aca="false">IFERROR(__xludf.dummyfunction("""COMPUTED_VALUE"""),"Kimnq")</f>
        <v>Kimnq</v>
      </c>
      <c r="L571" s="68" t="str">
        <f aca="false">IFERROR(__xludf.dummyfunction("""COMPUTED_VALUE"""),"Lê Quốc Việt")</f>
        <v>Lê Quốc Việt</v>
      </c>
      <c r="M571" s="71"/>
      <c r="N571" s="77" t="str">
        <f aca="false">IFERROR(__xludf.dummyfunction("""COMPUTED_VALUE"""),"3340,3126")</f>
        <v>3340,3126</v>
      </c>
      <c r="O571" s="73" t="n">
        <f aca="false">IFERROR(__xludf.dummyfunction("""COMPUTED_VALUE"""),167511.167398)</f>
        <v>167511.167398</v>
      </c>
      <c r="P571" s="63"/>
      <c r="Q571" s="63"/>
      <c r="R571" s="41"/>
      <c r="S571" s="41"/>
      <c r="T571" s="63"/>
      <c r="U571" s="63"/>
      <c r="V571" s="70" t="n">
        <f aca="false">IFERROR(__xludf.dummyfunction("""COMPUTED_VALUE"""),46329)</f>
        <v>46329</v>
      </c>
      <c r="W571" s="39"/>
      <c r="X571" s="41" t="str">
        <f aca="false">IFERROR(__xludf.dummyfunction("""COMPUTED_VALUE"""),"Kimnq")</f>
        <v>Kimnq</v>
      </c>
      <c r="Y571" s="44" t="str">
        <f aca="false">IFERROR(__xludf.dummyfunction("""COMPUTED_VALUE"""),"done")</f>
        <v>done</v>
      </c>
      <c r="Z571" s="57" t="str">
        <f aca="false">IFERROR(__xludf.dummyfunction("""COMPUTED_VALUE"""),"#N/A")</f>
        <v>#N/A</v>
      </c>
      <c r="AA571" s="57"/>
      <c r="AB571" s="41" t="n">
        <f aca="false">IFERROR(__xludf.dummyfunction("""COMPUTED_VALUE"""),10)</f>
        <v>10</v>
      </c>
      <c r="AC571" s="57" t="str">
        <f aca="false">IFERROR(__xludf.dummyfunction("""COMPUTED_VALUE"""),"gv.minhlv@hocmai.edu.vn		")</f>
        <v>gv.minhlv@hocmai.edu.vn		</v>
      </c>
      <c r="AD571" s="46" t="str">
        <f aca="false">IFERROR(__xludf.dummyfunction("""COMPUTED_VALUE"""),"Ralph02091@gmail.com")</f>
        <v>Ralph02091@gmail.com</v>
      </c>
      <c r="AE571" s="46"/>
      <c r="AF571" s="47" t="str">
        <f aca="false">IFERROR(__xludf.dummyfunction("""COMPUTED_VALUE"""),"lophoctoan-946326")</f>
        <v>lophoctoan-946326</v>
      </c>
      <c r="AG571" s="46" t="str">
        <f aca="false">IFERROR(__xludf.dummyfunction("""COMPUTED_VALUE"""),"")</f>
        <v/>
      </c>
      <c r="AH571" s="46"/>
      <c r="AI571" s="46"/>
      <c r="AJ571" s="46"/>
      <c r="AK571" s="46"/>
      <c r="AL571" s="46"/>
      <c r="AM571" s="81" t="b">
        <f aca="false">IFERROR(__xludf.dummyfunction("""COMPUTED_VALUE"""),TRUE())</f>
        <v>1</v>
      </c>
      <c r="AN571" s="81" t="b">
        <f aca="false">IFERROR(__xludf.dummyfunction("""COMPUTED_VALUE"""),TRUE())</f>
        <v>1</v>
      </c>
      <c r="AO571" s="46"/>
    </row>
    <row r="572" customFormat="false" ht="15.75" hidden="false" customHeight="true" outlineLevel="0" collapsed="false">
      <c r="A572" s="37" t="str">
        <f aca="false">IFERROR(__xludf.dummyfunction("""COMPUTED_VALUE"""),"Toán")</f>
        <v>Toán</v>
      </c>
      <c r="B572" s="37" t="str">
        <f aca="false">IFERROR(__xludf.dummyfunction("""COMPUTED_VALUE"""),"NT_N_29")</f>
        <v>NT_N_29</v>
      </c>
      <c r="C572" s="59" t="str">
        <f aca="false">IFERROR(__xludf.dummyfunction("""COMPUTED_VALUE"""),"Góc và khoảng cách. Vị trí tương đối giữa ĐT – MP – MC")</f>
        <v>Góc và khoảng cách. Vị trí tương đối giữa ĐT – MP – MC</v>
      </c>
      <c r="D572" s="39" t="str">
        <f aca="false">IFERROR(__xludf.dummyfunction("""COMPUTED_VALUE"""),"Nguyễn Hoài Nam")</f>
        <v>Nguyễn Hoài Nam</v>
      </c>
      <c r="E572" s="40" t="n">
        <f aca="false">IFERROR(__xludf.dummyfunction("""COMPUTED_VALUE"""),46327)</f>
        <v>46327</v>
      </c>
      <c r="F572" s="41" t="str">
        <f aca="false">IFERROR(__xludf.dummyfunction("""COMPUTED_VALUE"""),"CN")</f>
        <v>CN</v>
      </c>
      <c r="G572" s="37" t="str">
        <f aca="false">IFERROR(__xludf.dummyfunction("""COMPUTED_VALUE"""),"21:00-22:30")</f>
        <v>21:00-22:30</v>
      </c>
      <c r="H572" s="37"/>
      <c r="I572" s="37"/>
      <c r="J572" s="62"/>
      <c r="K572" s="68" t="str">
        <f aca="false">IFERROR(__xludf.dummyfunction("""COMPUTED_VALUE"""),"lent")</f>
        <v>lent</v>
      </c>
      <c r="L572" s="68" t="str">
        <f aca="false">IFERROR(__xludf.dummyfunction("""COMPUTED_VALUE"""),"Tưởng Thị Huyền Trang")</f>
        <v>Tưởng Thị Huyền Trang</v>
      </c>
      <c r="M572" s="69" t="str">
        <f aca="false">IFERROR(__xludf.dummyfunction("""COMPUTED_VALUE"""),"https://hocmai.sharepoint.com/Education_Development/Lists/San_xuat_video/DispForm.aspx?ID=12216")</f>
        <v>https://hocmai.sharepoint.com/Education_Development/Lists/San_xuat_video/DispForm.aspx?ID=12216</v>
      </c>
      <c r="N572" s="78" t="n">
        <f aca="false">IFERROR(__xludf.dummyfunction("""COMPUTED_VALUE"""),3313)</f>
        <v>3313</v>
      </c>
      <c r="O572" s="63" t="n">
        <f aca="false">IFERROR(__xludf.dummyfunction("""COMPUTED_VALUE"""),166654)</f>
        <v>166654</v>
      </c>
      <c r="P572" s="63"/>
      <c r="Q572" s="63" t="n">
        <f aca="false">IFERROR(__xludf.dummyfunction("""COMPUTED_VALUE"""),8058)</f>
        <v>8058</v>
      </c>
      <c r="R572" s="41"/>
      <c r="S572" s="41"/>
      <c r="T572" s="63" t="n">
        <f aca="false">IFERROR(__xludf.dummyfunction("""COMPUTED_VALUE"""),8059)</f>
        <v>8059</v>
      </c>
      <c r="U572" s="63"/>
      <c r="V572" s="70" t="n">
        <f aca="false">IFERROR(__xludf.dummyfunction("""COMPUTED_VALUE"""),46329)</f>
        <v>46329</v>
      </c>
      <c r="W572" s="39"/>
      <c r="X572" s="41" t="str">
        <f aca="false">IFERROR(__xludf.dummyfunction("""COMPUTED_VALUE"""),"Huent7")</f>
        <v>Huent7</v>
      </c>
      <c r="Y572" s="44"/>
      <c r="Z572" s="57"/>
      <c r="AA572" s="57"/>
      <c r="AB572" s="41" t="n">
        <f aca="false">IFERROR(__xludf.dummyfunction("""COMPUTED_VALUE"""),11)</f>
        <v>11</v>
      </c>
      <c r="AC572" s="57"/>
      <c r="AD572" s="46"/>
      <c r="AE572" s="46"/>
      <c r="AF572" s="47" t="str">
        <f aca="false">IFERROR(__xludf.dummyfunction("""COMPUTED_VALUE"""),"lophoctoan-946327")</f>
        <v>lophoctoan-946327</v>
      </c>
      <c r="AG572" s="46" t="str">
        <f aca="false">IFERROR(__xludf.dummyfunction("""COMPUTED_VALUE"""),"")</f>
        <v/>
      </c>
      <c r="AH572" s="81" t="b">
        <f aca="false">IFERROR(__xludf.dummyfunction("""COMPUTED_VALUE"""),TRUE())</f>
        <v>1</v>
      </c>
      <c r="AI572" s="46"/>
      <c r="AJ572" s="46"/>
      <c r="AK572" s="46"/>
      <c r="AL572" s="46"/>
      <c r="AM572" s="46"/>
      <c r="AN572" s="46"/>
      <c r="AO572" s="46"/>
    </row>
    <row r="573" customFormat="false" ht="15.75" hidden="false" customHeight="true" outlineLevel="0" collapsed="false">
      <c r="A573" s="37" t="str">
        <f aca="false">IFERROR(__xludf.dummyfunction("""COMPUTED_VALUE"""),"Toán")</f>
        <v>Toán</v>
      </c>
      <c r="B573" s="37" t="str">
        <f aca="false">IFERROR(__xludf.dummyfunction("""COMPUTED_VALUE"""),"NT_T_45")</f>
        <v>NT_T_45</v>
      </c>
      <c r="C573" s="59" t="str">
        <f aca="false">IFERROR(__xludf.dummyfunction("""COMPUTED_VALUE"""),"Các quy tắc tính xác suất")</f>
        <v>Các quy tắc tính xác suất</v>
      </c>
      <c r="D573" s="39" t="str">
        <f aca="false">IFERROR(__xludf.dummyfunction("""COMPUTED_VALUE"""),"Nguyễn Thanh Tùng")</f>
        <v>Nguyễn Thanh Tùng</v>
      </c>
      <c r="E573" s="40" t="n">
        <f aca="false">IFERROR(__xludf.dummyfunction("""COMPUTED_VALUE"""),46327)</f>
        <v>46327</v>
      </c>
      <c r="F573" s="41" t="str">
        <f aca="false">IFERROR(__xludf.dummyfunction("""COMPUTED_VALUE"""),"CN")</f>
        <v>CN</v>
      </c>
      <c r="G573" s="37" t="str">
        <f aca="false">IFERROR(__xludf.dummyfunction("""COMPUTED_VALUE"""),"18:00-20:00")</f>
        <v>18:00-20:00</v>
      </c>
      <c r="H573" s="37"/>
      <c r="I573" s="37"/>
      <c r="J573" s="37"/>
      <c r="K573" s="68" t="str">
        <f aca="false">IFERROR(__xludf.dummyfunction("""COMPUTED_VALUE"""),"Khanhnl")</f>
        <v>Khanhnl</v>
      </c>
      <c r="L573" s="68" t="str">
        <f aca="false">IFERROR(__xludf.dummyfunction("""COMPUTED_VALUE"""),"Tưởng Thị Huyền Trang")</f>
        <v>Tưởng Thị Huyền Trang</v>
      </c>
      <c r="M573" s="69" t="str">
        <f aca="false">IFERROR(__xludf.dummyfunction("""COMPUTED_VALUE"""),"https://hocmai.sharepoint.com/Education_Development/Lists/San_xuat_video/DispForm.aspx?ID=12184")</f>
        <v>https://hocmai.sharepoint.com/Education_Development/Lists/San_xuat_video/DispForm.aspx?ID=12184</v>
      </c>
      <c r="N573" s="63" t="n">
        <f aca="false">IFERROR(__xludf.dummyfunction("""COMPUTED_VALUE"""),3312)</f>
        <v>3312</v>
      </c>
      <c r="O573" s="63" t="n">
        <f aca="false">IFERROR(__xludf.dummyfunction("""COMPUTED_VALUE"""),166578)</f>
        <v>166578</v>
      </c>
      <c r="P573" s="63"/>
      <c r="Q573" s="63" t="n">
        <f aca="false">IFERROR(__xludf.dummyfunction("""COMPUTED_VALUE"""),7975)</f>
        <v>7975</v>
      </c>
      <c r="R573" s="41"/>
      <c r="S573" s="41"/>
      <c r="T573" s="63" t="n">
        <f aca="false">IFERROR(__xludf.dummyfunction("""COMPUTED_VALUE"""),7976)</f>
        <v>7976</v>
      </c>
      <c r="U573" s="63"/>
      <c r="V573" s="70" t="n">
        <f aca="false">IFERROR(__xludf.dummyfunction("""COMPUTED_VALUE"""),46337)</f>
        <v>46337</v>
      </c>
      <c r="W573" s="39"/>
      <c r="X573" s="41" t="str">
        <f aca="false">IFERROR(__xludf.dummyfunction("""COMPUTED_VALUE"""),"Huent7")</f>
        <v>Huent7</v>
      </c>
      <c r="Y573" s="44"/>
      <c r="Z573" s="57"/>
      <c r="AA573" s="57"/>
      <c r="AB573" s="41" t="n">
        <f aca="false">IFERROR(__xludf.dummyfunction("""COMPUTED_VALUE"""),11)</f>
        <v>11</v>
      </c>
      <c r="AC573" s="57"/>
      <c r="AD573" s="46"/>
      <c r="AE573" s="46"/>
      <c r="AF573" s="47" t="str">
        <f aca="false">IFERROR(__xludf.dummyfunction("""COMPUTED_VALUE"""),"lophoctoan-946327")</f>
        <v>lophoctoan-946327</v>
      </c>
      <c r="AG573" s="46" t="str">
        <f aca="false">IFERROR(__xludf.dummyfunction("""COMPUTED_VALUE"""),"")</f>
        <v/>
      </c>
      <c r="AH573" s="81" t="b">
        <f aca="false">IFERROR(__xludf.dummyfunction("""COMPUTED_VALUE"""),TRUE())</f>
        <v>1</v>
      </c>
      <c r="AI573" s="46"/>
      <c r="AJ573" s="46"/>
      <c r="AK573" s="46"/>
      <c r="AL573" s="46"/>
      <c r="AM573" s="46"/>
      <c r="AN573" s="46"/>
      <c r="AO573" s="46"/>
    </row>
    <row r="574" customFormat="false" ht="15.75" hidden="false" customHeight="true" outlineLevel="0" collapsed="false">
      <c r="A574" s="37" t="str">
        <f aca="false">IFERROR(__xludf.dummyfunction("""COMPUTED_VALUE"""),"Đọc hiểu")</f>
        <v>Đọc hiểu</v>
      </c>
      <c r="B574" s="37" t="str">
        <f aca="false">IFERROR(__xludf.dummyfunction("""COMPUTED_VALUE"""),"TOV_TSA_DH21")</f>
        <v>TOV_TSA_DH21</v>
      </c>
      <c r="C574" s="59" t="str">
        <f aca="false">IFERROR(__xludf.dummyfunction("""COMPUTED_VALUE"""),"Hướng dẫn đọc văn bản văn học")</f>
        <v>Hướng dẫn đọc văn bản văn học</v>
      </c>
      <c r="D574" s="39" t="str">
        <f aca="false">IFERROR(__xludf.dummyfunction("""COMPUTED_VALUE"""),"Vũ Khắc Ngọc")</f>
        <v>Vũ Khắc Ngọc</v>
      </c>
      <c r="E574" s="40" t="n">
        <f aca="false">IFERROR(__xludf.dummyfunction("""COMPUTED_VALUE"""),46328)</f>
        <v>46328</v>
      </c>
      <c r="F574" s="41" t="n">
        <f aca="false">IFERROR(__xludf.dummyfunction("""COMPUTED_VALUE"""),2)</f>
        <v>2</v>
      </c>
      <c r="G574" s="37" t="str">
        <f aca="false">IFERROR(__xludf.dummyfunction("""COMPUTED_VALUE"""),"21:30-23:30")</f>
        <v>21:30-23:30</v>
      </c>
      <c r="H574" s="37"/>
      <c r="I574" s="37"/>
      <c r="J574" s="37"/>
      <c r="K574" s="68" t="str">
        <f aca="false">IFERROR(__xludf.dummyfunction("""COMPUTED_VALUE"""),"Hangvt3")</f>
        <v>Hangvt3</v>
      </c>
      <c r="L574" s="68" t="str">
        <f aca="false">IFERROR(__xludf.dummyfunction("""COMPUTED_VALUE"""),"Phan Đức Kiên")</f>
        <v>Phan Đức Kiên</v>
      </c>
      <c r="M574" s="71"/>
      <c r="N574" s="77" t="str">
        <f aca="false">IFERROR(__xludf.dummyfunction("""COMPUTED_VALUE"""),"3109")</f>
        <v>3109</v>
      </c>
      <c r="O574" s="63" t="n">
        <f aca="false">IFERROR(__xludf.dummyfunction("""COMPUTED_VALUE"""),167244)</f>
        <v>167244</v>
      </c>
      <c r="P574" s="63"/>
      <c r="Q574" s="63"/>
      <c r="R574" s="41"/>
      <c r="S574" s="41"/>
      <c r="T574" s="63"/>
      <c r="U574" s="63"/>
      <c r="V574" s="70" t="n">
        <f aca="false">IFERROR(__xludf.dummyfunction("""COMPUTED_VALUE"""),46331)</f>
        <v>46331</v>
      </c>
      <c r="W574" s="39"/>
      <c r="X574" s="41" t="str">
        <f aca="false">IFERROR(__xludf.dummyfunction("""COMPUTED_VALUE"""),"Huent7")</f>
        <v>Huent7</v>
      </c>
      <c r="Y574" s="44" t="str">
        <f aca="false">IFERROR(__xludf.dummyfunction("""COMPUTED_VALUE"""),"done")</f>
        <v>done</v>
      </c>
      <c r="Z574" s="57" t="str">
        <f aca="false">IFERROR(__xludf.dummyfunction("""COMPUTED_VALUE"""),"#N/A")</f>
        <v>#N/A</v>
      </c>
      <c r="AA574" s="57"/>
      <c r="AB574" s="41" t="n">
        <f aca="false">IFERROR(__xludf.dummyfunction("""COMPUTED_VALUE"""),11)</f>
        <v>11</v>
      </c>
      <c r="AC574" s="57" t="str">
        <f aca="false">IFERROR(__xludf.dummyfunction("""COMPUTED_VALUE"""),"gv.ngocvk@hocmai.edu.vn")</f>
        <v>gv.ngocvk@hocmai.edu.vn</v>
      </c>
      <c r="AD574" s="46" t="str">
        <f aca="false">IFERROR(__xludf.dummyfunction("""COMPUTED_VALUE"""),"duckien010607@gmail.com")</f>
        <v>duckien010607@gmail.com</v>
      </c>
      <c r="AE574" s="46"/>
      <c r="AF574" s="47" t="str">
        <f aca="false">IFERROR(__xludf.dummyfunction("""COMPUTED_VALUE"""),"lophoctoan-946328")</f>
        <v>lophoctoan-946328</v>
      </c>
      <c r="AG574" s="46" t="str">
        <f aca="false">IFERROR(__xludf.dummyfunction("""COMPUTED_VALUE"""),"")</f>
        <v/>
      </c>
      <c r="AH574" s="46"/>
      <c r="AI574" s="81" t="b">
        <f aca="false">IFERROR(__xludf.dummyfunction("""COMPUTED_VALUE"""),TRUE())</f>
        <v>1</v>
      </c>
      <c r="AJ574" s="46"/>
      <c r="AK574" s="46"/>
      <c r="AL574" s="46"/>
      <c r="AM574" s="46"/>
      <c r="AN574" s="46"/>
      <c r="AO574" s="46"/>
    </row>
    <row r="575" customFormat="false" ht="15.75" hidden="false" customHeight="true" outlineLevel="0" collapsed="false">
      <c r="A575" s="37" t="str">
        <f aca="false">IFERROR(__xludf.dummyfunction("""COMPUTED_VALUE"""),"Tiếng Anh")</f>
        <v>Tiếng Anh</v>
      </c>
      <c r="B575" s="37" t="str">
        <f aca="false">IFERROR(__xludf.dummyfunction("""COMPUTED_VALUE"""),"TOV_HSA_TA21")</f>
        <v>TOV_HSA_TA21</v>
      </c>
      <c r="C575" s="59" t="str">
        <f aca="false">IFERROR(__xludf.dummyfunction("""COMPUTED_VALUE"""),"Các dạng câu hỏi bài Logical Thinking and Problem Solving")</f>
        <v>Các dạng câu hỏi bài Logical Thinking and Problem Solving</v>
      </c>
      <c r="D575" s="39" t="str">
        <f aca="false">IFERROR(__xludf.dummyfunction("""COMPUTED_VALUE"""),"Nguyễn Thanh Hương")</f>
        <v>Nguyễn Thanh Hương</v>
      </c>
      <c r="E575" s="40" t="n">
        <f aca="false">IFERROR(__xludf.dummyfunction("""COMPUTED_VALUE"""),46328)</f>
        <v>46328</v>
      </c>
      <c r="F575" s="41" t="n">
        <f aca="false">IFERROR(__xludf.dummyfunction("""COMPUTED_VALUE"""),2)</f>
        <v>2</v>
      </c>
      <c r="G575" s="37" t="str">
        <f aca="false">IFERROR(__xludf.dummyfunction("""COMPUTED_VALUE"""),"20:00-22:00")</f>
        <v>20:00-22:00</v>
      </c>
      <c r="H575" s="37"/>
      <c r="I575" s="37"/>
      <c r="J575" s="37"/>
      <c r="K575" s="68" t="str">
        <f aca="false">IFERROR(__xludf.dummyfunction("""COMPUTED_VALUE"""),"huyennn2")</f>
        <v>huyennn2</v>
      </c>
      <c r="L575" s="68" t="str">
        <f aca="false">IFERROR(__xludf.dummyfunction("""COMPUTED_VALUE"""),"Nguyễn Lê Thụy Quyên ")</f>
        <v>Nguyễn Lê Thụy Quyên </v>
      </c>
      <c r="M575" s="71"/>
      <c r="N575" s="77" t="str">
        <f aca="false">IFERROR(__xludf.dummyfunction("""COMPUTED_VALUE"""),"3140")</f>
        <v>3140</v>
      </c>
      <c r="O575" s="63" t="n">
        <f aca="false">IFERROR(__xludf.dummyfunction("""COMPUTED_VALUE"""),167557)</f>
        <v>167557</v>
      </c>
      <c r="P575" s="63" t="n">
        <f aca="false">IFERROR(__xludf.dummyfunction("""COMPUTED_VALUE"""),9030.9038)</f>
        <v>9030.9038</v>
      </c>
      <c r="Q575" s="63"/>
      <c r="R575" s="41"/>
      <c r="S575" s="41"/>
      <c r="T575" s="63"/>
      <c r="U575" s="63"/>
      <c r="V575" s="70" t="n">
        <f aca="false">IFERROR(__xludf.dummyfunction("""COMPUTED_VALUE"""),46331)</f>
        <v>46331</v>
      </c>
      <c r="W575" s="39"/>
      <c r="X575" s="41" t="str">
        <f aca="false">IFERROR(__xludf.dummyfunction("""COMPUTED_VALUE"""),"huyennn2")</f>
        <v>huyennn2</v>
      </c>
      <c r="Y575" s="44"/>
      <c r="Z575" s="57" t="str">
        <f aca="false">IFERROR(__xludf.dummyfunction("""COMPUTED_VALUE"""),"#N/A")</f>
        <v>#N/A</v>
      </c>
      <c r="AA575" s="57"/>
      <c r="AB575" s="41" t="n">
        <f aca="false">IFERROR(__xludf.dummyfunction("""COMPUTED_VALUE"""),11)</f>
        <v>11</v>
      </c>
      <c r="AC575" s="57" t="str">
        <f aca="false">IFERROR(__xludf.dummyfunction("""COMPUTED_VALUE"""),"gv.huongnt@hocmai.edu.vn ")</f>
        <v>gv.huongnt@hocmai.edu.vn </v>
      </c>
      <c r="AD575" s="46" t="str">
        <f aca="false">IFERROR(__xludf.dummyfunction("""COMPUTED_VALUE"""),"nguyenlethuyquyencp@gmail.com")</f>
        <v>nguyenlethuyquyencp@gmail.com</v>
      </c>
      <c r="AE575" s="46"/>
      <c r="AF575" s="47" t="str">
        <f aca="false">IFERROR(__xludf.dummyfunction("""COMPUTED_VALUE"""),"lophoctienganh46328")</f>
        <v>lophoctienganh46328</v>
      </c>
      <c r="AG575" s="46" t="str">
        <f aca="false">IFERROR(__xludf.dummyfunction("""COMPUTED_VALUE"""),"")</f>
        <v/>
      </c>
      <c r="AH575" s="46"/>
      <c r="AI575" s="46"/>
      <c r="AJ575" s="81" t="b">
        <f aca="false">IFERROR(__xludf.dummyfunction("""COMPUTED_VALUE"""),TRUE())</f>
        <v>1</v>
      </c>
      <c r="AK575" s="81" t="b">
        <f aca="false">IFERROR(__xludf.dummyfunction("""COMPUTED_VALUE"""),TRUE())</f>
        <v>1</v>
      </c>
      <c r="AL575" s="46"/>
      <c r="AM575" s="46"/>
      <c r="AN575" s="46"/>
      <c r="AO575" s="46"/>
    </row>
    <row r="576" customFormat="false" ht="15.75" hidden="false" customHeight="true" outlineLevel="0" collapsed="false">
      <c r="A576" s="37" t="str">
        <f aca="false">IFERROR(__xludf.dummyfunction("""COMPUTED_VALUE"""),"Tiếng Anh")</f>
        <v>Tiếng Anh</v>
      </c>
      <c r="B576" s="37" t="str">
        <f aca="false">IFERROR(__xludf.dummyfunction("""COMPUTED_VALUE"""),"TOV_V-ACT_TA21")</f>
        <v>TOV_V-ACT_TA21</v>
      </c>
      <c r="C576" s="59" t="str">
        <f aca="false">IFERROR(__xludf.dummyfunction("""COMPUTED_VALUE"""),"Phương pháp xử lý dạng bài tìm lỗi sai (P1)")</f>
        <v>Phương pháp xử lý dạng bài tìm lỗi sai (P1)</v>
      </c>
      <c r="D576" s="39" t="str">
        <f aca="false">IFERROR(__xludf.dummyfunction("""COMPUTED_VALUE"""),"Nguyễn Phương Linh")</f>
        <v>Nguyễn Phương Linh</v>
      </c>
      <c r="E576" s="40" t="n">
        <f aca="false">IFERROR(__xludf.dummyfunction("""COMPUTED_VALUE"""),46328)</f>
        <v>46328</v>
      </c>
      <c r="F576" s="41" t="n">
        <f aca="false">IFERROR(__xludf.dummyfunction("""COMPUTED_VALUE"""),2)</f>
        <v>2</v>
      </c>
      <c r="G576" s="37" t="str">
        <f aca="false">IFERROR(__xludf.dummyfunction("""COMPUTED_VALUE"""),"20:00-22:00")</f>
        <v>20:00-22:00</v>
      </c>
      <c r="H576" s="37"/>
      <c r="I576" s="37"/>
      <c r="J576" s="37"/>
      <c r="K576" s="68" t="str">
        <f aca="false">IFERROR(__xludf.dummyfunction("""COMPUTED_VALUE"""),"huyennn2")</f>
        <v>huyennn2</v>
      </c>
      <c r="L576" s="68"/>
      <c r="M576" s="71"/>
      <c r="N576" s="77" t="str">
        <f aca="false">IFERROR(__xludf.dummyfunction("""COMPUTED_VALUE"""),"3165,3339")</f>
        <v>3165,3339</v>
      </c>
      <c r="O576" s="73" t="n">
        <f aca="false">IFERROR(__xludf.dummyfunction("""COMPUTED_VALUE"""),167625.167649)</f>
        <v>167625.167649</v>
      </c>
      <c r="P576" s="63"/>
      <c r="Q576" s="63"/>
      <c r="R576" s="41"/>
      <c r="S576" s="41"/>
      <c r="T576" s="63"/>
      <c r="U576" s="63"/>
      <c r="V576" s="70" t="n">
        <f aca="false">IFERROR(__xludf.dummyfunction("""COMPUTED_VALUE"""),46331)</f>
        <v>46331</v>
      </c>
      <c r="W576" s="39"/>
      <c r="X576" s="41" t="str">
        <f aca="false">IFERROR(__xludf.dummyfunction("""COMPUTED_VALUE"""),"huyennn2")</f>
        <v>huyennn2</v>
      </c>
      <c r="Y576" s="44"/>
      <c r="Z576" s="57" t="str">
        <f aca="false">IFERROR(__xludf.dummyfunction("""COMPUTED_VALUE"""),"#N/A")</f>
        <v>#N/A</v>
      </c>
      <c r="AA576" s="57"/>
      <c r="AB576" s="41" t="n">
        <f aca="false">IFERROR(__xludf.dummyfunction("""COMPUTED_VALUE"""),11)</f>
        <v>11</v>
      </c>
      <c r="AC576" s="57" t="str">
        <f aca="false">IFERROR(__xludf.dummyfunction("""COMPUTED_VALUE"""),"gv.linhnp@hocmai.edu.vn		")</f>
        <v>gv.linhnp@hocmai.edu.vn		</v>
      </c>
      <c r="AD576" s="46" t="str">
        <f aca="false">IFERROR(__xludf.dummyfunction("""COMPUTED_VALUE"""),"#N/A")</f>
        <v>#N/A</v>
      </c>
      <c r="AE576" s="46"/>
      <c r="AF576" s="47" t="str">
        <f aca="false">IFERROR(__xludf.dummyfunction("""COMPUTED_VALUE"""),"lophoctienganh46328")</f>
        <v>lophoctienganh46328</v>
      </c>
      <c r="AG576" s="46" t="str">
        <f aca="false">IFERROR(__xludf.dummyfunction("""COMPUTED_VALUE"""),"")</f>
        <v/>
      </c>
      <c r="AH576" s="46"/>
      <c r="AI576" s="46"/>
      <c r="AJ576" s="46"/>
      <c r="AK576" s="46"/>
      <c r="AL576" s="46"/>
      <c r="AM576" s="81" t="b">
        <f aca="false">IFERROR(__xludf.dummyfunction("""COMPUTED_VALUE"""),TRUE())</f>
        <v>1</v>
      </c>
      <c r="AN576" s="46"/>
      <c r="AO576" s="46"/>
    </row>
    <row r="577" customFormat="false" ht="15.75" hidden="false" customHeight="true" outlineLevel="0" collapsed="false">
      <c r="A577" s="37" t="str">
        <f aca="false">IFERROR(__xludf.dummyfunction("""COMPUTED_VALUE"""),"Hóa học")</f>
        <v>Hóa học</v>
      </c>
      <c r="B577" s="37" t="str">
        <f aca="false">IFERROR(__xludf.dummyfunction("""COMPUTED_VALUE"""),"TOV_HT_HH21")</f>
        <v>TOV_HT_HH21</v>
      </c>
      <c r="C577" s="59" t="str">
        <f aca="false">IFERROR(__xludf.dummyfunction("""COMPUTED_VALUE"""),"Tổng ôn chiến thuật HSA &amp; TN THPT")</f>
        <v>Tổng ôn chiến thuật HSA &amp; TN THPT</v>
      </c>
      <c r="D577" s="39" t="str">
        <f aca="false">IFERROR(__xludf.dummyfunction("""COMPUTED_VALUE"""),"Chu Hải Long")</f>
        <v>Chu Hải Long</v>
      </c>
      <c r="E577" s="40" t="n">
        <f aca="false">IFERROR(__xludf.dummyfunction("""COMPUTED_VALUE"""),46328)</f>
        <v>46328</v>
      </c>
      <c r="F577" s="41" t="n">
        <f aca="false">IFERROR(__xludf.dummyfunction("""COMPUTED_VALUE"""),2)</f>
        <v>2</v>
      </c>
      <c r="G577" s="37" t="str">
        <f aca="false">IFERROR(__xludf.dummyfunction("""COMPUTED_VALUE"""),"19:45-21:45")</f>
        <v>19:45-21:45</v>
      </c>
      <c r="H577" s="37"/>
      <c r="I577" s="37"/>
      <c r="J577" s="37"/>
      <c r="K577" s="68" t="str">
        <f aca="false">IFERROR(__xludf.dummyfunction("""COMPUTED_VALUE"""),"Huebt")</f>
        <v>Huebt</v>
      </c>
      <c r="L577" s="68" t="str">
        <f aca="false">IFERROR(__xludf.dummyfunction("""COMPUTED_VALUE"""),"Võ Hương Giang")</f>
        <v>Võ Hương Giang</v>
      </c>
      <c r="M577" s="71"/>
      <c r="N577" s="77" t="str">
        <f aca="false">IFERROR(__xludf.dummyfunction("""COMPUTED_VALUE"""),"3120,3131")</f>
        <v>3120,3131</v>
      </c>
      <c r="O577" s="63" t="str">
        <f aca="false">IFERROR(__xludf.dummyfunction("""COMPUTED_VALUE"""),"167445,167457")</f>
        <v>167445,167457</v>
      </c>
      <c r="P577" s="63" t="str">
        <f aca="false">IFERROR(__xludf.dummyfunction("""COMPUTED_VALUE"""),"9032,9040,9021")</f>
        <v>9032,9040,9021</v>
      </c>
      <c r="Q577" s="63"/>
      <c r="R577" s="41"/>
      <c r="S577" s="41"/>
      <c r="T577" s="63"/>
      <c r="U577" s="63" t="n">
        <f aca="false">IFERROR(__xludf.dummyfunction("""COMPUTED_VALUE"""),10498)</f>
        <v>10498</v>
      </c>
      <c r="V577" s="70" t="n">
        <f aca="false">IFERROR(__xludf.dummyfunction("""COMPUTED_VALUE"""),46331)</f>
        <v>46331</v>
      </c>
      <c r="W577" s="39"/>
      <c r="X577" s="41" t="str">
        <f aca="false">IFERROR(__xludf.dummyfunction("""COMPUTED_VALUE"""),"Huebt")</f>
        <v>Huebt</v>
      </c>
      <c r="Y577" s="44"/>
      <c r="Z577" s="57" t="str">
        <f aca="false">IFERROR(__xludf.dummyfunction("""COMPUTED_VALUE"""),"#N/A")</f>
        <v>#N/A</v>
      </c>
      <c r="AA577" s="57"/>
      <c r="AB577" s="41" t="n">
        <f aca="false">IFERROR(__xludf.dummyfunction("""COMPUTED_VALUE"""),11)</f>
        <v>11</v>
      </c>
      <c r="AC577" s="57" t="str">
        <f aca="false">IFERROR(__xludf.dummyfunction("""COMPUTED_VALUE"""),"gv.longch@hocmai.edu.vn")</f>
        <v>gv.longch@hocmai.edu.vn</v>
      </c>
      <c r="AD577" s="46" t="str">
        <f aca="false">IFERROR(__xludf.dummyfunction("""COMPUTED_VALUE"""),"giangvh@ctv.hocmai.vn")</f>
        <v>giangvh@ctv.hocmai.vn</v>
      </c>
      <c r="AE577" s="46"/>
      <c r="AF577" s="74" t="b">
        <f aca="false">IFERROR(__xludf.dummyfunction("""COMPUTED_VALUE"""),FALSE())</f>
        <v>0</v>
      </c>
      <c r="AG577" s="46" t="str">
        <f aca="false">IFERROR(__xludf.dummyfunction("""COMPUTED_VALUE"""),"")</f>
        <v/>
      </c>
      <c r="AH577" s="46"/>
      <c r="AI577" s="46"/>
      <c r="AJ577" s="81" t="b">
        <f aca="false">IFERROR(__xludf.dummyfunction("""COMPUTED_VALUE"""),TRUE())</f>
        <v>1</v>
      </c>
      <c r="AK577" s="81" t="b">
        <f aca="false">IFERROR(__xludf.dummyfunction("""COMPUTED_VALUE"""),TRUE())</f>
        <v>1</v>
      </c>
      <c r="AL577" s="81" t="b">
        <f aca="false">IFERROR(__xludf.dummyfunction("""COMPUTED_VALUE"""),TRUE())</f>
        <v>1</v>
      </c>
      <c r="AM577" s="46"/>
      <c r="AN577" s="46"/>
      <c r="AO577" s="46"/>
    </row>
    <row r="578" customFormat="false" ht="15.75" hidden="false" customHeight="true" outlineLevel="0" collapsed="false">
      <c r="A578" s="37" t="str">
        <f aca="false">IFERROR(__xludf.dummyfunction("""COMPUTED_VALUE"""),"Toán")</f>
        <v>Toán</v>
      </c>
      <c r="B578" s="37" t="str">
        <f aca="false">IFERROR(__xludf.dummyfunction("""COMPUTED_VALUE"""),"TOV_TC_T20")</f>
        <v>TOV_TC_T20</v>
      </c>
      <c r="C578" s="59" t="str">
        <f aca="false">IFERROR(__xludf.dummyfunction("""COMPUTED_VALUE"""),"Các bài toán tìm điểm")</f>
        <v>Các bài toán tìm điểm</v>
      </c>
      <c r="D578" s="39" t="str">
        <f aca="false">IFERROR(__xludf.dummyfunction("""COMPUTED_VALUE"""),"Nguyễn Thanh Tùng")</f>
        <v>Nguyễn Thanh Tùng</v>
      </c>
      <c r="E578" s="40" t="n">
        <f aca="false">IFERROR(__xludf.dummyfunction("""COMPUTED_VALUE"""),46329)</f>
        <v>46329</v>
      </c>
      <c r="F578" s="41" t="n">
        <f aca="false">IFERROR(__xludf.dummyfunction("""COMPUTED_VALUE"""),3)</f>
        <v>3</v>
      </c>
      <c r="G578" s="37" t="str">
        <f aca="false">IFERROR(__xludf.dummyfunction("""COMPUTED_VALUE"""),"21:00-23:00")</f>
        <v>21:00-23:00</v>
      </c>
      <c r="H578" s="37"/>
      <c r="I578" s="37"/>
      <c r="J578" s="37"/>
      <c r="K578" s="68" t="str">
        <f aca="false">IFERROR(__xludf.dummyfunction("""COMPUTED_VALUE"""),"Lent")</f>
        <v>Lent</v>
      </c>
      <c r="L578" s="68" t="str">
        <f aca="false">IFERROR(__xludf.dummyfunction("""COMPUTED_VALUE"""),"Tưởng Thị Huyền Trang")</f>
        <v>Tưởng Thị Huyền Trang</v>
      </c>
      <c r="M578" s="71"/>
      <c r="N578" s="77" t="str">
        <f aca="false">IFERROR(__xludf.dummyfunction("""COMPUTED_VALUE"""),"3108,3117,3315,3127,3314")</f>
        <v>3108,3117,3315,3127,3314</v>
      </c>
      <c r="O578" s="63" t="str">
        <f aca="false">IFERROR(__xludf.dummyfunction("""COMPUTED_VALUE"""),"168394, 168609, 168350, 167478, 167078")</f>
        <v>168394, 168609, 168350, 167478, 167078</v>
      </c>
      <c r="P578" s="63" t="str">
        <f aca="false">IFERROR(__xludf.dummyfunction("""COMPUTED_VALUE"""),"9025,9028,9036,9104,9106,9017,9102")</f>
        <v>9025,9028,9036,9104,9106,9017,9102</v>
      </c>
      <c r="Q578" s="63" t="n">
        <f aca="false">IFERROR(__xludf.dummyfunction("""COMPUTED_VALUE"""),167078)</f>
        <v>167078</v>
      </c>
      <c r="R578" s="41"/>
      <c r="S578" s="41"/>
      <c r="T578" s="63"/>
      <c r="U578" s="63"/>
      <c r="V578" s="70" t="n">
        <f aca="false">IFERROR(__xludf.dummyfunction("""COMPUTED_VALUE"""),46332)</f>
        <v>46332</v>
      </c>
      <c r="W578" s="39"/>
      <c r="X578" s="41" t="str">
        <f aca="false">IFERROR(__xludf.dummyfunction("""COMPUTED_VALUE"""),"Lent")</f>
        <v>Lent</v>
      </c>
      <c r="Y578" s="44" t="str">
        <f aca="false">IFERROR(__xludf.dummyfunction("""COMPUTED_VALUE"""),"done")</f>
        <v>done</v>
      </c>
      <c r="Z578" s="57" t="str">
        <f aca="false">IFERROR(__xludf.dummyfunction("""COMPUTED_VALUE"""),"#N/A")</f>
        <v>#N/A</v>
      </c>
      <c r="AA578" s="57"/>
      <c r="AB578" s="41" t="n">
        <f aca="false">IFERROR(__xludf.dummyfunction("""COMPUTED_VALUE"""),11)</f>
        <v>11</v>
      </c>
      <c r="AC578" s="57" t="str">
        <f aca="false">IFERROR(__xludf.dummyfunction("""COMPUTED_VALUE"""),"gv.tungnt@hocmai.edu.vn ")</f>
        <v>gv.tungnt@hocmai.edu.vn </v>
      </c>
      <c r="AD578" s="46" t="str">
        <f aca="false">IFERROR(__xludf.dummyfunction("""COMPUTED_VALUE"""),"trangcrazy699@gmail.com")</f>
        <v>trangcrazy699@gmail.com</v>
      </c>
      <c r="AE578" s="46"/>
      <c r="AF578" s="47" t="str">
        <f aca="false">IFERROR(__xludf.dummyfunction("""COMPUTED_VALUE"""),"lophoctoan-946329")</f>
        <v>lophoctoan-946329</v>
      </c>
      <c r="AG578" s="46" t="str">
        <f aca="false">IFERROR(__xludf.dummyfunction("""COMPUTED_VALUE"""),"")</f>
        <v/>
      </c>
      <c r="AH578" s="46"/>
      <c r="AI578" s="81" t="b">
        <f aca="false">IFERROR(__xludf.dummyfunction("""COMPUTED_VALUE"""),TRUE())</f>
        <v>1</v>
      </c>
      <c r="AJ578" s="81" t="b">
        <f aca="false">IFERROR(__xludf.dummyfunction("""COMPUTED_VALUE"""),TRUE())</f>
        <v>1</v>
      </c>
      <c r="AK578" s="81" t="b">
        <f aca="false">IFERROR(__xludf.dummyfunction("""COMPUTED_VALUE"""),TRUE())</f>
        <v>1</v>
      </c>
      <c r="AL578" s="81" t="b">
        <f aca="false">IFERROR(__xludf.dummyfunction("""COMPUTED_VALUE"""),TRUE())</f>
        <v>1</v>
      </c>
      <c r="AM578" s="46"/>
      <c r="AN578" s="46"/>
      <c r="AO578" s="46"/>
    </row>
    <row r="579" customFormat="false" ht="15.75" hidden="false" customHeight="true" outlineLevel="0" collapsed="false">
      <c r="A579" s="37" t="str">
        <f aca="false">IFERROR(__xludf.dummyfunction("""COMPUTED_VALUE"""),"Tiếng Việt")</f>
        <v>Tiếng Việt</v>
      </c>
      <c r="B579" s="37" t="str">
        <f aca="false">IFERROR(__xludf.dummyfunction("""COMPUTED_VALUE"""),"TOV_V-ACT_TV19")</f>
        <v>TOV_V-ACT_TV19</v>
      </c>
      <c r="C579" s="59" t="str">
        <f aca="false">IFERROR(__xludf.dummyfunction("""COMPUTED_VALUE"""),"Một số lỗi dùng từ thường gặp")</f>
        <v>Một số lỗi dùng từ thường gặp</v>
      </c>
      <c r="D579" s="39" t="str">
        <f aca="false">IFERROR(__xludf.dummyfunction("""COMPUTED_VALUE"""),"Văn Trịnh Quỳnh An")</f>
        <v>Văn Trịnh Quỳnh An</v>
      </c>
      <c r="E579" s="40" t="n">
        <f aca="false">IFERROR(__xludf.dummyfunction("""COMPUTED_VALUE"""),46329)</f>
        <v>46329</v>
      </c>
      <c r="F579" s="41" t="n">
        <f aca="false">IFERROR(__xludf.dummyfunction("""COMPUTED_VALUE"""),3)</f>
        <v>3</v>
      </c>
      <c r="G579" s="37" t="str">
        <f aca="false">IFERROR(__xludf.dummyfunction("""COMPUTED_VALUE"""),"20:00-21:30")</f>
        <v>20:00-21:30</v>
      </c>
      <c r="H579" s="37"/>
      <c r="I579" s="37"/>
      <c r="J579" s="37"/>
      <c r="K579" s="68" t="str">
        <f aca="false">IFERROR(__xludf.dummyfunction("""COMPUTED_VALUE"""),"Hangvt3")</f>
        <v>Hangvt3</v>
      </c>
      <c r="L579" s="68" t="str">
        <f aca="false">IFERROR(__xludf.dummyfunction("""COMPUTED_VALUE"""),"Bùi Vĩnh Thọ")</f>
        <v>Bùi Vĩnh Thọ</v>
      </c>
      <c r="M579" s="71"/>
      <c r="N579" s="77" t="str">
        <f aca="false">IFERROR(__xludf.dummyfunction("""COMPUTED_VALUE"""),"3125,3338")</f>
        <v>3125,3338</v>
      </c>
      <c r="O579" s="73" t="n">
        <f aca="false">IFERROR(__xludf.dummyfunction("""COMPUTED_VALUE"""),167371.174786)</f>
        <v>167371.174786</v>
      </c>
      <c r="P579" s="63" t="n">
        <f aca="false">IFERROR(__xludf.dummyfunction("""COMPUTED_VALUE"""),174786)</f>
        <v>174786</v>
      </c>
      <c r="Q579" s="63"/>
      <c r="R579" s="41"/>
      <c r="S579" s="41"/>
      <c r="T579" s="63"/>
      <c r="U579" s="63"/>
      <c r="V579" s="70" t="n">
        <f aca="false">IFERROR(__xludf.dummyfunction("""COMPUTED_VALUE"""),46332)</f>
        <v>46332</v>
      </c>
      <c r="W579" s="39"/>
      <c r="X579" s="41" t="str">
        <f aca="false">IFERROR(__xludf.dummyfunction("""COMPUTED_VALUE"""),"Phuongdt")</f>
        <v>Phuongdt</v>
      </c>
      <c r="Y579" s="44" t="str">
        <f aca="false">IFERROR(__xludf.dummyfunction("""COMPUTED_VALUE"""),"done")</f>
        <v>done</v>
      </c>
      <c r="Z579" s="57" t="str">
        <f aca="false">IFERROR(__xludf.dummyfunction("""COMPUTED_VALUE"""),"#N/A")</f>
        <v>#N/A</v>
      </c>
      <c r="AA579" s="57"/>
      <c r="AB579" s="41" t="n">
        <f aca="false">IFERROR(__xludf.dummyfunction("""COMPUTED_VALUE"""),11)</f>
        <v>11</v>
      </c>
      <c r="AC579" s="57" t="str">
        <f aca="false">IFERROR(__xludf.dummyfunction("""COMPUTED_VALUE"""),"gv.anvtq@hocmai.edu.vn ")</f>
        <v>gv.anvtq@hocmai.edu.vn </v>
      </c>
      <c r="AD579" s="46" t="str">
        <f aca="false">IFERROR(__xludf.dummyfunction("""COMPUTED_VALUE"""),"vinhtho0704@gmail.com")</f>
        <v>vinhtho0704@gmail.com</v>
      </c>
      <c r="AE579" s="46"/>
      <c r="AF579" s="74" t="b">
        <f aca="false">IFERROR(__xludf.dummyfunction("""COMPUTED_VALUE"""),FALSE())</f>
        <v>0</v>
      </c>
      <c r="AG579" s="46" t="str">
        <f aca="false">IFERROR(__xludf.dummyfunction("""COMPUTED_VALUE"""),"")</f>
        <v/>
      </c>
      <c r="AH579" s="46"/>
      <c r="AI579" s="46"/>
      <c r="AJ579" s="46"/>
      <c r="AK579" s="46"/>
      <c r="AL579" s="46"/>
      <c r="AM579" s="81" t="b">
        <f aca="false">IFERROR(__xludf.dummyfunction("""COMPUTED_VALUE"""),TRUE())</f>
        <v>1</v>
      </c>
      <c r="AN579" s="81" t="b">
        <f aca="false">IFERROR(__xludf.dummyfunction("""COMPUTED_VALUE"""),TRUE())</f>
        <v>1</v>
      </c>
      <c r="AO579" s="46"/>
    </row>
    <row r="580" customFormat="false" ht="15.75" hidden="false" customHeight="true" outlineLevel="0" collapsed="false">
      <c r="A580" s="37" t="str">
        <f aca="false">IFERROR(__xludf.dummyfunction("""COMPUTED_VALUE"""),"Địa lí")</f>
        <v>Địa lí</v>
      </c>
      <c r="B580" s="37" t="str">
        <f aca="false">IFERROR(__xludf.dummyfunction("""COMPUTED_VALUE"""),"TOV_HSA_ĐL17")</f>
        <v>TOV_HSA_ĐL17</v>
      </c>
      <c r="C580" s="59" t="str">
        <f aca="false">IFERROR(__xludf.dummyfunction("""COMPUTED_VALUE"""),"Đồng bằng sông Hồng. Đông Nam Bộ")</f>
        <v>Đồng bằng sông Hồng. Đông Nam Bộ</v>
      </c>
      <c r="D580" s="39" t="str">
        <f aca="false">IFERROR(__xludf.dummyfunction("""COMPUTED_VALUE"""),"Nguyễn Văn Vinh")</f>
        <v>Nguyễn Văn Vinh</v>
      </c>
      <c r="E580" s="40" t="n">
        <f aca="false">IFERROR(__xludf.dummyfunction("""COMPUTED_VALUE"""),46329)</f>
        <v>46329</v>
      </c>
      <c r="F580" s="41" t="n">
        <f aca="false">IFERROR(__xludf.dummyfunction("""COMPUTED_VALUE"""),3)</f>
        <v>3</v>
      </c>
      <c r="G580" s="37" t="str">
        <f aca="false">IFERROR(__xludf.dummyfunction("""COMPUTED_VALUE"""),"18:30-20:30")</f>
        <v>18:30-20:30</v>
      </c>
      <c r="H580" s="37"/>
      <c r="I580" s="37"/>
      <c r="J580" s="37"/>
      <c r="K580" s="68" t="str">
        <f aca="false">IFERROR(__xludf.dummyfunction("""COMPUTED_VALUE"""),"Trinhntt")</f>
        <v>Trinhntt</v>
      </c>
      <c r="L580" s="68" t="str">
        <f aca="false">IFERROR(__xludf.dummyfunction("""COMPUTED_VALUE"""),"Phan Đức Kiên")</f>
        <v>Phan Đức Kiên</v>
      </c>
      <c r="M580" s="71"/>
      <c r="N580" s="77" t="str">
        <f aca="false">IFERROR(__xludf.dummyfunction("""COMPUTED_VALUE"""),"3123")</f>
        <v>3123</v>
      </c>
      <c r="O580" s="63" t="n">
        <f aca="false">IFERROR(__xludf.dummyfunction("""COMPUTED_VALUE"""),174763)</f>
        <v>174763</v>
      </c>
      <c r="P580" s="63"/>
      <c r="Q580" s="63" t="n">
        <f aca="false">IFERROR(__xludf.dummyfunction("""COMPUTED_VALUE"""),174763)</f>
        <v>174763</v>
      </c>
      <c r="R580" s="41"/>
      <c r="S580" s="41"/>
      <c r="T580" s="63"/>
      <c r="U580" s="63"/>
      <c r="V580" s="70" t="n">
        <f aca="false">IFERROR(__xludf.dummyfunction("""COMPUTED_VALUE"""),46332)</f>
        <v>46332</v>
      </c>
      <c r="W580" s="39"/>
      <c r="X580" s="41" t="str">
        <f aca="false">IFERROR(__xludf.dummyfunction("""COMPUTED_VALUE"""),"Huent7")</f>
        <v>Huent7</v>
      </c>
      <c r="Y580" s="44"/>
      <c r="Z580" s="57" t="str">
        <f aca="false">IFERROR(__xludf.dummyfunction("""COMPUTED_VALUE"""),"#N/A")</f>
        <v>#N/A</v>
      </c>
      <c r="AA580" s="57"/>
      <c r="AB580" s="41"/>
      <c r="AC580" s="57" t="str">
        <f aca="false">IFERROR(__xludf.dummyfunction("""COMPUTED_VALUE"""),"gv.vinhnv@hocmai.edu.vn")</f>
        <v>gv.vinhnv@hocmai.edu.vn</v>
      </c>
      <c r="AD580" s="46" t="str">
        <f aca="false">IFERROR(__xludf.dummyfunction("""COMPUTED_VALUE"""),"duckien010607@gmail.com")</f>
        <v>duckien010607@gmail.com</v>
      </c>
      <c r="AE580" s="46"/>
      <c r="AF580" s="74" t="b">
        <f aca="false">IFERROR(__xludf.dummyfunction("""COMPUTED_VALUE"""),FALSE())</f>
        <v>0</v>
      </c>
      <c r="AG580" s="46" t="str">
        <f aca="false">IFERROR(__xludf.dummyfunction("""COMPUTED_VALUE"""),"")</f>
        <v/>
      </c>
      <c r="AH580" s="46"/>
      <c r="AI580" s="46"/>
      <c r="AJ580" s="81" t="b">
        <f aca="false">IFERROR(__xludf.dummyfunction("""COMPUTED_VALUE"""),TRUE())</f>
        <v>1</v>
      </c>
      <c r="AK580" s="81" t="b">
        <f aca="false">IFERROR(__xludf.dummyfunction("""COMPUTED_VALUE"""),TRUE())</f>
        <v>1</v>
      </c>
      <c r="AL580" s="46"/>
      <c r="AM580" s="46"/>
      <c r="AN580" s="46"/>
      <c r="AO580" s="46"/>
    </row>
    <row r="581" customFormat="false" ht="15.75" hidden="false" customHeight="true" outlineLevel="0" collapsed="false">
      <c r="A581" s="37" t="str">
        <f aca="false">IFERROR(__xludf.dummyfunction("""COMPUTED_VALUE"""),"Định tính")</f>
        <v>Định tính</v>
      </c>
      <c r="B581" s="37" t="str">
        <f aca="false">IFERROR(__xludf.dummyfunction("""COMPUTED_VALUE"""),"TOV_HSA_DT19")</f>
        <v>TOV_HSA_DT19</v>
      </c>
      <c r="C581" s="59" t="str">
        <f aca="false">IFERROR(__xludf.dummyfunction("""COMPUTED_VALUE"""),"Phương pháp xử lý nhóm câu hỏi về lập luận, suy luận và quan hệ logic")</f>
        <v>Phương pháp xử lý nhóm câu hỏi về lập luận, suy luận và quan hệ logic</v>
      </c>
      <c r="D581" s="39" t="str">
        <f aca="false">IFERROR(__xludf.dummyfunction("""COMPUTED_VALUE"""),"Vương Thúy Hằng")</f>
        <v>Vương Thúy Hằng</v>
      </c>
      <c r="E581" s="40" t="n">
        <f aca="false">IFERROR(__xludf.dummyfunction("""COMPUTED_VALUE"""),46330)</f>
        <v>46330</v>
      </c>
      <c r="F581" s="41" t="n">
        <f aca="false">IFERROR(__xludf.dummyfunction("""COMPUTED_VALUE"""),4)</f>
        <v>4</v>
      </c>
      <c r="G581" s="37" t="str">
        <f aca="false">IFERROR(__xludf.dummyfunction("""COMPUTED_VALUE"""),"21:00-23:00")</f>
        <v>21:00-23:00</v>
      </c>
      <c r="H581" s="37"/>
      <c r="I581" s="37"/>
      <c r="J581" s="37"/>
      <c r="K581" s="68" t="str">
        <f aca="false">IFERROR(__xludf.dummyfunction("""COMPUTED_VALUE"""),"Hangvt3")</f>
        <v>Hangvt3</v>
      </c>
      <c r="L581" s="68" t="str">
        <f aca="false">IFERROR(__xludf.dummyfunction("""COMPUTED_VALUE"""),"Kiều Bảo Minh")</f>
        <v>Kiều Bảo Minh</v>
      </c>
      <c r="M581" s="71"/>
      <c r="N581" s="77" t="str">
        <f aca="false">IFERROR(__xludf.dummyfunction("""COMPUTED_VALUE"""),"3118")</f>
        <v>3118</v>
      </c>
      <c r="O581" s="63" t="n">
        <f aca="false">IFERROR(__xludf.dummyfunction("""COMPUTED_VALUE"""),167308)</f>
        <v>167308</v>
      </c>
      <c r="P581" s="63"/>
      <c r="Q581" s="63"/>
      <c r="R581" s="41"/>
      <c r="S581" s="41"/>
      <c r="T581" s="63"/>
      <c r="U581" s="63"/>
      <c r="V581" s="70" t="n">
        <f aca="false">IFERROR(__xludf.dummyfunction("""COMPUTED_VALUE"""),46333)</f>
        <v>46333</v>
      </c>
      <c r="W581" s="39"/>
      <c r="X581" s="41" t="str">
        <f aca="false">IFERROR(__xludf.dummyfunction("""COMPUTED_VALUE"""),"Phuongdt")</f>
        <v>Phuongdt</v>
      </c>
      <c r="Y581" s="44" t="str">
        <f aca="false">IFERROR(__xludf.dummyfunction("""COMPUTED_VALUE"""),"done")</f>
        <v>done</v>
      </c>
      <c r="Z581" s="57" t="str">
        <f aca="false">IFERROR(__xludf.dummyfunction("""COMPUTED_VALUE"""),"#N/A")</f>
        <v>#N/A</v>
      </c>
      <c r="AA581" s="57"/>
      <c r="AB581" s="41" t="n">
        <f aca="false">IFERROR(__xludf.dummyfunction("""COMPUTED_VALUE"""),11)</f>
        <v>11</v>
      </c>
      <c r="AC581" s="57" t="str">
        <f aca="false">IFERROR(__xludf.dummyfunction("""COMPUTED_VALUE"""),"gv.hangvt@hocmai.edu.vn ")</f>
        <v>gv.hangvt@hocmai.edu.vn </v>
      </c>
      <c r="AD581" s="46" t="str">
        <f aca="false">IFERROR(__xludf.dummyfunction("""COMPUTED_VALUE"""),"mkieu2662@gmail.com")</f>
        <v>mkieu2662@gmail.com</v>
      </c>
      <c r="AE581" s="46"/>
      <c r="AF581" s="74" t="b">
        <f aca="false">IFERROR(__xludf.dummyfunction("""COMPUTED_VALUE"""),FALSE())</f>
        <v>0</v>
      </c>
      <c r="AG581" s="46" t="str">
        <f aca="false">IFERROR(__xludf.dummyfunction("""COMPUTED_VALUE"""),"")</f>
        <v/>
      </c>
      <c r="AH581" s="46"/>
      <c r="AI581" s="46"/>
      <c r="AJ581" s="81" t="b">
        <f aca="false">IFERROR(__xludf.dummyfunction("""COMPUTED_VALUE"""),TRUE())</f>
        <v>1</v>
      </c>
      <c r="AK581" s="81" t="b">
        <f aca="false">IFERROR(__xludf.dummyfunction("""COMPUTED_VALUE"""),TRUE())</f>
        <v>1</v>
      </c>
      <c r="AL581" s="46"/>
      <c r="AM581" s="46"/>
      <c r="AN581" s="46"/>
      <c r="AO581" s="46"/>
    </row>
    <row r="582" customFormat="false" ht="15.75" hidden="false" customHeight="true" outlineLevel="0" collapsed="false">
      <c r="A582" s="37" t="str">
        <f aca="false">IFERROR(__xludf.dummyfunction("""COMPUTED_VALUE"""),"Tiếng Việt")</f>
        <v>Tiếng Việt</v>
      </c>
      <c r="B582" s="37" t="str">
        <f aca="false">IFERROR(__xludf.dummyfunction("""COMPUTED_VALUE"""),"TOV_V-ACT_TV20")</f>
        <v>TOV_V-ACT_TV20</v>
      </c>
      <c r="C582" s="59" t="str">
        <f aca="false">IFERROR(__xludf.dummyfunction("""COMPUTED_VALUE"""),"Cấu tạo và lỗi thành phần, liên kết của câu")</f>
        <v>Cấu tạo và lỗi thành phần, liên kết của câu</v>
      </c>
      <c r="D582" s="39" t="str">
        <f aca="false">IFERROR(__xludf.dummyfunction("""COMPUTED_VALUE"""),"Văn Trịnh Quỳnh An")</f>
        <v>Văn Trịnh Quỳnh An</v>
      </c>
      <c r="E582" s="40" t="n">
        <f aca="false">IFERROR(__xludf.dummyfunction("""COMPUTED_VALUE"""),46330)</f>
        <v>46330</v>
      </c>
      <c r="F582" s="41" t="n">
        <f aca="false">IFERROR(__xludf.dummyfunction("""COMPUTED_VALUE"""),4)</f>
        <v>4</v>
      </c>
      <c r="G582" s="37" t="str">
        <f aca="false">IFERROR(__xludf.dummyfunction("""COMPUTED_VALUE"""),"21:00-22:30")</f>
        <v>21:00-22:30</v>
      </c>
      <c r="H582" s="37"/>
      <c r="I582" s="37"/>
      <c r="J582" s="37"/>
      <c r="K582" s="68" t="str">
        <f aca="false">IFERROR(__xludf.dummyfunction("""COMPUTED_VALUE"""),"Hangvt3")</f>
        <v>Hangvt3</v>
      </c>
      <c r="L582" s="68" t="str">
        <f aca="false">IFERROR(__xludf.dummyfunction("""COMPUTED_VALUE"""),"Bùi Vĩnh Thọ")</f>
        <v>Bùi Vĩnh Thọ</v>
      </c>
      <c r="M582" s="71"/>
      <c r="N582" s="77" t="str">
        <f aca="false">IFERROR(__xludf.dummyfunction("""COMPUTED_VALUE"""),"3125,3338")</f>
        <v>3125,3338</v>
      </c>
      <c r="O582" s="73" t="n">
        <f aca="false">IFERROR(__xludf.dummyfunction("""COMPUTED_VALUE"""),167372.174787)</f>
        <v>167372.174787</v>
      </c>
      <c r="P582" s="63" t="n">
        <f aca="false">IFERROR(__xludf.dummyfunction("""COMPUTED_VALUE"""),174787)</f>
        <v>174787</v>
      </c>
      <c r="Q582" s="63"/>
      <c r="R582" s="41"/>
      <c r="S582" s="41"/>
      <c r="T582" s="63"/>
      <c r="U582" s="63"/>
      <c r="V582" s="70" t="n">
        <f aca="false">IFERROR(__xludf.dummyfunction("""COMPUTED_VALUE"""),46339)</f>
        <v>46339</v>
      </c>
      <c r="W582" s="39"/>
      <c r="X582" s="41" t="str">
        <f aca="false">IFERROR(__xludf.dummyfunction("""COMPUTED_VALUE"""),"Phuongdt")</f>
        <v>Phuongdt</v>
      </c>
      <c r="Y582" s="44" t="str">
        <f aca="false">IFERROR(__xludf.dummyfunction("""COMPUTED_VALUE"""),"done")</f>
        <v>done</v>
      </c>
      <c r="Z582" s="57" t="str">
        <f aca="false">IFERROR(__xludf.dummyfunction("""COMPUTED_VALUE"""),"#N/A")</f>
        <v>#N/A</v>
      </c>
      <c r="AA582" s="57"/>
      <c r="AB582" s="41" t="n">
        <f aca="false">IFERROR(__xludf.dummyfunction("""COMPUTED_VALUE"""),11)</f>
        <v>11</v>
      </c>
      <c r="AC582" s="57" t="str">
        <f aca="false">IFERROR(__xludf.dummyfunction("""COMPUTED_VALUE"""),"gv.anvtq@hocmai.edu.vn ")</f>
        <v>gv.anvtq@hocmai.edu.vn </v>
      </c>
      <c r="AD582" s="46" t="str">
        <f aca="false">IFERROR(__xludf.dummyfunction("""COMPUTED_VALUE"""),"vinhtho0704@gmail.com")</f>
        <v>vinhtho0704@gmail.com</v>
      </c>
      <c r="AE582" s="46"/>
      <c r="AF582" s="74" t="b">
        <f aca="false">IFERROR(__xludf.dummyfunction("""COMPUTED_VALUE"""),FALSE())</f>
        <v>0</v>
      </c>
      <c r="AG582" s="46" t="str">
        <f aca="false">IFERROR(__xludf.dummyfunction("""COMPUTED_VALUE"""),"")</f>
        <v/>
      </c>
      <c r="AH582" s="46"/>
      <c r="AI582" s="46"/>
      <c r="AJ582" s="46"/>
      <c r="AK582" s="46"/>
      <c r="AL582" s="46"/>
      <c r="AM582" s="81" t="b">
        <f aca="false">IFERROR(__xludf.dummyfunction("""COMPUTED_VALUE"""),TRUE())</f>
        <v>1</v>
      </c>
      <c r="AN582" s="81" t="b">
        <f aca="false">IFERROR(__xludf.dummyfunction("""COMPUTED_VALUE"""),TRUE())</f>
        <v>1</v>
      </c>
      <c r="AO582" s="46"/>
    </row>
    <row r="583" customFormat="false" ht="15.75" hidden="false" customHeight="true" outlineLevel="0" collapsed="false">
      <c r="A583" s="37" t="str">
        <f aca="false">IFERROR(__xludf.dummyfunction("""COMPUTED_VALUE"""),"Ngữ văn")</f>
        <v>Ngữ văn</v>
      </c>
      <c r="B583" s="37" t="str">
        <f aca="false">IFERROR(__xludf.dummyfunction("""COMPUTED_VALUE"""),"TOV_TNTHPT_NV11")</f>
        <v>TOV_TNTHPT_NV11</v>
      </c>
      <c r="C583" s="59" t="str">
        <f aca="false">IFERROR(__xludf.dummyfunction("""COMPUTED_VALUE"""),"Hướng dẫn viết đoạn nghị luận xã hội")</f>
        <v>Hướng dẫn viết đoạn nghị luận xã hội</v>
      </c>
      <c r="D583" s="39" t="str">
        <f aca="false">IFERROR(__xludf.dummyfunction("""COMPUTED_VALUE"""),"Phạm Hữu Cường")</f>
        <v>Phạm Hữu Cường</v>
      </c>
      <c r="E583" s="40" t="n">
        <f aca="false">IFERROR(__xludf.dummyfunction("""COMPUTED_VALUE"""),46330)</f>
        <v>46330</v>
      </c>
      <c r="F583" s="41" t="n">
        <f aca="false">IFERROR(__xludf.dummyfunction("""COMPUTED_VALUE"""),4)</f>
        <v>4</v>
      </c>
      <c r="G583" s="37" t="str">
        <f aca="false">IFERROR(__xludf.dummyfunction("""COMPUTED_VALUE"""),"21:00-23:00")</f>
        <v>21:00-23:00</v>
      </c>
      <c r="H583" s="37"/>
      <c r="I583" s="37"/>
      <c r="J583" s="37"/>
      <c r="K583" s="68" t="str">
        <f aca="false">IFERROR(__xludf.dummyfunction("""COMPUTED_VALUE"""),"Hangvt3")</f>
        <v>Hangvt3</v>
      </c>
      <c r="L583" s="68" t="str">
        <f aca="false">IFERROR(__xludf.dummyfunction("""COMPUTED_VALUE"""),"Trần Đức Lương")</f>
        <v>Trần Đức Lương</v>
      </c>
      <c r="M583" s="71"/>
      <c r="N583" s="77" t="str">
        <f aca="false">IFERROR(__xludf.dummyfunction("""COMPUTED_VALUE"""),"3128")</f>
        <v>3128</v>
      </c>
      <c r="O583" s="63" t="n">
        <f aca="false">IFERROR(__xludf.dummyfunction("""COMPUTED_VALUE"""),167568)</f>
        <v>167568</v>
      </c>
      <c r="P583" s="63"/>
      <c r="Q583" s="63"/>
      <c r="R583" s="41"/>
      <c r="S583" s="41"/>
      <c r="T583" s="63"/>
      <c r="U583" s="63"/>
      <c r="V583" s="70" t="n">
        <f aca="false">IFERROR(__xludf.dummyfunction("""COMPUTED_VALUE"""),46333)</f>
        <v>46333</v>
      </c>
      <c r="W583" s="39"/>
      <c r="X583" s="41" t="str">
        <f aca="false">IFERROR(__xludf.dummyfunction("""COMPUTED_VALUE"""),"Phuongdt")</f>
        <v>Phuongdt</v>
      </c>
      <c r="Y583" s="44"/>
      <c r="Z583" s="57" t="str">
        <f aca="false">IFERROR(__xludf.dummyfunction("""COMPUTED_VALUE"""),"#N/A")</f>
        <v>#N/A</v>
      </c>
      <c r="AA583" s="57"/>
      <c r="AB583" s="41" t="n">
        <f aca="false">IFERROR(__xludf.dummyfunction("""COMPUTED_VALUE"""),11)</f>
        <v>11</v>
      </c>
      <c r="AC583" s="57" t="str">
        <f aca="false">IFERROR(__xludf.dummyfunction("""COMPUTED_VALUE"""),"gv.cuongph@hocmai.edu.vn ")</f>
        <v>gv.cuongph@hocmai.edu.vn </v>
      </c>
      <c r="AD583" s="46" t="str">
        <f aca="false">IFERROR(__xludf.dummyfunction("""COMPUTED_VALUE"""),"ss.hsa01@ctv.hocmai.vn")</f>
        <v>ss.hsa01@ctv.hocmai.vn</v>
      </c>
      <c r="AE583" s="46"/>
      <c r="AF583" s="74" t="b">
        <f aca="false">IFERROR(__xludf.dummyfunction("""COMPUTED_VALUE"""),FALSE())</f>
        <v>0</v>
      </c>
      <c r="AG583" s="46" t="str">
        <f aca="false">IFERROR(__xludf.dummyfunction("""COMPUTED_VALUE"""),"")</f>
        <v/>
      </c>
      <c r="AH583" s="46"/>
      <c r="AI583" s="46"/>
      <c r="AJ583" s="46"/>
      <c r="AK583" s="46"/>
      <c r="AL583" s="81" t="b">
        <f aca="false">IFERROR(__xludf.dummyfunction("""COMPUTED_VALUE"""),TRUE())</f>
        <v>1</v>
      </c>
      <c r="AM583" s="46"/>
      <c r="AN583" s="46"/>
      <c r="AO583" s="46"/>
    </row>
    <row r="584" customFormat="false" ht="15.75" hidden="false" customHeight="true" outlineLevel="0" collapsed="false">
      <c r="A584" s="37" t="str">
        <f aca="false">IFERROR(__xludf.dummyfunction("""COMPUTED_VALUE"""),"Vật lí")</f>
        <v>Vật lí</v>
      </c>
      <c r="B584" s="37" t="str">
        <f aca="false">IFERROR(__xludf.dummyfunction("""COMPUTED_VALUE"""),"TOV_TSA_L20")</f>
        <v>TOV_TSA_L20</v>
      </c>
      <c r="C584" s="59" t="str">
        <f aca="false">IFERROR(__xludf.dummyfunction("""COMPUTED_VALUE"""),"Phương pháp xử lí dạng ngữ liệu Tóm tắt nghiên cứu")</f>
        <v>Phương pháp xử lí dạng ngữ liệu Tóm tắt nghiên cứu</v>
      </c>
      <c r="D584" s="39" t="str">
        <f aca="false">IFERROR(__xludf.dummyfunction("""COMPUTED_VALUE"""),"Thiều Thị Dung")</f>
        <v>Thiều Thị Dung</v>
      </c>
      <c r="E584" s="40" t="n">
        <f aca="false">IFERROR(__xludf.dummyfunction("""COMPUTED_VALUE"""),46331)</f>
        <v>46331</v>
      </c>
      <c r="F584" s="41" t="n">
        <f aca="false">IFERROR(__xludf.dummyfunction("""COMPUTED_VALUE"""),5)</f>
        <v>5</v>
      </c>
      <c r="G584" s="37" t="str">
        <f aca="false">IFERROR(__xludf.dummyfunction("""COMPUTED_VALUE"""),"21:00-23:00")</f>
        <v>21:00-23:00</v>
      </c>
      <c r="H584" s="37"/>
      <c r="I584" s="37"/>
      <c r="J584" s="37"/>
      <c r="K584" s="68" t="str">
        <f aca="false">IFERROR(__xludf.dummyfunction("""COMPUTED_VALUE"""),"Trangnth2")</f>
        <v>Trangnth2</v>
      </c>
      <c r="L584" s="68" t="str">
        <f aca="false">IFERROR(__xludf.dummyfunction("""COMPUTED_VALUE"""),"Trần Đức Lương")</f>
        <v>Trần Đức Lương</v>
      </c>
      <c r="M584" s="71"/>
      <c r="N584" s="77" t="str">
        <f aca="false">IFERROR(__xludf.dummyfunction("""COMPUTED_VALUE"""),"3110")</f>
        <v>3110</v>
      </c>
      <c r="O584" s="63" t="n">
        <f aca="false">IFERROR(__xludf.dummyfunction("""COMPUTED_VALUE"""),167285)</f>
        <v>167285</v>
      </c>
      <c r="P584" s="63"/>
      <c r="Q584" s="63"/>
      <c r="R584" s="41"/>
      <c r="S584" s="41"/>
      <c r="T584" s="63"/>
      <c r="U584" s="63"/>
      <c r="V584" s="70" t="n">
        <f aca="false">IFERROR(__xludf.dummyfunction("""COMPUTED_VALUE"""),46334)</f>
        <v>46334</v>
      </c>
      <c r="W584" s="39"/>
      <c r="X584" s="41" t="str">
        <f aca="false">IFERROR(__xludf.dummyfunction("""COMPUTED_VALUE"""),"Trangnth2")</f>
        <v>Trangnth2</v>
      </c>
      <c r="Y584" s="44"/>
      <c r="Z584" s="57" t="str">
        <f aca="false">IFERROR(__xludf.dummyfunction("""COMPUTED_VALUE"""),"#N/A")</f>
        <v>#N/A</v>
      </c>
      <c r="AA584" s="57"/>
      <c r="AB584" s="41" t="n">
        <f aca="false">IFERROR(__xludf.dummyfunction("""COMPUTED_VALUE"""),11)</f>
        <v>11</v>
      </c>
      <c r="AC584" s="57" t="str">
        <f aca="false">IFERROR(__xludf.dummyfunction("""COMPUTED_VALUE"""),"dungtt2@hocmai.vn                ")</f>
        <v>dungtt2@hocmai.vn                </v>
      </c>
      <c r="AD584" s="46" t="str">
        <f aca="false">IFERROR(__xludf.dummyfunction("""COMPUTED_VALUE"""),"ss.hsa01@ctv.hocmai.vn")</f>
        <v>ss.hsa01@ctv.hocmai.vn</v>
      </c>
      <c r="AE584" s="46"/>
      <c r="AF584" s="74" t="b">
        <f aca="false">IFERROR(__xludf.dummyfunction("""COMPUTED_VALUE"""),FALSE())</f>
        <v>0</v>
      </c>
      <c r="AG584" s="46" t="str">
        <f aca="false">IFERROR(__xludf.dummyfunction("""COMPUTED_VALUE"""),"")</f>
        <v/>
      </c>
      <c r="AH584" s="46"/>
      <c r="AI584" s="81" t="b">
        <f aca="false">IFERROR(__xludf.dummyfunction("""COMPUTED_VALUE"""),TRUE())</f>
        <v>1</v>
      </c>
      <c r="AJ584" s="46"/>
      <c r="AK584" s="46"/>
      <c r="AL584" s="46"/>
      <c r="AM584" s="46"/>
      <c r="AN584" s="46"/>
      <c r="AO584" s="46"/>
    </row>
    <row r="585" customFormat="false" ht="15.75" hidden="false" customHeight="true" outlineLevel="0" collapsed="false">
      <c r="A585" s="37" t="str">
        <f aca="false">IFERROR(__xludf.dummyfunction("""COMPUTED_VALUE"""),"Vật lí")</f>
        <v>Vật lí</v>
      </c>
      <c r="B585" s="37" t="str">
        <f aca="false">IFERROR(__xludf.dummyfunction("""COMPUTED_VALUE"""),"TOV_HT_VL21")</f>
        <v>TOV_HT_VL21</v>
      </c>
      <c r="C585" s="59" t="str">
        <f aca="false">IFERROR(__xludf.dummyfunction("""COMPUTED_VALUE"""),"Tổng ôn chiến thuật làm bài HSA &amp; TN THPT")</f>
        <v>Tổng ôn chiến thuật làm bài HSA &amp; TN THPT</v>
      </c>
      <c r="D585" s="39" t="str">
        <f aca="false">IFERROR(__xludf.dummyfunction("""COMPUTED_VALUE"""),"Nguyễn Hữu Tình")</f>
        <v>Nguyễn Hữu Tình</v>
      </c>
      <c r="E585" s="40" t="n">
        <f aca="false">IFERROR(__xludf.dummyfunction("""COMPUTED_VALUE"""),46331)</f>
        <v>46331</v>
      </c>
      <c r="F585" s="41" t="n">
        <f aca="false">IFERROR(__xludf.dummyfunction("""COMPUTED_VALUE"""),5)</f>
        <v>5</v>
      </c>
      <c r="G585" s="37" t="str">
        <f aca="false">IFERROR(__xludf.dummyfunction("""COMPUTED_VALUE"""),"21:00-23:00")</f>
        <v>21:00-23:00</v>
      </c>
      <c r="H585" s="37"/>
      <c r="I585" s="37"/>
      <c r="J585" s="37"/>
      <c r="K585" s="68" t="str">
        <f aca="false">IFERROR(__xludf.dummyfunction("""COMPUTED_VALUE"""),"Trangnth2")</f>
        <v>Trangnth2</v>
      </c>
      <c r="L585" s="68" t="str">
        <f aca="false">IFERROR(__xludf.dummyfunction("""COMPUTED_VALUE"""),"Kiều Bảo Minh")</f>
        <v>Kiều Bảo Minh</v>
      </c>
      <c r="M585" s="71"/>
      <c r="N585" s="80" t="str">
        <f aca="false">IFERROR(__xludf.dummyfunction("""COMPUTED_VALUE"""),"3119,3130")</f>
        <v>3119,3130</v>
      </c>
      <c r="O585" s="73" t="n">
        <f aca="false">IFERROR(__xludf.dummyfunction("""COMPUTED_VALUE"""),167536.167583)</f>
        <v>167536.167583</v>
      </c>
      <c r="P585" s="63" t="str">
        <f aca="false">IFERROR(__xludf.dummyfunction("""COMPUTED_VALUE"""),"9031,9039,9020")</f>
        <v>9031,9039,9020</v>
      </c>
      <c r="Q585" s="63"/>
      <c r="R585" s="41"/>
      <c r="S585" s="41"/>
      <c r="T585" s="63"/>
      <c r="U585" s="63" t="n">
        <f aca="false">IFERROR(__xludf.dummyfunction("""COMPUTED_VALUE"""),10477)</f>
        <v>10477</v>
      </c>
      <c r="V585" s="70" t="n">
        <f aca="false">IFERROR(__xludf.dummyfunction("""COMPUTED_VALUE"""),46334)</f>
        <v>46334</v>
      </c>
      <c r="W585" s="39"/>
      <c r="X585" s="41" t="str">
        <f aca="false">IFERROR(__xludf.dummyfunction("""COMPUTED_VALUE"""),"Trangnth2")</f>
        <v>Trangnth2</v>
      </c>
      <c r="Y585" s="44"/>
      <c r="Z585" s="57" t="str">
        <f aca="false">IFERROR(__xludf.dummyfunction("""COMPUTED_VALUE"""),"#N/A")</f>
        <v>#N/A</v>
      </c>
      <c r="AA585" s="57"/>
      <c r="AB585" s="41" t="n">
        <f aca="false">IFERROR(__xludf.dummyfunction("""COMPUTED_VALUE"""),11)</f>
        <v>11</v>
      </c>
      <c r="AC585" s="57" t="str">
        <f aca="false">IFERROR(__xludf.dummyfunction("""COMPUTED_VALUE"""),"gv.tinhnh@hocmai.edu.vn ")</f>
        <v>gv.tinhnh@hocmai.edu.vn </v>
      </c>
      <c r="AD585" s="46" t="str">
        <f aca="false">IFERROR(__xludf.dummyfunction("""COMPUTED_VALUE"""),"mkieu2662@gmail.com")</f>
        <v>mkieu2662@gmail.com</v>
      </c>
      <c r="AE585" s="46"/>
      <c r="AF585" s="74" t="b">
        <f aca="false">IFERROR(__xludf.dummyfunction("""COMPUTED_VALUE"""),FALSE())</f>
        <v>0</v>
      </c>
      <c r="AG585" s="46" t="str">
        <f aca="false">IFERROR(__xludf.dummyfunction("""COMPUTED_VALUE"""),"")</f>
        <v/>
      </c>
      <c r="AH585" s="46"/>
      <c r="AI585" s="46"/>
      <c r="AJ585" s="81" t="b">
        <f aca="false">IFERROR(__xludf.dummyfunction("""COMPUTED_VALUE"""),TRUE())</f>
        <v>1</v>
      </c>
      <c r="AK585" s="81" t="b">
        <f aca="false">IFERROR(__xludf.dummyfunction("""COMPUTED_VALUE"""),TRUE())</f>
        <v>1</v>
      </c>
      <c r="AL585" s="81" t="b">
        <f aca="false">IFERROR(__xludf.dummyfunction("""COMPUTED_VALUE"""),TRUE())</f>
        <v>1</v>
      </c>
      <c r="AM585" s="46"/>
      <c r="AN585" s="46"/>
      <c r="AO585" s="46"/>
    </row>
    <row r="586" customFormat="false" ht="15.75" hidden="false" customHeight="true" outlineLevel="0" collapsed="false">
      <c r="A586" s="37" t="str">
        <f aca="false">IFERROR(__xludf.dummyfunction("""COMPUTED_VALUE"""),"Toán")</f>
        <v>Toán</v>
      </c>
      <c r="B586" s="37" t="str">
        <f aca="false">IFERROR(__xludf.dummyfunction("""COMPUTED_VALUE"""),"TOA_V-ACT_T20")</f>
        <v>TOA_V-ACT_T20</v>
      </c>
      <c r="C586" s="59" t="str">
        <f aca="false">IFERROR(__xludf.dummyfunction("""COMPUTED_VALUE"""),"Phương pháp, kĩ năng xử lí các bài toán về hình học Oxyz (P2)")</f>
        <v>Phương pháp, kĩ năng xử lí các bài toán về hình học Oxyz (P2)</v>
      </c>
      <c r="D586" s="39" t="str">
        <f aca="false">IFERROR(__xludf.dummyfunction("""COMPUTED_VALUE"""),"Nguyễn Hoài Nam")</f>
        <v>Nguyễn Hoài Nam</v>
      </c>
      <c r="E586" s="40" t="n">
        <f aca="false">IFERROR(__xludf.dummyfunction("""COMPUTED_VALUE"""),46331)</f>
        <v>46331</v>
      </c>
      <c r="F586" s="41" t="n">
        <f aca="false">IFERROR(__xludf.dummyfunction("""COMPUTED_VALUE"""),5)</f>
        <v>5</v>
      </c>
      <c r="G586" s="37" t="str">
        <f aca="false">IFERROR(__xludf.dummyfunction("""COMPUTED_VALUE"""),"21:00-22:30")</f>
        <v>21:00-22:30</v>
      </c>
      <c r="H586" s="37"/>
      <c r="I586" s="37"/>
      <c r="J586" s="37"/>
      <c r="K586" s="68" t="str">
        <f aca="false">IFERROR(__xludf.dummyfunction("""COMPUTED_VALUE"""),"Lent")</f>
        <v>Lent</v>
      </c>
      <c r="L586" s="68" t="str">
        <f aca="false">IFERROR(__xludf.dummyfunction("""COMPUTED_VALUE"""),"Lường Nhật Nam")</f>
        <v>Lường Nhật Nam</v>
      </c>
      <c r="M586" s="71"/>
      <c r="N586" s="77" t="str">
        <f aca="false">IFERROR(__xludf.dummyfunction("""COMPUTED_VALUE"""),"3124,3316")</f>
        <v>3124,3316</v>
      </c>
      <c r="O586" s="73" t="n">
        <f aca="false">IFERROR(__xludf.dummyfunction("""COMPUTED_VALUE"""),167219.166874)</f>
        <v>167219.166874</v>
      </c>
      <c r="P586" s="63" t="n">
        <f aca="false">IFERROR(__xludf.dummyfunction("""COMPUTED_VALUE"""),9044.9108)</f>
        <v>9044.9108</v>
      </c>
      <c r="Q586" s="63" t="n">
        <f aca="false">IFERROR(__xludf.dummyfunction("""COMPUTED_VALUE"""),167219)</f>
        <v>167219</v>
      </c>
      <c r="R586" s="41" t="n">
        <f aca="false">IFERROR(__xludf.dummyfunction("""COMPUTED_VALUE"""),166874)</f>
        <v>166874</v>
      </c>
      <c r="S586" s="41"/>
      <c r="T586" s="63"/>
      <c r="U586" s="63"/>
      <c r="V586" s="70" t="n">
        <f aca="false">IFERROR(__xludf.dummyfunction("""COMPUTED_VALUE"""),46334)</f>
        <v>46334</v>
      </c>
      <c r="W586" s="39"/>
      <c r="X586" s="41" t="str">
        <f aca="false">IFERROR(__xludf.dummyfunction("""COMPUTED_VALUE"""),"Lent")</f>
        <v>Lent</v>
      </c>
      <c r="Y586" s="44" t="str">
        <f aca="false">IFERROR(__xludf.dummyfunction("""COMPUTED_VALUE"""),"done")</f>
        <v>done</v>
      </c>
      <c r="Z586" s="57" t="str">
        <f aca="false">IFERROR(__xludf.dummyfunction("""COMPUTED_VALUE"""),"#N/A")</f>
        <v>#N/A</v>
      </c>
      <c r="AA586" s="57"/>
      <c r="AB586" s="41" t="n">
        <f aca="false">IFERROR(__xludf.dummyfunction("""COMPUTED_VALUE"""),11)</f>
        <v>11</v>
      </c>
      <c r="AC586" s="57" t="str">
        <f aca="false">IFERROR(__xludf.dummyfunction("""COMPUTED_VALUE"""),"gv.namnh@hocmai.edu.vn ")</f>
        <v>gv.namnh@hocmai.edu.vn </v>
      </c>
      <c r="AD586" s="46" t="str">
        <f aca="false">IFERROR(__xludf.dummyfunction("""COMPUTED_VALUE"""),"nhatnam1092@gmail.com")</f>
        <v>nhatnam1092@gmail.com</v>
      </c>
      <c r="AE586" s="46"/>
      <c r="AF586" s="47" t="str">
        <f aca="false">IFERROR(__xludf.dummyfunction("""COMPUTED_VALUE"""),"lophoctoan-946331")</f>
        <v>lophoctoan-946331</v>
      </c>
      <c r="AG586" s="46" t="str">
        <f aca="false">IFERROR(__xludf.dummyfunction("""COMPUTED_VALUE"""),"")</f>
        <v/>
      </c>
      <c r="AH586" s="46"/>
      <c r="AI586" s="46"/>
      <c r="AJ586" s="46"/>
      <c r="AK586" s="46"/>
      <c r="AL586" s="46"/>
      <c r="AM586" s="81" t="b">
        <f aca="false">IFERROR(__xludf.dummyfunction("""COMPUTED_VALUE"""),TRUE())</f>
        <v>1</v>
      </c>
      <c r="AN586" s="81" t="b">
        <f aca="false">IFERROR(__xludf.dummyfunction("""COMPUTED_VALUE"""),TRUE())</f>
        <v>1</v>
      </c>
      <c r="AO586" s="46"/>
    </row>
    <row r="587" customFormat="false" ht="15.75" hidden="false" customHeight="true" outlineLevel="0" collapsed="false">
      <c r="A587" s="37" t="str">
        <f aca="false">IFERROR(__xludf.dummyfunction("""COMPUTED_VALUE"""),"Toán")</f>
        <v>Toán</v>
      </c>
      <c r="B587" s="37" t="str">
        <f aca="false">IFERROR(__xludf.dummyfunction("""COMPUTED_VALUE"""),"TOV_TSA_T21")</f>
        <v>TOV_TSA_T21</v>
      </c>
      <c r="C587" s="59" t="str">
        <f aca="false">IFERROR(__xludf.dummyfunction("""COMPUTED_VALUE"""),"Các bài toán thực tế sử dụng ứng dụng tích phân")</f>
        <v>Các bài toán thực tế sử dụng ứng dụng tích phân</v>
      </c>
      <c r="D587" s="39" t="str">
        <f aca="false">IFERROR(__xludf.dummyfunction("""COMPUTED_VALUE"""),"Nguyễn Thanh Tùng")</f>
        <v>Nguyễn Thanh Tùng</v>
      </c>
      <c r="E587" s="40" t="n">
        <f aca="false">IFERROR(__xludf.dummyfunction("""COMPUTED_VALUE"""),46332)</f>
        <v>46332</v>
      </c>
      <c r="F587" s="41" t="n">
        <f aca="false">IFERROR(__xludf.dummyfunction("""COMPUTED_VALUE"""),6)</f>
        <v>6</v>
      </c>
      <c r="G587" s="37" t="str">
        <f aca="false">IFERROR(__xludf.dummyfunction("""COMPUTED_VALUE"""),"18:00-20:00")</f>
        <v>18:00-20:00</v>
      </c>
      <c r="H587" s="37"/>
      <c r="I587" s="37"/>
      <c r="J587" s="37"/>
      <c r="K587" s="68" t="str">
        <f aca="false">IFERROR(__xludf.dummyfunction("""COMPUTED_VALUE"""),"Locdd")</f>
        <v>Locdd</v>
      </c>
      <c r="L587" s="68" t="str">
        <f aca="false">IFERROR(__xludf.dummyfunction("""COMPUTED_VALUE"""),"Tưởng Thị Huyền Trang")</f>
        <v>Tưởng Thị Huyền Trang</v>
      </c>
      <c r="M587" s="71"/>
      <c r="N587" s="77" t="str">
        <f aca="false">IFERROR(__xludf.dummyfunction("""COMPUTED_VALUE"""),"3108")</f>
        <v>3108</v>
      </c>
      <c r="O587" s="63" t="n">
        <f aca="false">IFERROR(__xludf.dummyfunction("""COMPUTED_VALUE"""),168395)</f>
        <v>168395</v>
      </c>
      <c r="P587" s="63"/>
      <c r="Q587" s="63"/>
      <c r="R587" s="41"/>
      <c r="S587" s="41"/>
      <c r="T587" s="63"/>
      <c r="U587" s="63"/>
      <c r="V587" s="70" t="n">
        <f aca="false">IFERROR(__xludf.dummyfunction("""COMPUTED_VALUE"""),46335)</f>
        <v>46335</v>
      </c>
      <c r="W587" s="39"/>
      <c r="X587" s="41" t="str">
        <f aca="false">IFERROR(__xludf.dummyfunction("""COMPUTED_VALUE"""),"Locdd")</f>
        <v>Locdd</v>
      </c>
      <c r="Y587" s="44" t="str">
        <f aca="false">IFERROR(__xludf.dummyfunction("""COMPUTED_VALUE"""),"done")</f>
        <v>done</v>
      </c>
      <c r="Z587" s="57" t="str">
        <f aca="false">IFERROR(__xludf.dummyfunction("""COMPUTED_VALUE"""),"#N/A")</f>
        <v>#N/A</v>
      </c>
      <c r="AA587" s="57"/>
      <c r="AB587" s="41" t="n">
        <f aca="false">IFERROR(__xludf.dummyfunction("""COMPUTED_VALUE"""),11)</f>
        <v>11</v>
      </c>
      <c r="AC587" s="57" t="str">
        <f aca="false">IFERROR(__xludf.dummyfunction("""COMPUTED_VALUE"""),"gv.tungnt@hocmai.edu.vn ")</f>
        <v>gv.tungnt@hocmai.edu.vn </v>
      </c>
      <c r="AD587" s="46" t="str">
        <f aca="false">IFERROR(__xludf.dummyfunction("""COMPUTED_VALUE"""),"trangcrazy699@gmail.com")</f>
        <v>trangcrazy699@gmail.com</v>
      </c>
      <c r="AE587" s="46"/>
      <c r="AF587" s="47" t="str">
        <f aca="false">IFERROR(__xludf.dummyfunction("""COMPUTED_VALUE"""),"lophoctoan-946332")</f>
        <v>lophoctoan-946332</v>
      </c>
      <c r="AG587" s="46" t="str">
        <f aca="false">IFERROR(__xludf.dummyfunction("""COMPUTED_VALUE"""),"")</f>
        <v/>
      </c>
      <c r="AH587" s="46"/>
      <c r="AI587" s="81" t="b">
        <f aca="false">IFERROR(__xludf.dummyfunction("""COMPUTED_VALUE"""),TRUE())</f>
        <v>1</v>
      </c>
      <c r="AJ587" s="46"/>
      <c r="AK587" s="46"/>
      <c r="AL587" s="46"/>
      <c r="AM587" s="46"/>
      <c r="AN587" s="46"/>
      <c r="AO587" s="46"/>
    </row>
    <row r="588" customFormat="false" ht="15.75" hidden="false" customHeight="true" outlineLevel="0" collapsed="false">
      <c r="A588" s="37" t="str">
        <f aca="false">IFERROR(__xludf.dummyfunction("""COMPUTED_VALUE"""),"Sinh học")</f>
        <v>Sinh học</v>
      </c>
      <c r="B588" s="37" t="str">
        <f aca="false">IFERROR(__xludf.dummyfunction("""COMPUTED_VALUE"""),"TOV_HT_SH21")</f>
        <v>TOV_HT_SH21</v>
      </c>
      <c r="C588" s="59" t="str">
        <f aca="false">IFERROR(__xludf.dummyfunction("""COMPUTED_VALUE"""),"Tổng luyện đề  và Chiến thuật làm bài")</f>
        <v>Tổng luyện đề  và Chiến thuật làm bài</v>
      </c>
      <c r="D588" s="39" t="str">
        <f aca="false">IFERROR(__xludf.dummyfunction("""COMPUTED_VALUE"""),"Nguyễn Dương Ánh Hồng")</f>
        <v>Nguyễn Dương Ánh Hồng</v>
      </c>
      <c r="E588" s="40" t="n">
        <f aca="false">IFERROR(__xludf.dummyfunction("""COMPUTED_VALUE"""),46332)</f>
        <v>46332</v>
      </c>
      <c r="F588" s="41" t="n">
        <f aca="false">IFERROR(__xludf.dummyfunction("""COMPUTED_VALUE"""),6)</f>
        <v>6</v>
      </c>
      <c r="G588" s="37" t="str">
        <f aca="false">IFERROR(__xludf.dummyfunction("""COMPUTED_VALUE"""),"19:30-21:30")</f>
        <v>19:30-21:30</v>
      </c>
      <c r="H588" s="37"/>
      <c r="I588" s="37"/>
      <c r="J588" s="37"/>
      <c r="K588" s="68" t="str">
        <f aca="false">IFERROR(__xludf.dummyfunction("""COMPUTED_VALUE"""),"Phuongdt")</f>
        <v>Phuongdt</v>
      </c>
      <c r="L588" s="68" t="str">
        <f aca="false">IFERROR(__xludf.dummyfunction("""COMPUTED_VALUE"""),"Phan Đức Kiên")</f>
        <v>Phan Đức Kiên</v>
      </c>
      <c r="M588" s="71"/>
      <c r="N588" s="77" t="str">
        <f aca="false">IFERROR(__xludf.dummyfunction("""COMPUTED_VALUE"""),"3121,3132")</f>
        <v>3121,3132</v>
      </c>
      <c r="O588" s="73" t="n">
        <f aca="false">IFERROR(__xludf.dummyfunction("""COMPUTED_VALUE"""),167338.167352)</f>
        <v>167338.167352</v>
      </c>
      <c r="P588" s="63" t="str">
        <f aca="false">IFERROR(__xludf.dummyfunction("""COMPUTED_VALUE"""),"9033,9041,9022")</f>
        <v>9033,9041,9022</v>
      </c>
      <c r="Q588" s="63"/>
      <c r="R588" s="41"/>
      <c r="S588" s="41"/>
      <c r="T588" s="63" t="n">
        <f aca="false">IFERROR(__xludf.dummyfunction("""COMPUTED_VALUE"""),23854)</f>
        <v>23854</v>
      </c>
      <c r="U588" s="63"/>
      <c r="V588" s="70" t="n">
        <f aca="false">IFERROR(__xludf.dummyfunction("""COMPUTED_VALUE"""),46335)</f>
        <v>46335</v>
      </c>
      <c r="W588" s="39"/>
      <c r="X588" s="41" t="str">
        <f aca="false">IFERROR(__xludf.dummyfunction("""COMPUTED_VALUE"""),"Phuongdt")</f>
        <v>Phuongdt</v>
      </c>
      <c r="Y588" s="44"/>
      <c r="Z588" s="57" t="str">
        <f aca="false">IFERROR(__xludf.dummyfunction("""COMPUTED_VALUE"""),"#N/A")</f>
        <v>#N/A</v>
      </c>
      <c r="AA588" s="57"/>
      <c r="AB588" s="41" t="n">
        <f aca="false">IFERROR(__xludf.dummyfunction("""COMPUTED_VALUE"""),11)</f>
        <v>11</v>
      </c>
      <c r="AC588" s="57" t="str">
        <f aca="false">IFERROR(__xludf.dummyfunction("""COMPUTED_VALUE"""),"gv.hongnda@hocmai.edu.vn ")</f>
        <v>gv.hongnda@hocmai.edu.vn </v>
      </c>
      <c r="AD588" s="46" t="str">
        <f aca="false">IFERROR(__xludf.dummyfunction("""COMPUTED_VALUE"""),"duckien010607@gmail.com")</f>
        <v>duckien010607@gmail.com</v>
      </c>
      <c r="AE588" s="46"/>
      <c r="AF588" s="74" t="b">
        <f aca="false">IFERROR(__xludf.dummyfunction("""COMPUTED_VALUE"""),FALSE())</f>
        <v>0</v>
      </c>
      <c r="AG588" s="46" t="str">
        <f aca="false">IFERROR(__xludf.dummyfunction("""COMPUTED_VALUE"""),"")</f>
        <v/>
      </c>
      <c r="AH588" s="46"/>
      <c r="AI588" s="46"/>
      <c r="AJ588" s="81" t="b">
        <f aca="false">IFERROR(__xludf.dummyfunction("""COMPUTED_VALUE"""),TRUE())</f>
        <v>1</v>
      </c>
      <c r="AK588" s="81" t="b">
        <f aca="false">IFERROR(__xludf.dummyfunction("""COMPUTED_VALUE"""),TRUE())</f>
        <v>1</v>
      </c>
      <c r="AL588" s="81" t="b">
        <f aca="false">IFERROR(__xludf.dummyfunction("""COMPUTED_VALUE"""),TRUE())</f>
        <v>1</v>
      </c>
      <c r="AM588" s="46"/>
      <c r="AN588" s="46"/>
      <c r="AO588" s="46"/>
    </row>
    <row r="589" customFormat="false" ht="15.75" hidden="false" customHeight="true" outlineLevel="0" collapsed="false">
      <c r="A589" s="37" t="str">
        <f aca="false">IFERROR(__xludf.dummyfunction("""COMPUTED_VALUE"""),"Lịch sử")</f>
        <v>Lịch sử</v>
      </c>
      <c r="B589" s="37" t="str">
        <f aca="false">IFERROR(__xludf.dummyfunction("""COMPUTED_VALUE"""),"TOV_HSA_LS19")</f>
        <v>TOV_HSA_LS19</v>
      </c>
      <c r="C589" s="59" t="str">
        <f aca="false">IFERROR(__xludf.dummyfunction("""COMPUTED_VALUE"""),"Hồ Chí Minh trong Lịch sử Việt Nam")</f>
        <v>Hồ Chí Minh trong Lịch sử Việt Nam</v>
      </c>
      <c r="D589" s="39" t="str">
        <f aca="false">IFERROR(__xludf.dummyfunction("""COMPUTED_VALUE"""),"Dương Thị Huyền")</f>
        <v>Dương Thị Huyền</v>
      </c>
      <c r="E589" s="40" t="n">
        <f aca="false">IFERROR(__xludf.dummyfunction("""COMPUTED_VALUE"""),46332)</f>
        <v>46332</v>
      </c>
      <c r="F589" s="41" t="n">
        <f aca="false">IFERROR(__xludf.dummyfunction("""COMPUTED_VALUE"""),6)</f>
        <v>6</v>
      </c>
      <c r="G589" s="37" t="str">
        <f aca="false">IFERROR(__xludf.dummyfunction("""COMPUTED_VALUE"""),"21:30-23:30")</f>
        <v>21:30-23:30</v>
      </c>
      <c r="H589" s="37"/>
      <c r="I589" s="37"/>
      <c r="J589" s="37"/>
      <c r="K589" s="68" t="str">
        <f aca="false">IFERROR(__xludf.dummyfunction("""COMPUTED_VALUE"""),"Trinhntt")</f>
        <v>Trinhntt</v>
      </c>
      <c r="L589" s="68" t="str">
        <f aca="false">IFERROR(__xludf.dummyfunction("""COMPUTED_VALUE"""),"Phan Đức Kiên")</f>
        <v>Phan Đức Kiên</v>
      </c>
      <c r="M589" s="71"/>
      <c r="N589" s="77" t="str">
        <f aca="false">IFERROR(__xludf.dummyfunction("""COMPUTED_VALUE"""),"3122")</f>
        <v>3122</v>
      </c>
      <c r="O589" s="63" t="n">
        <f aca="false">IFERROR(__xludf.dummyfunction("""COMPUTED_VALUE"""),174746)</f>
        <v>174746</v>
      </c>
      <c r="P589" s="63"/>
      <c r="Q589" s="63"/>
      <c r="R589" s="41"/>
      <c r="S589" s="41"/>
      <c r="T589" s="63"/>
      <c r="U589" s="63"/>
      <c r="V589" s="70" t="n">
        <f aca="false">IFERROR(__xludf.dummyfunction("""COMPUTED_VALUE"""),46335)</f>
        <v>46335</v>
      </c>
      <c r="W589" s="39"/>
      <c r="X589" s="41" t="str">
        <f aca="false">IFERROR(__xludf.dummyfunction("""COMPUTED_VALUE"""),"Huent7")</f>
        <v>Huent7</v>
      </c>
      <c r="Y589" s="44"/>
      <c r="Z589" s="57" t="str">
        <f aca="false">IFERROR(__xludf.dummyfunction("""COMPUTED_VALUE"""),"#N/A")</f>
        <v>#N/A</v>
      </c>
      <c r="AA589" s="57"/>
      <c r="AB589" s="41"/>
      <c r="AC589" s="57" t="str">
        <f aca="false">IFERROR(__xludf.dummyfunction("""COMPUTED_VALUE"""),"gv.huyendt2@hocmai.edu.vn")</f>
        <v>gv.huyendt2@hocmai.edu.vn</v>
      </c>
      <c r="AD589" s="46" t="str">
        <f aca="false">IFERROR(__xludf.dummyfunction("""COMPUTED_VALUE"""),"duckien010607@gmail.com")</f>
        <v>duckien010607@gmail.com</v>
      </c>
      <c r="AE589" s="46"/>
      <c r="AF589" s="74" t="b">
        <f aca="false">IFERROR(__xludf.dummyfunction("""COMPUTED_VALUE"""),FALSE())</f>
        <v>0</v>
      </c>
      <c r="AG589" s="46" t="str">
        <f aca="false">IFERROR(__xludf.dummyfunction("""COMPUTED_VALUE"""),"")</f>
        <v/>
      </c>
      <c r="AH589" s="46"/>
      <c r="AI589" s="46"/>
      <c r="AJ589" s="81" t="b">
        <f aca="false">IFERROR(__xludf.dummyfunction("""COMPUTED_VALUE"""),TRUE())</f>
        <v>1</v>
      </c>
      <c r="AK589" s="81" t="b">
        <f aca="false">IFERROR(__xludf.dummyfunction("""COMPUTED_VALUE"""),TRUE())</f>
        <v>1</v>
      </c>
      <c r="AL589" s="46"/>
      <c r="AM589" s="46"/>
      <c r="AN589" s="46"/>
      <c r="AO589" s="46"/>
    </row>
    <row r="590" customFormat="false" ht="15.75" hidden="false" customHeight="true" outlineLevel="0" collapsed="false">
      <c r="A590" s="37" t="str">
        <f aca="false">IFERROR(__xludf.dummyfunction("""COMPUTED_VALUE"""),"Hóa học")</f>
        <v>Hóa học</v>
      </c>
      <c r="B590" s="37" t="str">
        <f aca="false">IFERROR(__xludf.dummyfunction("""COMPUTED_VALUE"""),"TOV_TSA_H11")</f>
        <v>TOV_TSA_H11</v>
      </c>
      <c r="C590" s="59" t="str">
        <f aca="false">IFERROR(__xludf.dummyfunction("""COMPUTED_VALUE"""),"Ester – Lipid và Carbohydrate")</f>
        <v>Ester – Lipid và Carbohydrate</v>
      </c>
      <c r="D590" s="39" t="str">
        <f aca="false">IFERROR(__xludf.dummyfunction("""COMPUTED_VALUE"""),"Vũ Khắc Ngọc")</f>
        <v>Vũ Khắc Ngọc</v>
      </c>
      <c r="E590" s="40" t="n">
        <f aca="false">IFERROR(__xludf.dummyfunction("""COMPUTED_VALUE"""),46333)</f>
        <v>46333</v>
      </c>
      <c r="F590" s="41" t="n">
        <f aca="false">IFERROR(__xludf.dummyfunction("""COMPUTED_VALUE"""),7)</f>
        <v>7</v>
      </c>
      <c r="G590" s="37" t="str">
        <f aca="false">IFERROR(__xludf.dummyfunction("""COMPUTED_VALUE"""),"21:30-23:30")</f>
        <v>21:30-23:30</v>
      </c>
      <c r="H590" s="37"/>
      <c r="I590" s="37"/>
      <c r="J590" s="37"/>
      <c r="K590" s="68" t="str">
        <f aca="false">IFERROR(__xludf.dummyfunction("""COMPUTED_VALUE"""),"Huebt")</f>
        <v>Huebt</v>
      </c>
      <c r="L590" s="68" t="str">
        <f aca="false">IFERROR(__xludf.dummyfunction("""COMPUTED_VALUE"""),"Bùi Vĩnh Thọ")</f>
        <v>Bùi Vĩnh Thọ</v>
      </c>
      <c r="M590" s="71"/>
      <c r="N590" s="77" t="str">
        <f aca="false">IFERROR(__xludf.dummyfunction("""COMPUTED_VALUE"""),"3110")</f>
        <v>3110</v>
      </c>
      <c r="O590" s="63" t="n">
        <f aca="false">IFERROR(__xludf.dummyfunction("""COMPUTED_VALUE"""),167286)</f>
        <v>167286</v>
      </c>
      <c r="P590" s="63"/>
      <c r="Q590" s="63"/>
      <c r="R590" s="41"/>
      <c r="S590" s="41"/>
      <c r="T590" s="63"/>
      <c r="U590" s="63" t="n">
        <f aca="false">IFERROR(__xludf.dummyfunction("""COMPUTED_VALUE"""),10609)</f>
        <v>10609</v>
      </c>
      <c r="V590" s="70" t="n">
        <f aca="false">IFERROR(__xludf.dummyfunction("""COMPUTED_VALUE"""),46336)</f>
        <v>46336</v>
      </c>
      <c r="W590" s="39"/>
      <c r="X590" s="41" t="str">
        <f aca="false">IFERROR(__xludf.dummyfunction("""COMPUTED_VALUE"""),"Huebt")</f>
        <v>Huebt</v>
      </c>
      <c r="Y590" s="44" t="str">
        <f aca="false">IFERROR(__xludf.dummyfunction("""COMPUTED_VALUE"""),"done")</f>
        <v>done</v>
      </c>
      <c r="Z590" s="57" t="str">
        <f aca="false">IFERROR(__xludf.dummyfunction("""COMPUTED_VALUE"""),"#N/A")</f>
        <v>#N/A</v>
      </c>
      <c r="AA590" s="57"/>
      <c r="AB590" s="41" t="n">
        <f aca="false">IFERROR(__xludf.dummyfunction("""COMPUTED_VALUE"""),11)</f>
        <v>11</v>
      </c>
      <c r="AC590" s="57" t="str">
        <f aca="false">IFERROR(__xludf.dummyfunction("""COMPUTED_VALUE"""),"gv.ngocvk@hocmai.edu.vn")</f>
        <v>gv.ngocvk@hocmai.edu.vn</v>
      </c>
      <c r="AD590" s="46" t="str">
        <f aca="false">IFERROR(__xludf.dummyfunction("""COMPUTED_VALUE"""),"vinhtho0704@gmail.com")</f>
        <v>vinhtho0704@gmail.com</v>
      </c>
      <c r="AE590" s="46"/>
      <c r="AF590" s="74" t="b">
        <f aca="false">IFERROR(__xludf.dummyfunction("""COMPUTED_VALUE"""),FALSE())</f>
        <v>0</v>
      </c>
      <c r="AG590" s="46" t="str">
        <f aca="false">IFERROR(__xludf.dummyfunction("""COMPUTED_VALUE"""),"")</f>
        <v/>
      </c>
      <c r="AH590" s="46"/>
      <c r="AI590" s="81" t="b">
        <f aca="false">IFERROR(__xludf.dummyfunction("""COMPUTED_VALUE"""),TRUE())</f>
        <v>1</v>
      </c>
      <c r="AJ590" s="46"/>
      <c r="AK590" s="46"/>
      <c r="AL590" s="46"/>
      <c r="AM590" s="46"/>
      <c r="AN590" s="46"/>
      <c r="AO590" s="46"/>
    </row>
    <row r="591" customFormat="false" ht="15.75" hidden="false" customHeight="true" outlineLevel="0" collapsed="false">
      <c r="A591" s="37" t="str">
        <f aca="false">IFERROR(__xludf.dummyfunction("""COMPUTED_VALUE"""),"Khoa học")</f>
        <v>Khoa học</v>
      </c>
      <c r="B591" s="37" t="str">
        <f aca="false">IFERROR(__xludf.dummyfunction("""COMPUTED_VALUE"""),"TOS_V-ACT_KH21")</f>
        <v>TOS_V-ACT_KH21</v>
      </c>
      <c r="C591" s="59" t="str">
        <f aca="false">IFERROR(__xludf.dummyfunction("""COMPUTED_VALUE"""),"Thực hành “nội suy” và “ngoại suy” từ bảng số liệu khoa học (P1).")</f>
        <v>Thực hành “nội suy” và “ngoại suy” từ bảng số liệu khoa học (P1).</v>
      </c>
      <c r="D591" s="39" t="str">
        <f aca="false">IFERROR(__xludf.dummyfunction("""COMPUTED_VALUE"""),"Lê Văn Minh")</f>
        <v>Lê Văn Minh</v>
      </c>
      <c r="E591" s="40" t="n">
        <f aca="false">IFERROR(__xludf.dummyfunction("""COMPUTED_VALUE"""),46333)</f>
        <v>46333</v>
      </c>
      <c r="F591" s="41" t="n">
        <f aca="false">IFERROR(__xludf.dummyfunction("""COMPUTED_VALUE"""),7)</f>
        <v>7</v>
      </c>
      <c r="G591" s="37" t="str">
        <f aca="false">IFERROR(__xludf.dummyfunction("""COMPUTED_VALUE"""),"20:30-22:00")</f>
        <v>20:30-22:00</v>
      </c>
      <c r="H591" s="37"/>
      <c r="I591" s="37"/>
      <c r="J591" s="37"/>
      <c r="K591" s="68" t="str">
        <f aca="false">IFERROR(__xludf.dummyfunction("""COMPUTED_VALUE"""),"Kimnq")</f>
        <v>Kimnq</v>
      </c>
      <c r="L591" s="68" t="str">
        <f aca="false">IFERROR(__xludf.dummyfunction("""COMPUTED_VALUE"""),"Lê Quốc Việt")</f>
        <v>Lê Quốc Việt</v>
      </c>
      <c r="M591" s="71"/>
      <c r="N591" s="77" t="str">
        <f aca="false">IFERROR(__xludf.dummyfunction("""COMPUTED_VALUE"""),"3340,3126")</f>
        <v>3340,3126</v>
      </c>
      <c r="O591" s="73" t="n">
        <f aca="false">IFERROR(__xludf.dummyfunction("""COMPUTED_VALUE"""),167512.167399)</f>
        <v>167512.167399</v>
      </c>
      <c r="P591" s="63"/>
      <c r="Q591" s="63"/>
      <c r="R591" s="41"/>
      <c r="S591" s="41"/>
      <c r="T591" s="63"/>
      <c r="U591" s="63"/>
      <c r="V591" s="70" t="n">
        <f aca="false">IFERROR(__xludf.dummyfunction("""COMPUTED_VALUE"""),46336)</f>
        <v>46336</v>
      </c>
      <c r="W591" s="39"/>
      <c r="X591" s="41" t="str">
        <f aca="false">IFERROR(__xludf.dummyfunction("""COMPUTED_VALUE"""),"Kimnq")</f>
        <v>Kimnq</v>
      </c>
      <c r="Y591" s="44" t="str">
        <f aca="false">IFERROR(__xludf.dummyfunction("""COMPUTED_VALUE"""),"done")</f>
        <v>done</v>
      </c>
      <c r="Z591" s="57" t="str">
        <f aca="false">IFERROR(__xludf.dummyfunction("""COMPUTED_VALUE"""),"#N/A")</f>
        <v>#N/A</v>
      </c>
      <c r="AA591" s="57"/>
      <c r="AB591" s="41" t="n">
        <f aca="false">IFERROR(__xludf.dummyfunction("""COMPUTED_VALUE"""),11)</f>
        <v>11</v>
      </c>
      <c r="AC591" s="57" t="str">
        <f aca="false">IFERROR(__xludf.dummyfunction("""COMPUTED_VALUE"""),"gv.minhlv@hocmai.edu.vn		")</f>
        <v>gv.minhlv@hocmai.edu.vn		</v>
      </c>
      <c r="AD591" s="46" t="str">
        <f aca="false">IFERROR(__xludf.dummyfunction("""COMPUTED_VALUE"""),"Ralph02091@gmail.com")</f>
        <v>Ralph02091@gmail.com</v>
      </c>
      <c r="AE591" s="46"/>
      <c r="AF591" s="47" t="str">
        <f aca="false">IFERROR(__xludf.dummyfunction("""COMPUTED_VALUE"""),"lophoctoan-946333")</f>
        <v>lophoctoan-946333</v>
      </c>
      <c r="AG591" s="46" t="str">
        <f aca="false">IFERROR(__xludf.dummyfunction("""COMPUTED_VALUE"""),"")</f>
        <v/>
      </c>
      <c r="AH591" s="46"/>
      <c r="AI591" s="46"/>
      <c r="AJ591" s="46"/>
      <c r="AK591" s="46"/>
      <c r="AL591" s="46"/>
      <c r="AM591" s="81" t="b">
        <f aca="false">IFERROR(__xludf.dummyfunction("""COMPUTED_VALUE"""),TRUE())</f>
        <v>1</v>
      </c>
      <c r="AN591" s="81" t="b">
        <f aca="false">IFERROR(__xludf.dummyfunction("""COMPUTED_VALUE"""),TRUE())</f>
        <v>1</v>
      </c>
      <c r="AO591" s="46"/>
    </row>
    <row r="592" customFormat="false" ht="15.75" hidden="false" customHeight="true" outlineLevel="0" collapsed="false">
      <c r="A592" s="37" t="str">
        <f aca="false">IFERROR(__xludf.dummyfunction("""COMPUTED_VALUE"""),"Toán")</f>
        <v>Toán</v>
      </c>
      <c r="B592" s="37" t="str">
        <f aca="false">IFERROR(__xludf.dummyfunction("""COMPUTED_VALUE"""),"NT_N_30")</f>
        <v>NT_N_30</v>
      </c>
      <c r="C592" s="59" t="str">
        <f aca="false">IFERROR(__xludf.dummyfunction("""COMPUTED_VALUE"""),"Ứng dụng hình học Oxyz trong các bài toán thực tế")</f>
        <v>Ứng dụng hình học Oxyz trong các bài toán thực tế</v>
      </c>
      <c r="D592" s="39" t="str">
        <f aca="false">IFERROR(__xludf.dummyfunction("""COMPUTED_VALUE"""),"Nguyễn Hoài Nam")</f>
        <v>Nguyễn Hoài Nam</v>
      </c>
      <c r="E592" s="40" t="n">
        <f aca="false">IFERROR(__xludf.dummyfunction("""COMPUTED_VALUE"""),46334)</f>
        <v>46334</v>
      </c>
      <c r="F592" s="41" t="str">
        <f aca="false">IFERROR(__xludf.dummyfunction("""COMPUTED_VALUE"""),"CN")</f>
        <v>CN</v>
      </c>
      <c r="G592" s="37" t="str">
        <f aca="false">IFERROR(__xludf.dummyfunction("""COMPUTED_VALUE"""),"21:00-22:30")</f>
        <v>21:00-22:30</v>
      </c>
      <c r="H592" s="37"/>
      <c r="I592" s="37"/>
      <c r="J592" s="62"/>
      <c r="K592" s="68" t="str">
        <f aca="false">IFERROR(__xludf.dummyfunction("""COMPUTED_VALUE"""),"lent")</f>
        <v>lent</v>
      </c>
      <c r="L592" s="68" t="str">
        <f aca="false">IFERROR(__xludf.dummyfunction("""COMPUTED_VALUE"""),"Tưởng Thị Huyền Trang")</f>
        <v>Tưởng Thị Huyền Trang</v>
      </c>
      <c r="M592" s="69" t="str">
        <f aca="false">IFERROR(__xludf.dummyfunction("""COMPUTED_VALUE"""),"https://hocmai.sharepoint.com/Education_Development/Lists/San_xuat_video/DispForm.aspx?ID=12217")</f>
        <v>https://hocmai.sharepoint.com/Education_Development/Lists/San_xuat_video/DispForm.aspx?ID=12217</v>
      </c>
      <c r="N592" s="78" t="n">
        <f aca="false">IFERROR(__xludf.dummyfunction("""COMPUTED_VALUE"""),3313)</f>
        <v>3313</v>
      </c>
      <c r="O592" s="63" t="n">
        <f aca="false">IFERROR(__xludf.dummyfunction("""COMPUTED_VALUE"""),166655)</f>
        <v>166655</v>
      </c>
      <c r="P592" s="63"/>
      <c r="Q592" s="63" t="n">
        <f aca="false">IFERROR(__xludf.dummyfunction("""COMPUTED_VALUE"""),8060)</f>
        <v>8060</v>
      </c>
      <c r="R592" s="41"/>
      <c r="S592" s="41"/>
      <c r="T592" s="63" t="n">
        <f aca="false">IFERROR(__xludf.dummyfunction("""COMPUTED_VALUE"""),8061)</f>
        <v>8061</v>
      </c>
      <c r="U592" s="63"/>
      <c r="V592" s="70" t="n">
        <f aca="false">IFERROR(__xludf.dummyfunction("""COMPUTED_VALUE"""),46336)</f>
        <v>46336</v>
      </c>
      <c r="W592" s="39"/>
      <c r="X592" s="41" t="str">
        <f aca="false">IFERROR(__xludf.dummyfunction("""COMPUTED_VALUE"""),"Huent7")</f>
        <v>Huent7</v>
      </c>
      <c r="Y592" s="44"/>
      <c r="Z592" s="57"/>
      <c r="AA592" s="57"/>
      <c r="AB592" s="41" t="n">
        <f aca="false">IFERROR(__xludf.dummyfunction("""COMPUTED_VALUE"""),11)</f>
        <v>11</v>
      </c>
      <c r="AC592" s="57"/>
      <c r="AD592" s="46"/>
      <c r="AE592" s="46"/>
      <c r="AF592" s="47" t="str">
        <f aca="false">IFERROR(__xludf.dummyfunction("""COMPUTED_VALUE"""),"lophoctoan-946334")</f>
        <v>lophoctoan-946334</v>
      </c>
      <c r="AG592" s="46" t="str">
        <f aca="false">IFERROR(__xludf.dummyfunction("""COMPUTED_VALUE"""),"")</f>
        <v/>
      </c>
      <c r="AH592" s="81" t="b">
        <f aca="false">IFERROR(__xludf.dummyfunction("""COMPUTED_VALUE"""),TRUE())</f>
        <v>1</v>
      </c>
      <c r="AI592" s="46"/>
      <c r="AJ592" s="46"/>
      <c r="AK592" s="46"/>
      <c r="AL592" s="46"/>
      <c r="AM592" s="46"/>
      <c r="AN592" s="46"/>
      <c r="AO592" s="46"/>
    </row>
    <row r="593" customFormat="false" ht="15.75" hidden="false" customHeight="true" outlineLevel="0" collapsed="false">
      <c r="A593" s="37" t="str">
        <f aca="false">IFERROR(__xludf.dummyfunction("""COMPUTED_VALUE"""),"Toán")</f>
        <v>Toán</v>
      </c>
      <c r="B593" s="37" t="str">
        <f aca="false">IFERROR(__xludf.dummyfunction("""COMPUTED_VALUE"""),"NT_T_46")</f>
        <v>NT_T_46</v>
      </c>
      <c r="C593" s="59" t="str">
        <f aca="false">IFERROR(__xludf.dummyfunction("""COMPUTED_VALUE"""),"Xác suất có điều kiện và phương pháp giải")</f>
        <v>Xác suất có điều kiện và phương pháp giải</v>
      </c>
      <c r="D593" s="39" t="str">
        <f aca="false">IFERROR(__xludf.dummyfunction("""COMPUTED_VALUE"""),"Nguyễn Thanh Tùng")</f>
        <v>Nguyễn Thanh Tùng</v>
      </c>
      <c r="E593" s="40" t="n">
        <f aca="false">IFERROR(__xludf.dummyfunction("""COMPUTED_VALUE"""),46334)</f>
        <v>46334</v>
      </c>
      <c r="F593" s="41" t="str">
        <f aca="false">IFERROR(__xludf.dummyfunction("""COMPUTED_VALUE"""),"CN")</f>
        <v>CN</v>
      </c>
      <c r="G593" s="37" t="str">
        <f aca="false">IFERROR(__xludf.dummyfunction("""COMPUTED_VALUE"""),"18:00-20:00")</f>
        <v>18:00-20:00</v>
      </c>
      <c r="H593" s="37"/>
      <c r="I593" s="37"/>
      <c r="J593" s="37"/>
      <c r="K593" s="68" t="str">
        <f aca="false">IFERROR(__xludf.dummyfunction("""COMPUTED_VALUE"""),"Khanhnl")</f>
        <v>Khanhnl</v>
      </c>
      <c r="L593" s="68" t="str">
        <f aca="false">IFERROR(__xludf.dummyfunction("""COMPUTED_VALUE"""),"Tưởng Thị Huyền Trang")</f>
        <v>Tưởng Thị Huyền Trang</v>
      </c>
      <c r="M593" s="69" t="str">
        <f aca="false">IFERROR(__xludf.dummyfunction("""COMPUTED_VALUE"""),"https://hocmai.sharepoint.com/Education_Development/Lists/San_xuat_video/DispForm.aspx?ID=12185")</f>
        <v>https://hocmai.sharepoint.com/Education_Development/Lists/San_xuat_video/DispForm.aspx?ID=12185</v>
      </c>
      <c r="N593" s="63" t="n">
        <f aca="false">IFERROR(__xludf.dummyfunction("""COMPUTED_VALUE"""),3312)</f>
        <v>3312</v>
      </c>
      <c r="O593" s="63" t="n">
        <f aca="false">IFERROR(__xludf.dummyfunction("""COMPUTED_VALUE"""),166579)</f>
        <v>166579</v>
      </c>
      <c r="P593" s="63"/>
      <c r="Q593" s="63" t="n">
        <f aca="false">IFERROR(__xludf.dummyfunction("""COMPUTED_VALUE"""),7977)</f>
        <v>7977</v>
      </c>
      <c r="R593" s="41"/>
      <c r="S593" s="41"/>
      <c r="T593" s="63" t="n">
        <f aca="false">IFERROR(__xludf.dummyfunction("""COMPUTED_VALUE"""),7978)</f>
        <v>7978</v>
      </c>
      <c r="U593" s="63"/>
      <c r="V593" s="70" t="n">
        <f aca="false">IFERROR(__xludf.dummyfunction("""COMPUTED_VALUE"""),46344)</f>
        <v>46344</v>
      </c>
      <c r="W593" s="39"/>
      <c r="X593" s="41" t="str">
        <f aca="false">IFERROR(__xludf.dummyfunction("""COMPUTED_VALUE"""),"Huent7")</f>
        <v>Huent7</v>
      </c>
      <c r="Y593" s="44"/>
      <c r="Z593" s="57"/>
      <c r="AA593" s="57"/>
      <c r="AB593" s="41" t="n">
        <f aca="false">IFERROR(__xludf.dummyfunction("""COMPUTED_VALUE"""),11)</f>
        <v>11</v>
      </c>
      <c r="AC593" s="57"/>
      <c r="AD593" s="46"/>
      <c r="AE593" s="46"/>
      <c r="AF593" s="47" t="str">
        <f aca="false">IFERROR(__xludf.dummyfunction("""COMPUTED_VALUE"""),"lophoctoan-946334")</f>
        <v>lophoctoan-946334</v>
      </c>
      <c r="AG593" s="46" t="str">
        <f aca="false">IFERROR(__xludf.dummyfunction("""COMPUTED_VALUE"""),"")</f>
        <v/>
      </c>
      <c r="AH593" s="81" t="b">
        <f aca="false">IFERROR(__xludf.dummyfunction("""COMPUTED_VALUE"""),TRUE())</f>
        <v>1</v>
      </c>
      <c r="AI593" s="46"/>
      <c r="AJ593" s="46"/>
      <c r="AK593" s="46"/>
      <c r="AL593" s="46"/>
      <c r="AM593" s="46"/>
      <c r="AN593" s="46"/>
      <c r="AO593" s="46"/>
    </row>
    <row r="594" customFormat="false" ht="15.75" hidden="false" customHeight="true" outlineLevel="0" collapsed="false">
      <c r="A594" s="37" t="str">
        <f aca="false">IFERROR(__xludf.dummyfunction("""COMPUTED_VALUE"""),"Đọc hiểu")</f>
        <v>Đọc hiểu</v>
      </c>
      <c r="B594" s="37" t="str">
        <f aca="false">IFERROR(__xludf.dummyfunction("""COMPUTED_VALUE"""),"TOV_TSA_DH22")</f>
        <v>TOV_TSA_DH22</v>
      </c>
      <c r="C594" s="59" t="str">
        <f aca="false">IFERROR(__xludf.dummyfunction("""COMPUTED_VALUE"""),"Luyện tập đọc hiểu văn bản văn học")</f>
        <v>Luyện tập đọc hiểu văn bản văn học</v>
      </c>
      <c r="D594" s="39" t="str">
        <f aca="false">IFERROR(__xludf.dummyfunction("""COMPUTED_VALUE"""),"Vũ Khắc Ngọc")</f>
        <v>Vũ Khắc Ngọc</v>
      </c>
      <c r="E594" s="40" t="n">
        <f aca="false">IFERROR(__xludf.dummyfunction("""COMPUTED_VALUE"""),46335)</f>
        <v>46335</v>
      </c>
      <c r="F594" s="41" t="n">
        <f aca="false">IFERROR(__xludf.dummyfunction("""COMPUTED_VALUE"""),2)</f>
        <v>2</v>
      </c>
      <c r="G594" s="37" t="str">
        <f aca="false">IFERROR(__xludf.dummyfunction("""COMPUTED_VALUE"""),"21:30-23:30")</f>
        <v>21:30-23:30</v>
      </c>
      <c r="H594" s="37"/>
      <c r="I594" s="37"/>
      <c r="J594" s="37"/>
      <c r="K594" s="68" t="str">
        <f aca="false">IFERROR(__xludf.dummyfunction("""COMPUTED_VALUE"""),"Hangvt3")</f>
        <v>Hangvt3</v>
      </c>
      <c r="L594" s="68" t="str">
        <f aca="false">IFERROR(__xludf.dummyfunction("""COMPUTED_VALUE"""),"Phan Đức Kiên")</f>
        <v>Phan Đức Kiên</v>
      </c>
      <c r="M594" s="71"/>
      <c r="N594" s="77" t="str">
        <f aca="false">IFERROR(__xludf.dummyfunction("""COMPUTED_VALUE"""),"3109")</f>
        <v>3109</v>
      </c>
      <c r="O594" s="63" t="n">
        <f aca="false">IFERROR(__xludf.dummyfunction("""COMPUTED_VALUE"""),167245)</f>
        <v>167245</v>
      </c>
      <c r="P594" s="63"/>
      <c r="Q594" s="63"/>
      <c r="R594" s="41"/>
      <c r="S594" s="41"/>
      <c r="T594" s="63"/>
      <c r="U594" s="63"/>
      <c r="V594" s="70" t="n">
        <f aca="false">IFERROR(__xludf.dummyfunction("""COMPUTED_VALUE"""),46338)</f>
        <v>46338</v>
      </c>
      <c r="W594" s="39"/>
      <c r="X594" s="41" t="str">
        <f aca="false">IFERROR(__xludf.dummyfunction("""COMPUTED_VALUE"""),"Huent7")</f>
        <v>Huent7</v>
      </c>
      <c r="Y594" s="44" t="str">
        <f aca="false">IFERROR(__xludf.dummyfunction("""COMPUTED_VALUE"""),"done")</f>
        <v>done</v>
      </c>
      <c r="Z594" s="57" t="str">
        <f aca="false">IFERROR(__xludf.dummyfunction("""COMPUTED_VALUE"""),"#N/A")</f>
        <v>#N/A</v>
      </c>
      <c r="AA594" s="57"/>
      <c r="AB594" s="41" t="n">
        <f aca="false">IFERROR(__xludf.dummyfunction("""COMPUTED_VALUE"""),11)</f>
        <v>11</v>
      </c>
      <c r="AC594" s="57" t="str">
        <f aca="false">IFERROR(__xludf.dummyfunction("""COMPUTED_VALUE"""),"gv.ngocvk@hocmai.edu.vn")</f>
        <v>gv.ngocvk@hocmai.edu.vn</v>
      </c>
      <c r="AD594" s="46" t="str">
        <f aca="false">IFERROR(__xludf.dummyfunction("""COMPUTED_VALUE"""),"duckien010607@gmail.com")</f>
        <v>duckien010607@gmail.com</v>
      </c>
      <c r="AE594" s="46"/>
      <c r="AF594" s="47" t="str">
        <f aca="false">IFERROR(__xludf.dummyfunction("""COMPUTED_VALUE"""),"lophoctoan-946335")</f>
        <v>lophoctoan-946335</v>
      </c>
      <c r="AG594" s="46" t="str">
        <f aca="false">IFERROR(__xludf.dummyfunction("""COMPUTED_VALUE"""),"")</f>
        <v/>
      </c>
      <c r="AH594" s="46"/>
      <c r="AI594" s="81" t="b">
        <f aca="false">IFERROR(__xludf.dummyfunction("""COMPUTED_VALUE"""),TRUE())</f>
        <v>1</v>
      </c>
      <c r="AJ594" s="46"/>
      <c r="AK594" s="46"/>
      <c r="AL594" s="46"/>
      <c r="AM594" s="46"/>
      <c r="AN594" s="46"/>
      <c r="AO594" s="46"/>
    </row>
    <row r="595" customFormat="false" ht="15.75" hidden="false" customHeight="true" outlineLevel="0" collapsed="false">
      <c r="A595" s="37" t="str">
        <f aca="false">IFERROR(__xludf.dummyfunction("""COMPUTED_VALUE"""),"Toán")</f>
        <v>Toán</v>
      </c>
      <c r="B595" s="37" t="str">
        <f aca="false">IFERROR(__xludf.dummyfunction("""COMPUTED_VALUE"""),"TOV_TC_T21")</f>
        <v>TOV_TC_T21</v>
      </c>
      <c r="C595" s="59" t="str">
        <f aca="false">IFERROR(__xludf.dummyfunction("""COMPUTED_VALUE"""),"Phương pháp viết phương trình đường thẳng, mặt phẳng, mặt cầu")</f>
        <v>Phương pháp viết phương trình đường thẳng, mặt phẳng, mặt cầu</v>
      </c>
      <c r="D595" s="39" t="str">
        <f aca="false">IFERROR(__xludf.dummyfunction("""COMPUTED_VALUE"""),"Nguyễn Thanh Tùng")</f>
        <v>Nguyễn Thanh Tùng</v>
      </c>
      <c r="E595" s="40" t="n">
        <f aca="false">IFERROR(__xludf.dummyfunction("""COMPUTED_VALUE"""),46336)</f>
        <v>46336</v>
      </c>
      <c r="F595" s="41" t="n">
        <f aca="false">IFERROR(__xludf.dummyfunction("""COMPUTED_VALUE"""),3)</f>
        <v>3</v>
      </c>
      <c r="G595" s="37" t="str">
        <f aca="false">IFERROR(__xludf.dummyfunction("""COMPUTED_VALUE"""),"21:00-23:00")</f>
        <v>21:00-23:00</v>
      </c>
      <c r="H595" s="37"/>
      <c r="I595" s="37"/>
      <c r="J595" s="37"/>
      <c r="K595" s="68" t="str">
        <f aca="false">IFERROR(__xludf.dummyfunction("""COMPUTED_VALUE"""),"Lent")</f>
        <v>Lent</v>
      </c>
      <c r="L595" s="68" t="str">
        <f aca="false">IFERROR(__xludf.dummyfunction("""COMPUTED_VALUE"""),"Tưởng Thị Huyền Trang")</f>
        <v>Tưởng Thị Huyền Trang</v>
      </c>
      <c r="M595" s="71"/>
      <c r="N595" s="77" t="str">
        <f aca="false">IFERROR(__xludf.dummyfunction("""COMPUTED_VALUE"""),"3108,3117,3315,3127,3314")</f>
        <v>3108,3117,3315,3127,3314</v>
      </c>
      <c r="O595" s="63" t="str">
        <f aca="false">IFERROR(__xludf.dummyfunction("""COMPUTED_VALUE"""),"168396, 168611, 168352, 167479, 167079")</f>
        <v>168396, 168611, 168352, 167479, 167079</v>
      </c>
      <c r="P595" s="63" t="str">
        <f aca="false">IFERROR(__xludf.dummyfunction("""COMPUTED_VALUE"""),"9025,9028,9036,9104,9106,9017,9102")</f>
        <v>9025,9028,9036,9104,9106,9017,9102</v>
      </c>
      <c r="Q595" s="63" t="n">
        <f aca="false">IFERROR(__xludf.dummyfunction("""COMPUTED_VALUE"""),167079)</f>
        <v>167079</v>
      </c>
      <c r="R595" s="41"/>
      <c r="S595" s="41"/>
      <c r="T595" s="63"/>
      <c r="U595" s="63"/>
      <c r="V595" s="70" t="n">
        <f aca="false">IFERROR(__xludf.dummyfunction("""COMPUTED_VALUE"""),46339)</f>
        <v>46339</v>
      </c>
      <c r="W595" s="39"/>
      <c r="X595" s="41" t="str">
        <f aca="false">IFERROR(__xludf.dummyfunction("""COMPUTED_VALUE"""),"Lent")</f>
        <v>Lent</v>
      </c>
      <c r="Y595" s="44" t="str">
        <f aca="false">IFERROR(__xludf.dummyfunction("""COMPUTED_VALUE"""),"done")</f>
        <v>done</v>
      </c>
      <c r="Z595" s="57" t="str">
        <f aca="false">IFERROR(__xludf.dummyfunction("""COMPUTED_VALUE"""),"#N/A")</f>
        <v>#N/A</v>
      </c>
      <c r="AA595" s="57"/>
      <c r="AB595" s="41" t="n">
        <f aca="false">IFERROR(__xludf.dummyfunction("""COMPUTED_VALUE"""),11)</f>
        <v>11</v>
      </c>
      <c r="AC595" s="57" t="str">
        <f aca="false">IFERROR(__xludf.dummyfunction("""COMPUTED_VALUE"""),"gv.tungnt@hocmai.edu.vn ")</f>
        <v>gv.tungnt@hocmai.edu.vn </v>
      </c>
      <c r="AD595" s="46" t="str">
        <f aca="false">IFERROR(__xludf.dummyfunction("""COMPUTED_VALUE"""),"trangcrazy699@gmail.com")</f>
        <v>trangcrazy699@gmail.com</v>
      </c>
      <c r="AE595" s="46"/>
      <c r="AF595" s="47" t="str">
        <f aca="false">IFERROR(__xludf.dummyfunction("""COMPUTED_VALUE"""),"lophoctoan-946336")</f>
        <v>lophoctoan-946336</v>
      </c>
      <c r="AG595" s="46" t="str">
        <f aca="false">IFERROR(__xludf.dummyfunction("""COMPUTED_VALUE"""),"")</f>
        <v/>
      </c>
      <c r="AH595" s="46"/>
      <c r="AI595" s="81" t="b">
        <f aca="false">IFERROR(__xludf.dummyfunction("""COMPUTED_VALUE"""),TRUE())</f>
        <v>1</v>
      </c>
      <c r="AJ595" s="81" t="b">
        <f aca="false">IFERROR(__xludf.dummyfunction("""COMPUTED_VALUE"""),TRUE())</f>
        <v>1</v>
      </c>
      <c r="AK595" s="81" t="b">
        <f aca="false">IFERROR(__xludf.dummyfunction("""COMPUTED_VALUE"""),TRUE())</f>
        <v>1</v>
      </c>
      <c r="AL595" s="81" t="b">
        <f aca="false">IFERROR(__xludf.dummyfunction("""COMPUTED_VALUE"""),TRUE())</f>
        <v>1</v>
      </c>
      <c r="AM595" s="46"/>
      <c r="AN595" s="46"/>
      <c r="AO595" s="46"/>
    </row>
    <row r="596" customFormat="false" ht="15.75" hidden="false" customHeight="true" outlineLevel="0" collapsed="false">
      <c r="A596" s="37" t="str">
        <f aca="false">IFERROR(__xludf.dummyfunction("""COMPUTED_VALUE"""),"Tiếng Việt")</f>
        <v>Tiếng Việt</v>
      </c>
      <c r="B596" s="37" t="str">
        <f aca="false">IFERROR(__xludf.dummyfunction("""COMPUTED_VALUE"""),"TOV_V-ACT_TV21")</f>
        <v>TOV_V-ACT_TV21</v>
      </c>
      <c r="C596" s="59" t="str">
        <f aca="false">IFERROR(__xludf.dummyfunction("""COMPUTED_VALUE"""),"Một số lỗi tạo lập câu ")</f>
        <v>Một số lỗi tạo lập câu </v>
      </c>
      <c r="D596" s="39" t="str">
        <f aca="false">IFERROR(__xludf.dummyfunction("""COMPUTED_VALUE"""),"Văn Trịnh Quỳnh An")</f>
        <v>Văn Trịnh Quỳnh An</v>
      </c>
      <c r="E596" s="40" t="n">
        <f aca="false">IFERROR(__xludf.dummyfunction("""COMPUTED_VALUE"""),46336)</f>
        <v>46336</v>
      </c>
      <c r="F596" s="41" t="n">
        <f aca="false">IFERROR(__xludf.dummyfunction("""COMPUTED_VALUE"""),3)</f>
        <v>3</v>
      </c>
      <c r="G596" s="37" t="str">
        <f aca="false">IFERROR(__xludf.dummyfunction("""COMPUTED_VALUE"""),"20:00-21:30")</f>
        <v>20:00-21:30</v>
      </c>
      <c r="H596" s="37"/>
      <c r="I596" s="37"/>
      <c r="J596" s="37"/>
      <c r="K596" s="68" t="str">
        <f aca="false">IFERROR(__xludf.dummyfunction("""COMPUTED_VALUE"""),"Hangvt3")</f>
        <v>Hangvt3</v>
      </c>
      <c r="L596" s="68" t="str">
        <f aca="false">IFERROR(__xludf.dummyfunction("""COMPUTED_VALUE"""),"Bùi Vĩnh Thọ")</f>
        <v>Bùi Vĩnh Thọ</v>
      </c>
      <c r="M596" s="71"/>
      <c r="N596" s="77" t="str">
        <f aca="false">IFERROR(__xludf.dummyfunction("""COMPUTED_VALUE"""),"3125,3338")</f>
        <v>3125,3338</v>
      </c>
      <c r="O596" s="73" t="n">
        <f aca="false">IFERROR(__xludf.dummyfunction("""COMPUTED_VALUE"""),167373.174788)</f>
        <v>167373.174788</v>
      </c>
      <c r="P596" s="63" t="n">
        <f aca="false">IFERROR(__xludf.dummyfunction("""COMPUTED_VALUE"""),174788)</f>
        <v>174788</v>
      </c>
      <c r="Q596" s="63"/>
      <c r="R596" s="41"/>
      <c r="S596" s="41"/>
      <c r="T596" s="63"/>
      <c r="U596" s="63"/>
      <c r="V596" s="70" t="n">
        <f aca="false">IFERROR(__xludf.dummyfunction("""COMPUTED_VALUE"""),46346)</f>
        <v>46346</v>
      </c>
      <c r="W596" s="39"/>
      <c r="X596" s="41" t="str">
        <f aca="false">IFERROR(__xludf.dummyfunction("""COMPUTED_VALUE"""),"Phuongdt")</f>
        <v>Phuongdt</v>
      </c>
      <c r="Y596" s="44" t="str">
        <f aca="false">IFERROR(__xludf.dummyfunction("""COMPUTED_VALUE"""),"done")</f>
        <v>done</v>
      </c>
      <c r="Z596" s="57" t="str">
        <f aca="false">IFERROR(__xludf.dummyfunction("""COMPUTED_VALUE"""),"#N/A")</f>
        <v>#N/A</v>
      </c>
      <c r="AA596" s="57"/>
      <c r="AB596" s="41" t="n">
        <f aca="false">IFERROR(__xludf.dummyfunction("""COMPUTED_VALUE"""),11)</f>
        <v>11</v>
      </c>
      <c r="AC596" s="57" t="str">
        <f aca="false">IFERROR(__xludf.dummyfunction("""COMPUTED_VALUE"""),"gv.anvtq@hocmai.edu.vn ")</f>
        <v>gv.anvtq@hocmai.edu.vn </v>
      </c>
      <c r="AD596" s="46" t="str">
        <f aca="false">IFERROR(__xludf.dummyfunction("""COMPUTED_VALUE"""),"vinhtho0704@gmail.com")</f>
        <v>vinhtho0704@gmail.com</v>
      </c>
      <c r="AE596" s="46"/>
      <c r="AF596" s="74" t="b">
        <f aca="false">IFERROR(__xludf.dummyfunction("""COMPUTED_VALUE"""),FALSE())</f>
        <v>0</v>
      </c>
      <c r="AG596" s="46" t="str">
        <f aca="false">IFERROR(__xludf.dummyfunction("""COMPUTED_VALUE"""),"")</f>
        <v/>
      </c>
      <c r="AH596" s="46"/>
      <c r="AI596" s="46"/>
      <c r="AJ596" s="46"/>
      <c r="AK596" s="46"/>
      <c r="AL596" s="46"/>
      <c r="AM596" s="81" t="b">
        <f aca="false">IFERROR(__xludf.dummyfunction("""COMPUTED_VALUE"""),TRUE())</f>
        <v>1</v>
      </c>
      <c r="AN596" s="81" t="b">
        <f aca="false">IFERROR(__xludf.dummyfunction("""COMPUTED_VALUE"""),TRUE())</f>
        <v>1</v>
      </c>
      <c r="AO596" s="46"/>
    </row>
    <row r="597" customFormat="false" ht="15.75" hidden="false" customHeight="true" outlineLevel="0" collapsed="false">
      <c r="A597" s="37" t="str">
        <f aca="false">IFERROR(__xludf.dummyfunction("""COMPUTED_VALUE"""),"Địa lí")</f>
        <v>Địa lí</v>
      </c>
      <c r="B597" s="37" t="str">
        <f aca="false">IFERROR(__xludf.dummyfunction("""COMPUTED_VALUE"""),"TOV_HSA_ĐL18")</f>
        <v>TOV_HSA_ĐL18</v>
      </c>
      <c r="C597" s="59" t="str">
        <f aca="false">IFERROR(__xludf.dummyfunction("""COMPUTED_VALUE"""),"Bắc Trung Bộ &amp; Nam Trung Bộ")</f>
        <v>Bắc Trung Bộ &amp; Nam Trung Bộ</v>
      </c>
      <c r="D597" s="39" t="str">
        <f aca="false">IFERROR(__xludf.dummyfunction("""COMPUTED_VALUE"""),"Nguyễn Văn Vinh")</f>
        <v>Nguyễn Văn Vinh</v>
      </c>
      <c r="E597" s="40" t="n">
        <f aca="false">IFERROR(__xludf.dummyfunction("""COMPUTED_VALUE"""),46336)</f>
        <v>46336</v>
      </c>
      <c r="F597" s="41" t="n">
        <f aca="false">IFERROR(__xludf.dummyfunction("""COMPUTED_VALUE"""),3)</f>
        <v>3</v>
      </c>
      <c r="G597" s="37" t="str">
        <f aca="false">IFERROR(__xludf.dummyfunction("""COMPUTED_VALUE"""),"18:30-20:30")</f>
        <v>18:30-20:30</v>
      </c>
      <c r="H597" s="37"/>
      <c r="I597" s="37"/>
      <c r="J597" s="37"/>
      <c r="K597" s="68" t="str">
        <f aca="false">IFERROR(__xludf.dummyfunction("""COMPUTED_VALUE"""),"Trinhntt")</f>
        <v>Trinhntt</v>
      </c>
      <c r="L597" s="68" t="str">
        <f aca="false">IFERROR(__xludf.dummyfunction("""COMPUTED_VALUE"""),"Phan Đức Kiên")</f>
        <v>Phan Đức Kiên</v>
      </c>
      <c r="M597" s="71"/>
      <c r="N597" s="77" t="str">
        <f aca="false">IFERROR(__xludf.dummyfunction("""COMPUTED_VALUE"""),"3123")</f>
        <v>3123</v>
      </c>
      <c r="O597" s="63" t="n">
        <f aca="false">IFERROR(__xludf.dummyfunction("""COMPUTED_VALUE"""),174764)</f>
        <v>174764</v>
      </c>
      <c r="P597" s="63"/>
      <c r="Q597" s="63" t="n">
        <f aca="false">IFERROR(__xludf.dummyfunction("""COMPUTED_VALUE"""),174764)</f>
        <v>174764</v>
      </c>
      <c r="R597" s="41"/>
      <c r="S597" s="41"/>
      <c r="T597" s="63"/>
      <c r="U597" s="63"/>
      <c r="V597" s="70" t="n">
        <f aca="false">IFERROR(__xludf.dummyfunction("""COMPUTED_VALUE"""),46339)</f>
        <v>46339</v>
      </c>
      <c r="W597" s="39"/>
      <c r="X597" s="41" t="str">
        <f aca="false">IFERROR(__xludf.dummyfunction("""COMPUTED_VALUE"""),"Huent7")</f>
        <v>Huent7</v>
      </c>
      <c r="Y597" s="44"/>
      <c r="Z597" s="57" t="str">
        <f aca="false">IFERROR(__xludf.dummyfunction("""COMPUTED_VALUE"""),"#N/A")</f>
        <v>#N/A</v>
      </c>
      <c r="AA597" s="57"/>
      <c r="AB597" s="41"/>
      <c r="AC597" s="57" t="str">
        <f aca="false">IFERROR(__xludf.dummyfunction("""COMPUTED_VALUE"""),"gv.vinhnv@hocmai.edu.vn")</f>
        <v>gv.vinhnv@hocmai.edu.vn</v>
      </c>
      <c r="AD597" s="46" t="str">
        <f aca="false">IFERROR(__xludf.dummyfunction("""COMPUTED_VALUE"""),"duckien010607@gmail.com")</f>
        <v>duckien010607@gmail.com</v>
      </c>
      <c r="AE597" s="46"/>
      <c r="AF597" s="74" t="b">
        <f aca="false">IFERROR(__xludf.dummyfunction("""COMPUTED_VALUE"""),FALSE())</f>
        <v>0</v>
      </c>
      <c r="AG597" s="46" t="str">
        <f aca="false">IFERROR(__xludf.dummyfunction("""COMPUTED_VALUE"""),"")</f>
        <v/>
      </c>
      <c r="AH597" s="46"/>
      <c r="AI597" s="46"/>
      <c r="AJ597" s="81" t="b">
        <f aca="false">IFERROR(__xludf.dummyfunction("""COMPUTED_VALUE"""),TRUE())</f>
        <v>1</v>
      </c>
      <c r="AK597" s="81" t="b">
        <f aca="false">IFERROR(__xludf.dummyfunction("""COMPUTED_VALUE"""),TRUE())</f>
        <v>1</v>
      </c>
      <c r="AL597" s="46"/>
      <c r="AM597" s="46"/>
      <c r="AN597" s="46"/>
      <c r="AO597" s="46"/>
    </row>
    <row r="598" customFormat="false" ht="15.75" hidden="false" customHeight="true" outlineLevel="0" collapsed="false">
      <c r="A598" s="37" t="str">
        <f aca="false">IFERROR(__xludf.dummyfunction("""COMPUTED_VALUE"""),"Định tính")</f>
        <v>Định tính</v>
      </c>
      <c r="B598" s="37" t="str">
        <f aca="false">IFERROR(__xludf.dummyfunction("""COMPUTED_VALUE"""),"TOV_HSA_DT20")</f>
        <v>TOV_HSA_DT20</v>
      </c>
      <c r="C598" s="59" t="str">
        <f aca="false">IFERROR(__xludf.dummyfunction("""COMPUTED_VALUE"""),"Câu hỏi đơn: Đặc điểm, phương pháp xử lý và kĩ năng loại trừ phương án gây nhiễu")</f>
        <v>Câu hỏi đơn: Đặc điểm, phương pháp xử lý và kĩ năng loại trừ phương án gây nhiễu</v>
      </c>
      <c r="D598" s="39" t="str">
        <f aca="false">IFERROR(__xludf.dummyfunction("""COMPUTED_VALUE"""),"Vương Thúy Hằng")</f>
        <v>Vương Thúy Hằng</v>
      </c>
      <c r="E598" s="40" t="n">
        <f aca="false">IFERROR(__xludf.dummyfunction("""COMPUTED_VALUE"""),46337)</f>
        <v>46337</v>
      </c>
      <c r="F598" s="41" t="n">
        <f aca="false">IFERROR(__xludf.dummyfunction("""COMPUTED_VALUE"""),4)</f>
        <v>4</v>
      </c>
      <c r="G598" s="37" t="str">
        <f aca="false">IFERROR(__xludf.dummyfunction("""COMPUTED_VALUE"""),"21:00-23:00")</f>
        <v>21:00-23:00</v>
      </c>
      <c r="H598" s="37"/>
      <c r="I598" s="37"/>
      <c r="J598" s="37"/>
      <c r="K598" s="68" t="str">
        <f aca="false">IFERROR(__xludf.dummyfunction("""COMPUTED_VALUE"""),"Hangvt3")</f>
        <v>Hangvt3</v>
      </c>
      <c r="L598" s="68" t="str">
        <f aca="false">IFERROR(__xludf.dummyfunction("""COMPUTED_VALUE"""),"Kiều Bảo Minh")</f>
        <v>Kiều Bảo Minh</v>
      </c>
      <c r="M598" s="71"/>
      <c r="N598" s="77" t="str">
        <f aca="false">IFERROR(__xludf.dummyfunction("""COMPUTED_VALUE"""),"3118")</f>
        <v>3118</v>
      </c>
      <c r="O598" s="63" t="n">
        <f aca="false">IFERROR(__xludf.dummyfunction("""COMPUTED_VALUE"""),167309)</f>
        <v>167309</v>
      </c>
      <c r="P598" s="63"/>
      <c r="Q598" s="63"/>
      <c r="R598" s="41"/>
      <c r="S598" s="41"/>
      <c r="T598" s="63"/>
      <c r="U598" s="63"/>
      <c r="V598" s="70" t="n">
        <f aca="false">IFERROR(__xludf.dummyfunction("""COMPUTED_VALUE"""),46340)</f>
        <v>46340</v>
      </c>
      <c r="W598" s="39"/>
      <c r="X598" s="41" t="str">
        <f aca="false">IFERROR(__xludf.dummyfunction("""COMPUTED_VALUE"""),"Phuongdt")</f>
        <v>Phuongdt</v>
      </c>
      <c r="Y598" s="44" t="str">
        <f aca="false">IFERROR(__xludf.dummyfunction("""COMPUTED_VALUE"""),"done")</f>
        <v>done</v>
      </c>
      <c r="Z598" s="57" t="str">
        <f aca="false">IFERROR(__xludf.dummyfunction("""COMPUTED_VALUE"""),"#N/A")</f>
        <v>#N/A</v>
      </c>
      <c r="AA598" s="57"/>
      <c r="AB598" s="41" t="n">
        <f aca="false">IFERROR(__xludf.dummyfunction("""COMPUTED_VALUE"""),11)</f>
        <v>11</v>
      </c>
      <c r="AC598" s="57" t="str">
        <f aca="false">IFERROR(__xludf.dummyfunction("""COMPUTED_VALUE"""),"gv.hangvt@hocmai.edu.vn ")</f>
        <v>gv.hangvt@hocmai.edu.vn </v>
      </c>
      <c r="AD598" s="46" t="str">
        <f aca="false">IFERROR(__xludf.dummyfunction("""COMPUTED_VALUE"""),"mkieu2662@gmail.com")</f>
        <v>mkieu2662@gmail.com</v>
      </c>
      <c r="AE598" s="46"/>
      <c r="AF598" s="74" t="b">
        <f aca="false">IFERROR(__xludf.dummyfunction("""COMPUTED_VALUE"""),FALSE())</f>
        <v>0</v>
      </c>
      <c r="AG598" s="46" t="str">
        <f aca="false">IFERROR(__xludf.dummyfunction("""COMPUTED_VALUE"""),"")</f>
        <v/>
      </c>
      <c r="AH598" s="46"/>
      <c r="AI598" s="46"/>
      <c r="AJ598" s="81" t="b">
        <f aca="false">IFERROR(__xludf.dummyfunction("""COMPUTED_VALUE"""),TRUE())</f>
        <v>1</v>
      </c>
      <c r="AK598" s="81" t="b">
        <f aca="false">IFERROR(__xludf.dummyfunction("""COMPUTED_VALUE"""),TRUE())</f>
        <v>1</v>
      </c>
      <c r="AL598" s="46"/>
      <c r="AM598" s="46"/>
      <c r="AN598" s="46"/>
      <c r="AO598" s="46"/>
    </row>
    <row r="599" customFormat="false" ht="15.75" hidden="false" customHeight="true" outlineLevel="0" collapsed="false">
      <c r="A599" s="37" t="str">
        <f aca="false">IFERROR(__xludf.dummyfunction("""COMPUTED_VALUE"""),"LG&amp;PTSL")</f>
        <v>LG&amp;PTSL</v>
      </c>
      <c r="B599" s="37" t="str">
        <f aca="false">IFERROR(__xludf.dummyfunction("""COMPUTED_VALUE"""),"TOV_V-ACT_LG04")</f>
        <v>TOV_V-ACT_LG04</v>
      </c>
      <c r="C599" s="59" t="str">
        <f aca="false">IFERROR(__xludf.dummyfunction("""COMPUTED_VALUE"""),"Bài toán logic sử dụng phương pháp lập luận logic và logic tổng hợp")</f>
        <v>Bài toán logic sử dụng phương pháp lập luận logic và logic tổng hợp</v>
      </c>
      <c r="D599" s="39" t="str">
        <f aca="false">IFERROR(__xludf.dummyfunction("""COMPUTED_VALUE"""),"Nguyễn Hoài Nam")</f>
        <v>Nguyễn Hoài Nam</v>
      </c>
      <c r="E599" s="40" t="n">
        <f aca="false">IFERROR(__xludf.dummyfunction("""COMPUTED_VALUE"""),46337)</f>
        <v>46337</v>
      </c>
      <c r="F599" s="41" t="n">
        <f aca="false">IFERROR(__xludf.dummyfunction("""COMPUTED_VALUE"""),4)</f>
        <v>4</v>
      </c>
      <c r="G599" s="37" t="str">
        <f aca="false">IFERROR(__xludf.dummyfunction("""COMPUTED_VALUE"""),"21:00-22:30")</f>
        <v>21:00-22:30</v>
      </c>
      <c r="H599" s="37"/>
      <c r="I599" s="37"/>
      <c r="J599" s="37"/>
      <c r="K599" s="68" t="str">
        <f aca="false">IFERROR(__xludf.dummyfunction("""COMPUTED_VALUE"""),"Lent")</f>
        <v>Lent</v>
      </c>
      <c r="L599" s="68" t="str">
        <f aca="false">IFERROR(__xludf.dummyfunction("""COMPUTED_VALUE"""),"Lường Nhật Nam")</f>
        <v>Lường Nhật Nam</v>
      </c>
      <c r="M599" s="71"/>
      <c r="N599" s="77" t="str">
        <f aca="false">IFERROR(__xludf.dummyfunction("""COMPUTED_VALUE"""),"3126,3340,3316")</f>
        <v>3126,3340,3316</v>
      </c>
      <c r="O599" s="73" t="str">
        <f aca="false">IFERROR(__xludf.dummyfunction("""COMPUTED_VALUE"""),"174799,174796,166882")</f>
        <v>174799,174796,166882</v>
      </c>
      <c r="P599" s="63" t="n">
        <f aca="false">IFERROR(__xludf.dummyfunction("""COMPUTED_VALUE"""),9045.9108)</f>
        <v>9045.9108</v>
      </c>
      <c r="Q599" s="63"/>
      <c r="R599" s="41"/>
      <c r="S599" s="41"/>
      <c r="T599" s="63"/>
      <c r="U599" s="63"/>
      <c r="V599" s="70" t="n">
        <f aca="false">IFERROR(__xludf.dummyfunction("""COMPUTED_VALUE"""),46340)</f>
        <v>46340</v>
      </c>
      <c r="W599" s="39"/>
      <c r="X599" s="41" t="str">
        <f aca="false">IFERROR(__xludf.dummyfunction("""COMPUTED_VALUE"""),"Lent")</f>
        <v>Lent</v>
      </c>
      <c r="Y599" s="44"/>
      <c r="Z599" s="57" t="str">
        <f aca="false">IFERROR(__xludf.dummyfunction("""COMPUTED_VALUE"""),"#N/A")</f>
        <v>#N/A</v>
      </c>
      <c r="AA599" s="57"/>
      <c r="AB599" s="41" t="n">
        <f aca="false">IFERROR(__xludf.dummyfunction("""COMPUTED_VALUE"""),11)</f>
        <v>11</v>
      </c>
      <c r="AC599" s="57" t="str">
        <f aca="false">IFERROR(__xludf.dummyfunction("""COMPUTED_VALUE"""),"gv.namnh@hocmai.edu.vn ")</f>
        <v>gv.namnh@hocmai.edu.vn </v>
      </c>
      <c r="AD599" s="46" t="str">
        <f aca="false">IFERROR(__xludf.dummyfunction("""COMPUTED_VALUE"""),"nhatnam1092@gmail.com")</f>
        <v>nhatnam1092@gmail.com</v>
      </c>
      <c r="AE599" s="46"/>
      <c r="AF599" s="74" t="b">
        <f aca="false">IFERROR(__xludf.dummyfunction("""COMPUTED_VALUE"""),FALSE())</f>
        <v>0</v>
      </c>
      <c r="AG599" s="46" t="str">
        <f aca="false">IFERROR(__xludf.dummyfunction("""COMPUTED_VALUE"""),"")</f>
        <v/>
      </c>
      <c r="AH599" s="46"/>
      <c r="AI599" s="46"/>
      <c r="AJ599" s="46"/>
      <c r="AK599" s="46"/>
      <c r="AL599" s="46"/>
      <c r="AM599" s="81" t="b">
        <f aca="false">IFERROR(__xludf.dummyfunction("""COMPUTED_VALUE"""),TRUE())</f>
        <v>1</v>
      </c>
      <c r="AN599" s="46"/>
      <c r="AO599" s="46"/>
    </row>
    <row r="600" customFormat="false" ht="15.75" hidden="false" customHeight="true" outlineLevel="0" collapsed="false">
      <c r="A600" s="37" t="str">
        <f aca="false">IFERROR(__xludf.dummyfunction("""COMPUTED_VALUE"""),"Ngữ văn")</f>
        <v>Ngữ văn</v>
      </c>
      <c r="B600" s="37" t="str">
        <f aca="false">IFERROR(__xludf.dummyfunction("""COMPUTED_VALUE"""),"TOV_TNTHPT_NV12")</f>
        <v>TOV_TNTHPT_NV12</v>
      </c>
      <c r="C600" s="59" t="str">
        <f aca="false">IFERROR(__xludf.dummyfunction("""COMPUTED_VALUE"""),"Hướng dẫn viết bài nghị luận xã hội")</f>
        <v>Hướng dẫn viết bài nghị luận xã hội</v>
      </c>
      <c r="D600" s="39" t="str">
        <f aca="false">IFERROR(__xludf.dummyfunction("""COMPUTED_VALUE"""),"Phạm Hữu Cường")</f>
        <v>Phạm Hữu Cường</v>
      </c>
      <c r="E600" s="40" t="n">
        <f aca="false">IFERROR(__xludf.dummyfunction("""COMPUTED_VALUE"""),46337)</f>
        <v>46337</v>
      </c>
      <c r="F600" s="41" t="n">
        <f aca="false">IFERROR(__xludf.dummyfunction("""COMPUTED_VALUE"""),4)</f>
        <v>4</v>
      </c>
      <c r="G600" s="37" t="str">
        <f aca="false">IFERROR(__xludf.dummyfunction("""COMPUTED_VALUE"""),"21:00-23:00")</f>
        <v>21:00-23:00</v>
      </c>
      <c r="H600" s="37"/>
      <c r="I600" s="37"/>
      <c r="J600" s="37"/>
      <c r="K600" s="68" t="str">
        <f aca="false">IFERROR(__xludf.dummyfunction("""COMPUTED_VALUE"""),"Hangvt3")</f>
        <v>Hangvt3</v>
      </c>
      <c r="L600" s="68" t="str">
        <f aca="false">IFERROR(__xludf.dummyfunction("""COMPUTED_VALUE"""),"Trần Đức Lương")</f>
        <v>Trần Đức Lương</v>
      </c>
      <c r="M600" s="71"/>
      <c r="N600" s="77" t="str">
        <f aca="false">IFERROR(__xludf.dummyfunction("""COMPUTED_VALUE"""),"3128")</f>
        <v>3128</v>
      </c>
      <c r="O600" s="63" t="n">
        <f aca="false">IFERROR(__xludf.dummyfunction("""COMPUTED_VALUE"""),167569)</f>
        <v>167569</v>
      </c>
      <c r="P600" s="63"/>
      <c r="Q600" s="63"/>
      <c r="R600" s="41"/>
      <c r="S600" s="41"/>
      <c r="T600" s="63"/>
      <c r="U600" s="63"/>
      <c r="V600" s="70" t="n">
        <f aca="false">IFERROR(__xludf.dummyfunction("""COMPUTED_VALUE"""),46340)</f>
        <v>46340</v>
      </c>
      <c r="W600" s="39"/>
      <c r="X600" s="41" t="str">
        <f aca="false">IFERROR(__xludf.dummyfunction("""COMPUTED_VALUE"""),"Phuongdt")</f>
        <v>Phuongdt</v>
      </c>
      <c r="Y600" s="44"/>
      <c r="Z600" s="57" t="str">
        <f aca="false">IFERROR(__xludf.dummyfunction("""COMPUTED_VALUE"""),"#N/A")</f>
        <v>#N/A</v>
      </c>
      <c r="AA600" s="57"/>
      <c r="AB600" s="41" t="n">
        <f aca="false">IFERROR(__xludf.dummyfunction("""COMPUTED_VALUE"""),11)</f>
        <v>11</v>
      </c>
      <c r="AC600" s="57" t="str">
        <f aca="false">IFERROR(__xludf.dummyfunction("""COMPUTED_VALUE"""),"gv.cuongph@hocmai.edu.vn ")</f>
        <v>gv.cuongph@hocmai.edu.vn </v>
      </c>
      <c r="AD600" s="46" t="str">
        <f aca="false">IFERROR(__xludf.dummyfunction("""COMPUTED_VALUE"""),"ss.hsa01@ctv.hocmai.vn")</f>
        <v>ss.hsa01@ctv.hocmai.vn</v>
      </c>
      <c r="AE600" s="46"/>
      <c r="AF600" s="74" t="b">
        <f aca="false">IFERROR(__xludf.dummyfunction("""COMPUTED_VALUE"""),FALSE())</f>
        <v>0</v>
      </c>
      <c r="AG600" s="46" t="str">
        <f aca="false">IFERROR(__xludf.dummyfunction("""COMPUTED_VALUE"""),"")</f>
        <v/>
      </c>
      <c r="AH600" s="46"/>
      <c r="AI600" s="46"/>
      <c r="AJ600" s="46"/>
      <c r="AK600" s="46"/>
      <c r="AL600" s="81" t="b">
        <f aca="false">IFERROR(__xludf.dummyfunction("""COMPUTED_VALUE"""),TRUE())</f>
        <v>1</v>
      </c>
      <c r="AM600" s="46"/>
      <c r="AN600" s="46"/>
      <c r="AO600" s="46"/>
    </row>
    <row r="601" customFormat="false" ht="15.75" hidden="false" customHeight="true" outlineLevel="0" collapsed="false">
      <c r="A601" s="37" t="str">
        <f aca="false">IFERROR(__xludf.dummyfunction("""COMPUTED_VALUE"""),"Vật lí")</f>
        <v>Vật lí</v>
      </c>
      <c r="B601" s="37" t="str">
        <f aca="false">IFERROR(__xludf.dummyfunction("""COMPUTED_VALUE"""),"TOV_TSA_L21")</f>
        <v>TOV_TSA_L21</v>
      </c>
      <c r="C601" s="59" t="str">
        <f aca="false">IFERROR(__xludf.dummyfunction("""COMPUTED_VALUE"""),"Phương pháp xử lí dạng ngữ liệu Quan điểm xung đột")</f>
        <v>Phương pháp xử lí dạng ngữ liệu Quan điểm xung đột</v>
      </c>
      <c r="D601" s="39" t="str">
        <f aca="false">IFERROR(__xludf.dummyfunction("""COMPUTED_VALUE"""),"Thiều Thị Dung")</f>
        <v>Thiều Thị Dung</v>
      </c>
      <c r="E601" s="40" t="n">
        <f aca="false">IFERROR(__xludf.dummyfunction("""COMPUTED_VALUE"""),46338)</f>
        <v>46338</v>
      </c>
      <c r="F601" s="41" t="n">
        <f aca="false">IFERROR(__xludf.dummyfunction("""COMPUTED_VALUE"""),5)</f>
        <v>5</v>
      </c>
      <c r="G601" s="37" t="str">
        <f aca="false">IFERROR(__xludf.dummyfunction("""COMPUTED_VALUE"""),"21:00-23:00")</f>
        <v>21:00-23:00</v>
      </c>
      <c r="H601" s="37"/>
      <c r="I601" s="37"/>
      <c r="J601" s="37"/>
      <c r="K601" s="68" t="str">
        <f aca="false">IFERROR(__xludf.dummyfunction("""COMPUTED_VALUE"""),"Trangnth2")</f>
        <v>Trangnth2</v>
      </c>
      <c r="L601" s="68" t="str">
        <f aca="false">IFERROR(__xludf.dummyfunction("""COMPUTED_VALUE"""),"Trần Đức Lương")</f>
        <v>Trần Đức Lương</v>
      </c>
      <c r="M601" s="71"/>
      <c r="N601" s="77" t="str">
        <f aca="false">IFERROR(__xludf.dummyfunction("""COMPUTED_VALUE"""),"3110")</f>
        <v>3110</v>
      </c>
      <c r="O601" s="63" t="n">
        <f aca="false">IFERROR(__xludf.dummyfunction("""COMPUTED_VALUE"""),167287)</f>
        <v>167287</v>
      </c>
      <c r="P601" s="63"/>
      <c r="Q601" s="63"/>
      <c r="R601" s="41"/>
      <c r="S601" s="41"/>
      <c r="T601" s="63"/>
      <c r="U601" s="63"/>
      <c r="V601" s="70" t="n">
        <f aca="false">IFERROR(__xludf.dummyfunction("""COMPUTED_VALUE"""),46341)</f>
        <v>46341</v>
      </c>
      <c r="W601" s="39"/>
      <c r="X601" s="41" t="str">
        <f aca="false">IFERROR(__xludf.dummyfunction("""COMPUTED_VALUE"""),"Trangnth2")</f>
        <v>Trangnth2</v>
      </c>
      <c r="Y601" s="44"/>
      <c r="Z601" s="57" t="str">
        <f aca="false">IFERROR(__xludf.dummyfunction("""COMPUTED_VALUE"""),"#N/A")</f>
        <v>#N/A</v>
      </c>
      <c r="AA601" s="57"/>
      <c r="AB601" s="41" t="n">
        <f aca="false">IFERROR(__xludf.dummyfunction("""COMPUTED_VALUE"""),11)</f>
        <v>11</v>
      </c>
      <c r="AC601" s="57" t="str">
        <f aca="false">IFERROR(__xludf.dummyfunction("""COMPUTED_VALUE"""),"dungtt2@hocmai.vn                ")</f>
        <v>dungtt2@hocmai.vn                </v>
      </c>
      <c r="AD601" s="46" t="str">
        <f aca="false">IFERROR(__xludf.dummyfunction("""COMPUTED_VALUE"""),"ss.hsa01@ctv.hocmai.vn")</f>
        <v>ss.hsa01@ctv.hocmai.vn</v>
      </c>
      <c r="AE601" s="46"/>
      <c r="AF601" s="74" t="b">
        <f aca="false">IFERROR(__xludf.dummyfunction("""COMPUTED_VALUE"""),FALSE())</f>
        <v>0</v>
      </c>
      <c r="AG601" s="46" t="str">
        <f aca="false">IFERROR(__xludf.dummyfunction("""COMPUTED_VALUE"""),"")</f>
        <v/>
      </c>
      <c r="AH601" s="46"/>
      <c r="AI601" s="81" t="b">
        <f aca="false">IFERROR(__xludf.dummyfunction("""COMPUTED_VALUE"""),TRUE())</f>
        <v>1</v>
      </c>
      <c r="AJ601" s="46"/>
      <c r="AK601" s="46"/>
      <c r="AL601" s="46"/>
      <c r="AM601" s="46"/>
      <c r="AN601" s="46"/>
      <c r="AO601" s="46"/>
    </row>
    <row r="602" customFormat="false" ht="15.75" hidden="false" customHeight="true" outlineLevel="0" collapsed="false">
      <c r="A602" s="37" t="str">
        <f aca="false">IFERROR(__xludf.dummyfunction("""COMPUTED_VALUE"""),"Toán")</f>
        <v>Toán</v>
      </c>
      <c r="B602" s="37" t="str">
        <f aca="false">IFERROR(__xludf.dummyfunction("""COMPUTED_VALUE"""),"TOA_V-ACT_T21")</f>
        <v>TOA_V-ACT_T21</v>
      </c>
      <c r="C602" s="59" t="str">
        <f aca="false">IFERROR(__xludf.dummyfunction("""COMPUTED_VALUE"""),"Phương pháp, kĩ năng xử lí các bài toán về hình học Oxyz (P3)")</f>
        <v>Phương pháp, kĩ năng xử lí các bài toán về hình học Oxyz (P3)</v>
      </c>
      <c r="D602" s="39" t="str">
        <f aca="false">IFERROR(__xludf.dummyfunction("""COMPUTED_VALUE"""),"Nguyễn Hoài Nam")</f>
        <v>Nguyễn Hoài Nam</v>
      </c>
      <c r="E602" s="40" t="n">
        <f aca="false">IFERROR(__xludf.dummyfunction("""COMPUTED_VALUE"""),46338)</f>
        <v>46338</v>
      </c>
      <c r="F602" s="41" t="n">
        <f aca="false">IFERROR(__xludf.dummyfunction("""COMPUTED_VALUE"""),5)</f>
        <v>5</v>
      </c>
      <c r="G602" s="37" t="str">
        <f aca="false">IFERROR(__xludf.dummyfunction("""COMPUTED_VALUE"""),"21:00-22:30")</f>
        <v>21:00-22:30</v>
      </c>
      <c r="H602" s="37"/>
      <c r="I602" s="37"/>
      <c r="J602" s="37"/>
      <c r="K602" s="68" t="str">
        <f aca="false">IFERROR(__xludf.dummyfunction("""COMPUTED_VALUE"""),"Lent")</f>
        <v>Lent</v>
      </c>
      <c r="L602" s="68" t="str">
        <f aca="false">IFERROR(__xludf.dummyfunction("""COMPUTED_VALUE"""),"Lường Nhật Nam")</f>
        <v>Lường Nhật Nam</v>
      </c>
      <c r="M602" s="71"/>
      <c r="N602" s="77" t="str">
        <f aca="false">IFERROR(__xludf.dummyfunction("""COMPUTED_VALUE"""),"3124,3316")</f>
        <v>3124,3316</v>
      </c>
      <c r="O602" s="73" t="n">
        <f aca="false">IFERROR(__xludf.dummyfunction("""COMPUTED_VALUE"""),167206.166875)</f>
        <v>167206.166875</v>
      </c>
      <c r="P602" s="63" t="n">
        <f aca="false">IFERROR(__xludf.dummyfunction("""COMPUTED_VALUE"""),9044.9108)</f>
        <v>9044.9108</v>
      </c>
      <c r="Q602" s="63" t="n">
        <f aca="false">IFERROR(__xludf.dummyfunction("""COMPUTED_VALUE"""),167206)</f>
        <v>167206</v>
      </c>
      <c r="R602" s="41" t="n">
        <f aca="false">IFERROR(__xludf.dummyfunction("""COMPUTED_VALUE"""),166875)</f>
        <v>166875</v>
      </c>
      <c r="S602" s="41"/>
      <c r="T602" s="63"/>
      <c r="U602" s="63"/>
      <c r="V602" s="70" t="n">
        <f aca="false">IFERROR(__xludf.dummyfunction("""COMPUTED_VALUE"""),46341)</f>
        <v>46341</v>
      </c>
      <c r="W602" s="39"/>
      <c r="X602" s="41" t="str">
        <f aca="false">IFERROR(__xludf.dummyfunction("""COMPUTED_VALUE"""),"Lent")</f>
        <v>Lent</v>
      </c>
      <c r="Y602" s="44" t="str">
        <f aca="false">IFERROR(__xludf.dummyfunction("""COMPUTED_VALUE"""),"done")</f>
        <v>done</v>
      </c>
      <c r="Z602" s="57" t="str">
        <f aca="false">IFERROR(__xludf.dummyfunction("""COMPUTED_VALUE"""),"#N/A")</f>
        <v>#N/A</v>
      </c>
      <c r="AA602" s="57"/>
      <c r="AB602" s="41" t="n">
        <f aca="false">IFERROR(__xludf.dummyfunction("""COMPUTED_VALUE"""),11)</f>
        <v>11</v>
      </c>
      <c r="AC602" s="57" t="str">
        <f aca="false">IFERROR(__xludf.dummyfunction("""COMPUTED_VALUE"""),"gv.namnh@hocmai.edu.vn ")</f>
        <v>gv.namnh@hocmai.edu.vn </v>
      </c>
      <c r="AD602" s="46" t="str">
        <f aca="false">IFERROR(__xludf.dummyfunction("""COMPUTED_VALUE"""),"nhatnam1092@gmail.com")</f>
        <v>nhatnam1092@gmail.com</v>
      </c>
      <c r="AE602" s="46"/>
      <c r="AF602" s="47" t="str">
        <f aca="false">IFERROR(__xludf.dummyfunction("""COMPUTED_VALUE"""),"lophoctoan-946338")</f>
        <v>lophoctoan-946338</v>
      </c>
      <c r="AG602" s="46" t="str">
        <f aca="false">IFERROR(__xludf.dummyfunction("""COMPUTED_VALUE"""),"")</f>
        <v/>
      </c>
      <c r="AH602" s="46"/>
      <c r="AI602" s="46"/>
      <c r="AJ602" s="46"/>
      <c r="AK602" s="46"/>
      <c r="AL602" s="46"/>
      <c r="AM602" s="81" t="b">
        <f aca="false">IFERROR(__xludf.dummyfunction("""COMPUTED_VALUE"""),TRUE())</f>
        <v>1</v>
      </c>
      <c r="AN602" s="81" t="b">
        <f aca="false">IFERROR(__xludf.dummyfunction("""COMPUTED_VALUE"""),TRUE())</f>
        <v>1</v>
      </c>
      <c r="AO602" s="46"/>
    </row>
    <row r="603" customFormat="false" ht="15.75" hidden="false" customHeight="true" outlineLevel="0" collapsed="false">
      <c r="A603" s="37" t="str">
        <f aca="false">IFERROR(__xludf.dummyfunction("""COMPUTED_VALUE"""),"Toán")</f>
        <v>Toán</v>
      </c>
      <c r="B603" s="37" t="str">
        <f aca="false">IFERROR(__xludf.dummyfunction("""COMPUTED_VALUE"""),"TOV_TSA_T22")</f>
        <v>TOV_TSA_T22</v>
      </c>
      <c r="C603" s="59" t="str">
        <f aca="false">IFERROR(__xludf.dummyfunction("""COMPUTED_VALUE"""),"Các dạng câu hỏi hay gặp trong hình học Oxyz")</f>
        <v>Các dạng câu hỏi hay gặp trong hình học Oxyz</v>
      </c>
      <c r="D603" s="39" t="str">
        <f aca="false">IFERROR(__xludf.dummyfunction("""COMPUTED_VALUE"""),"Nguyễn Thanh Tùng")</f>
        <v>Nguyễn Thanh Tùng</v>
      </c>
      <c r="E603" s="40" t="n">
        <f aca="false">IFERROR(__xludf.dummyfunction("""COMPUTED_VALUE"""),46339)</f>
        <v>46339</v>
      </c>
      <c r="F603" s="41" t="n">
        <f aca="false">IFERROR(__xludf.dummyfunction("""COMPUTED_VALUE"""),6)</f>
        <v>6</v>
      </c>
      <c r="G603" s="37" t="str">
        <f aca="false">IFERROR(__xludf.dummyfunction("""COMPUTED_VALUE"""),"18:00-20:00")</f>
        <v>18:00-20:00</v>
      </c>
      <c r="H603" s="37"/>
      <c r="I603" s="37"/>
      <c r="J603" s="37"/>
      <c r="K603" s="68" t="str">
        <f aca="false">IFERROR(__xludf.dummyfunction("""COMPUTED_VALUE"""),"Locdd")</f>
        <v>Locdd</v>
      </c>
      <c r="L603" s="68" t="str">
        <f aca="false">IFERROR(__xludf.dummyfunction("""COMPUTED_VALUE"""),"Tưởng Thị Huyền Trang")</f>
        <v>Tưởng Thị Huyền Trang</v>
      </c>
      <c r="M603" s="71"/>
      <c r="N603" s="77" t="str">
        <f aca="false">IFERROR(__xludf.dummyfunction("""COMPUTED_VALUE"""),"3108")</f>
        <v>3108</v>
      </c>
      <c r="O603" s="63" t="n">
        <f aca="false">IFERROR(__xludf.dummyfunction("""COMPUTED_VALUE"""),168397)</f>
        <v>168397</v>
      </c>
      <c r="P603" s="63"/>
      <c r="Q603" s="63"/>
      <c r="R603" s="41"/>
      <c r="S603" s="41"/>
      <c r="T603" s="63"/>
      <c r="U603" s="63"/>
      <c r="V603" s="70" t="n">
        <f aca="false">IFERROR(__xludf.dummyfunction("""COMPUTED_VALUE"""),46342)</f>
        <v>46342</v>
      </c>
      <c r="W603" s="39"/>
      <c r="X603" s="41" t="str">
        <f aca="false">IFERROR(__xludf.dummyfunction("""COMPUTED_VALUE"""),"Locdd")</f>
        <v>Locdd</v>
      </c>
      <c r="Y603" s="44" t="str">
        <f aca="false">IFERROR(__xludf.dummyfunction("""COMPUTED_VALUE"""),"done")</f>
        <v>done</v>
      </c>
      <c r="Z603" s="57" t="str">
        <f aca="false">IFERROR(__xludf.dummyfunction("""COMPUTED_VALUE"""),"#N/A")</f>
        <v>#N/A</v>
      </c>
      <c r="AA603" s="57"/>
      <c r="AB603" s="41" t="n">
        <f aca="false">IFERROR(__xludf.dummyfunction("""COMPUTED_VALUE"""),11)</f>
        <v>11</v>
      </c>
      <c r="AC603" s="57" t="str">
        <f aca="false">IFERROR(__xludf.dummyfunction("""COMPUTED_VALUE"""),"gv.tungnt@hocmai.edu.vn ")</f>
        <v>gv.tungnt@hocmai.edu.vn </v>
      </c>
      <c r="AD603" s="46" t="str">
        <f aca="false">IFERROR(__xludf.dummyfunction("""COMPUTED_VALUE"""),"trangcrazy699@gmail.com")</f>
        <v>trangcrazy699@gmail.com</v>
      </c>
      <c r="AE603" s="46"/>
      <c r="AF603" s="47" t="str">
        <f aca="false">IFERROR(__xludf.dummyfunction("""COMPUTED_VALUE"""),"lophoctoan-946339")</f>
        <v>lophoctoan-946339</v>
      </c>
      <c r="AG603" s="46" t="str">
        <f aca="false">IFERROR(__xludf.dummyfunction("""COMPUTED_VALUE"""),"")</f>
        <v/>
      </c>
      <c r="AH603" s="46"/>
      <c r="AI603" s="81" t="b">
        <f aca="false">IFERROR(__xludf.dummyfunction("""COMPUTED_VALUE"""),TRUE())</f>
        <v>1</v>
      </c>
      <c r="AJ603" s="46"/>
      <c r="AK603" s="46"/>
      <c r="AL603" s="46"/>
      <c r="AM603" s="46"/>
      <c r="AN603" s="46"/>
      <c r="AO603" s="46"/>
    </row>
    <row r="604" customFormat="false" ht="15.75" hidden="false" customHeight="true" outlineLevel="0" collapsed="false">
      <c r="A604" s="37" t="str">
        <f aca="false">IFERROR(__xludf.dummyfunction("""COMPUTED_VALUE"""),"Lịch sử")</f>
        <v>Lịch sử</v>
      </c>
      <c r="B604" s="37" t="str">
        <f aca="false">IFERROR(__xludf.dummyfunction("""COMPUTED_VALUE"""),"TOV_HSA_LS20")</f>
        <v>TOV_HSA_LS20</v>
      </c>
      <c r="C604" s="59" t="str">
        <f aca="false">IFERROR(__xludf.dummyfunction("""COMPUTED_VALUE"""),"Tổng ôn, hệ thống phương pháp kĩ năng")</f>
        <v>Tổng ôn, hệ thống phương pháp kĩ năng</v>
      </c>
      <c r="D604" s="39" t="str">
        <f aca="false">IFERROR(__xludf.dummyfunction("""COMPUTED_VALUE"""),"Dương Thị Huyền")</f>
        <v>Dương Thị Huyền</v>
      </c>
      <c r="E604" s="40" t="n">
        <f aca="false">IFERROR(__xludf.dummyfunction("""COMPUTED_VALUE"""),46339)</f>
        <v>46339</v>
      </c>
      <c r="F604" s="41" t="n">
        <f aca="false">IFERROR(__xludf.dummyfunction("""COMPUTED_VALUE"""),6)</f>
        <v>6</v>
      </c>
      <c r="G604" s="37" t="str">
        <f aca="false">IFERROR(__xludf.dummyfunction("""COMPUTED_VALUE"""),"21:30-23:30")</f>
        <v>21:30-23:30</v>
      </c>
      <c r="H604" s="37"/>
      <c r="I604" s="37"/>
      <c r="J604" s="37"/>
      <c r="K604" s="68" t="str">
        <f aca="false">IFERROR(__xludf.dummyfunction("""COMPUTED_VALUE"""),"Trinhntt")</f>
        <v>Trinhntt</v>
      </c>
      <c r="L604" s="68" t="str">
        <f aca="false">IFERROR(__xludf.dummyfunction("""COMPUTED_VALUE"""),"Phan Đức Kiên")</f>
        <v>Phan Đức Kiên</v>
      </c>
      <c r="M604" s="71"/>
      <c r="N604" s="77" t="str">
        <f aca="false">IFERROR(__xludf.dummyfunction("""COMPUTED_VALUE"""),"3122")</f>
        <v>3122</v>
      </c>
      <c r="O604" s="63" t="n">
        <f aca="false">IFERROR(__xludf.dummyfunction("""COMPUTED_VALUE"""),174747)</f>
        <v>174747</v>
      </c>
      <c r="P604" s="63"/>
      <c r="Q604" s="63"/>
      <c r="R604" s="41"/>
      <c r="S604" s="41"/>
      <c r="T604" s="63"/>
      <c r="U604" s="63"/>
      <c r="V604" s="70" t="n">
        <f aca="false">IFERROR(__xludf.dummyfunction("""COMPUTED_VALUE"""),46342)</f>
        <v>46342</v>
      </c>
      <c r="W604" s="39"/>
      <c r="X604" s="41" t="str">
        <f aca="false">IFERROR(__xludf.dummyfunction("""COMPUTED_VALUE"""),"Huent7")</f>
        <v>Huent7</v>
      </c>
      <c r="Y604" s="44"/>
      <c r="Z604" s="57" t="str">
        <f aca="false">IFERROR(__xludf.dummyfunction("""COMPUTED_VALUE"""),"#N/A")</f>
        <v>#N/A</v>
      </c>
      <c r="AA604" s="57"/>
      <c r="AB604" s="41"/>
      <c r="AC604" s="57" t="str">
        <f aca="false">IFERROR(__xludf.dummyfunction("""COMPUTED_VALUE"""),"gv.huyendt2@hocmai.edu.vn")</f>
        <v>gv.huyendt2@hocmai.edu.vn</v>
      </c>
      <c r="AD604" s="46" t="str">
        <f aca="false">IFERROR(__xludf.dummyfunction("""COMPUTED_VALUE"""),"duckien010607@gmail.com")</f>
        <v>duckien010607@gmail.com</v>
      </c>
      <c r="AE604" s="46"/>
      <c r="AF604" s="74" t="b">
        <f aca="false">IFERROR(__xludf.dummyfunction("""COMPUTED_VALUE"""),FALSE())</f>
        <v>0</v>
      </c>
      <c r="AG604" s="46" t="str">
        <f aca="false">IFERROR(__xludf.dummyfunction("""COMPUTED_VALUE"""),"")</f>
        <v/>
      </c>
      <c r="AH604" s="46"/>
      <c r="AI604" s="46"/>
      <c r="AJ604" s="81" t="b">
        <f aca="false">IFERROR(__xludf.dummyfunction("""COMPUTED_VALUE"""),TRUE())</f>
        <v>1</v>
      </c>
      <c r="AK604" s="81" t="b">
        <f aca="false">IFERROR(__xludf.dummyfunction("""COMPUTED_VALUE"""),TRUE())</f>
        <v>1</v>
      </c>
      <c r="AL604" s="46"/>
      <c r="AM604" s="46"/>
      <c r="AN604" s="46"/>
      <c r="AO604" s="46"/>
    </row>
    <row r="605" customFormat="false" ht="15.75" hidden="false" customHeight="true" outlineLevel="0" collapsed="false">
      <c r="A605" s="37" t="str">
        <f aca="false">IFERROR(__xludf.dummyfunction("""COMPUTED_VALUE"""),"Sinh học")</f>
        <v>Sinh học</v>
      </c>
      <c r="B605" s="37" t="str">
        <f aca="false">IFERROR(__xludf.dummyfunction("""COMPUTED_VALUE"""),"TOV_TSA_S11")</f>
        <v>TOV_TSA_S11</v>
      </c>
      <c r="C605" s="59" t="str">
        <f aca="false">IFERROR(__xludf.dummyfunction("""COMPUTED_VALUE"""),"Ứng dụng sinh học trong thực tiễn đời sống")</f>
        <v>Ứng dụng sinh học trong thực tiễn đời sống</v>
      </c>
      <c r="D605" s="39" t="str">
        <f aca="false">IFERROR(__xludf.dummyfunction("""COMPUTED_VALUE"""),"Vũ Khắc Ngọc")</f>
        <v>Vũ Khắc Ngọc</v>
      </c>
      <c r="E605" s="40" t="n">
        <f aca="false">IFERROR(__xludf.dummyfunction("""COMPUTED_VALUE"""),46340)</f>
        <v>46340</v>
      </c>
      <c r="F605" s="41" t="n">
        <f aca="false">IFERROR(__xludf.dummyfunction("""COMPUTED_VALUE"""),7)</f>
        <v>7</v>
      </c>
      <c r="G605" s="37" t="str">
        <f aca="false">IFERROR(__xludf.dummyfunction("""COMPUTED_VALUE"""),"21:30-23:30")</f>
        <v>21:30-23:30</v>
      </c>
      <c r="H605" s="37"/>
      <c r="I605" s="37"/>
      <c r="J605" s="37"/>
      <c r="K605" s="68" t="str">
        <f aca="false">IFERROR(__xludf.dummyfunction("""COMPUTED_VALUE"""),"Phuongdt")</f>
        <v>Phuongdt</v>
      </c>
      <c r="L605" s="68" t="str">
        <f aca="false">IFERROR(__xludf.dummyfunction("""COMPUTED_VALUE"""),"Bùi Vĩnh Thọ")</f>
        <v>Bùi Vĩnh Thọ</v>
      </c>
      <c r="M605" s="71"/>
      <c r="N605" s="77" t="str">
        <f aca="false">IFERROR(__xludf.dummyfunction("""COMPUTED_VALUE"""),"3110")</f>
        <v>3110</v>
      </c>
      <c r="O605" s="63" t="n">
        <f aca="false">IFERROR(__xludf.dummyfunction("""COMPUTED_VALUE"""),167288)</f>
        <v>167288</v>
      </c>
      <c r="P605" s="63"/>
      <c r="Q605" s="63"/>
      <c r="R605" s="41"/>
      <c r="S605" s="41"/>
      <c r="T605" s="63" t="n">
        <f aca="false">IFERROR(__xludf.dummyfunction("""COMPUTED_VALUE"""),23689)</f>
        <v>23689</v>
      </c>
      <c r="U605" s="63" t="n">
        <f aca="false">IFERROR(__xludf.dummyfunction("""COMPUTED_VALUE"""),10621)</f>
        <v>10621</v>
      </c>
      <c r="V605" s="70" t="n">
        <f aca="false">IFERROR(__xludf.dummyfunction("""COMPUTED_VALUE"""),46343)</f>
        <v>46343</v>
      </c>
      <c r="W605" s="39"/>
      <c r="X605" s="41" t="str">
        <f aca="false">IFERROR(__xludf.dummyfunction("""COMPUTED_VALUE"""),"Phuongdt")</f>
        <v>Phuongdt</v>
      </c>
      <c r="Y605" s="44" t="str">
        <f aca="false">IFERROR(__xludf.dummyfunction("""COMPUTED_VALUE"""),"done")</f>
        <v>done</v>
      </c>
      <c r="Z605" s="57" t="str">
        <f aca="false">IFERROR(__xludf.dummyfunction("""COMPUTED_VALUE"""),"#N/A")</f>
        <v>#N/A</v>
      </c>
      <c r="AA605" s="57"/>
      <c r="AB605" s="41" t="n">
        <f aca="false">IFERROR(__xludf.dummyfunction("""COMPUTED_VALUE"""),11)</f>
        <v>11</v>
      </c>
      <c r="AC605" s="57" t="str">
        <f aca="false">IFERROR(__xludf.dummyfunction("""COMPUTED_VALUE"""),"gv.ngocvk@hocmai.edu.vn")</f>
        <v>gv.ngocvk@hocmai.edu.vn</v>
      </c>
      <c r="AD605" s="46" t="str">
        <f aca="false">IFERROR(__xludf.dummyfunction("""COMPUTED_VALUE"""),"vinhtho0704@gmail.com")</f>
        <v>vinhtho0704@gmail.com</v>
      </c>
      <c r="AE605" s="46"/>
      <c r="AF605" s="74" t="b">
        <f aca="false">IFERROR(__xludf.dummyfunction("""COMPUTED_VALUE"""),FALSE())</f>
        <v>0</v>
      </c>
      <c r="AG605" s="46" t="str">
        <f aca="false">IFERROR(__xludf.dummyfunction("""COMPUTED_VALUE"""),"")</f>
        <v/>
      </c>
      <c r="AH605" s="46"/>
      <c r="AI605" s="81" t="b">
        <f aca="false">IFERROR(__xludf.dummyfunction("""COMPUTED_VALUE"""),TRUE())</f>
        <v>1</v>
      </c>
      <c r="AJ605" s="46"/>
      <c r="AK605" s="46"/>
      <c r="AL605" s="46"/>
      <c r="AM605" s="46"/>
      <c r="AN605" s="46"/>
      <c r="AO605" s="46"/>
    </row>
    <row r="606" customFormat="false" ht="15.75" hidden="false" customHeight="true" outlineLevel="0" collapsed="false">
      <c r="A606" s="37" t="str">
        <f aca="false">IFERROR(__xludf.dummyfunction("""COMPUTED_VALUE"""),"Khoa học")</f>
        <v>Khoa học</v>
      </c>
      <c r="B606" s="37" t="str">
        <f aca="false">IFERROR(__xludf.dummyfunction("""COMPUTED_VALUE"""),"TOS_V-ACT_KH22")</f>
        <v>TOS_V-ACT_KH22</v>
      </c>
      <c r="C606" s="59" t="str">
        <f aca="false">IFERROR(__xludf.dummyfunction("""COMPUTED_VALUE"""),"Thực hành “nội suy” và “ngoại suy” từ bảng số liệu khoa học (P2).")</f>
        <v>Thực hành “nội suy” và “ngoại suy” từ bảng số liệu khoa học (P2).</v>
      </c>
      <c r="D606" s="39" t="str">
        <f aca="false">IFERROR(__xludf.dummyfunction("""COMPUTED_VALUE"""),"Lê Văn Minh")</f>
        <v>Lê Văn Minh</v>
      </c>
      <c r="E606" s="40" t="n">
        <f aca="false">IFERROR(__xludf.dummyfunction("""COMPUTED_VALUE"""),46340)</f>
        <v>46340</v>
      </c>
      <c r="F606" s="41" t="n">
        <f aca="false">IFERROR(__xludf.dummyfunction("""COMPUTED_VALUE"""),7)</f>
        <v>7</v>
      </c>
      <c r="G606" s="37" t="str">
        <f aca="false">IFERROR(__xludf.dummyfunction("""COMPUTED_VALUE"""),"20:30-22:00")</f>
        <v>20:30-22:00</v>
      </c>
      <c r="H606" s="37"/>
      <c r="I606" s="37"/>
      <c r="J606" s="37"/>
      <c r="K606" s="68" t="str">
        <f aca="false">IFERROR(__xludf.dummyfunction("""COMPUTED_VALUE"""),"Kimnq")</f>
        <v>Kimnq</v>
      </c>
      <c r="L606" s="68" t="str">
        <f aca="false">IFERROR(__xludf.dummyfunction("""COMPUTED_VALUE"""),"Lê Quốc Việt")</f>
        <v>Lê Quốc Việt</v>
      </c>
      <c r="M606" s="71"/>
      <c r="N606" s="77" t="str">
        <f aca="false">IFERROR(__xludf.dummyfunction("""COMPUTED_VALUE"""),"3340,3126")</f>
        <v>3340,3126</v>
      </c>
      <c r="O606" s="73" t="n">
        <f aca="false">IFERROR(__xludf.dummyfunction("""COMPUTED_VALUE"""),167513.1674)</f>
        <v>167513.1674</v>
      </c>
      <c r="P606" s="63"/>
      <c r="Q606" s="63"/>
      <c r="R606" s="41"/>
      <c r="S606" s="41"/>
      <c r="T606" s="63"/>
      <c r="U606" s="63"/>
      <c r="V606" s="70" t="n">
        <f aca="false">IFERROR(__xludf.dummyfunction("""COMPUTED_VALUE"""),46343)</f>
        <v>46343</v>
      </c>
      <c r="W606" s="39"/>
      <c r="X606" s="41" t="str">
        <f aca="false">IFERROR(__xludf.dummyfunction("""COMPUTED_VALUE"""),"Kimnq")</f>
        <v>Kimnq</v>
      </c>
      <c r="Y606" s="44" t="str">
        <f aca="false">IFERROR(__xludf.dummyfunction("""COMPUTED_VALUE"""),"done")</f>
        <v>done</v>
      </c>
      <c r="Z606" s="57" t="str">
        <f aca="false">IFERROR(__xludf.dummyfunction("""COMPUTED_VALUE"""),"#N/A")</f>
        <v>#N/A</v>
      </c>
      <c r="AA606" s="57"/>
      <c r="AB606" s="41" t="n">
        <f aca="false">IFERROR(__xludf.dummyfunction("""COMPUTED_VALUE"""),11)</f>
        <v>11</v>
      </c>
      <c r="AC606" s="57" t="str">
        <f aca="false">IFERROR(__xludf.dummyfunction("""COMPUTED_VALUE"""),"gv.minhlv@hocmai.edu.vn		")</f>
        <v>gv.minhlv@hocmai.edu.vn		</v>
      </c>
      <c r="AD606" s="46" t="str">
        <f aca="false">IFERROR(__xludf.dummyfunction("""COMPUTED_VALUE"""),"Ralph02091@gmail.com")</f>
        <v>Ralph02091@gmail.com</v>
      </c>
      <c r="AE606" s="46"/>
      <c r="AF606" s="47" t="str">
        <f aca="false">IFERROR(__xludf.dummyfunction("""COMPUTED_VALUE"""),"lophoctoan-946340")</f>
        <v>lophoctoan-946340</v>
      </c>
      <c r="AG606" s="46" t="str">
        <f aca="false">IFERROR(__xludf.dummyfunction("""COMPUTED_VALUE"""),"")</f>
        <v/>
      </c>
      <c r="AH606" s="46"/>
      <c r="AI606" s="46"/>
      <c r="AJ606" s="46"/>
      <c r="AK606" s="46"/>
      <c r="AL606" s="46"/>
      <c r="AM606" s="81" t="b">
        <f aca="false">IFERROR(__xludf.dummyfunction("""COMPUTED_VALUE"""),TRUE())</f>
        <v>1</v>
      </c>
      <c r="AN606" s="81" t="b">
        <f aca="false">IFERROR(__xludf.dummyfunction("""COMPUTED_VALUE"""),TRUE())</f>
        <v>1</v>
      </c>
      <c r="AO606" s="46"/>
    </row>
    <row r="607" customFormat="false" ht="15.75" hidden="false" customHeight="true" outlineLevel="0" collapsed="false">
      <c r="A607" s="37" t="str">
        <f aca="false">IFERROR(__xludf.dummyfunction("""COMPUTED_VALUE"""),"Toán")</f>
        <v>Toán</v>
      </c>
      <c r="B607" s="37" t="str">
        <f aca="false">IFERROR(__xludf.dummyfunction("""COMPUTED_VALUE"""),"NT_N_31")</f>
        <v>NT_N_31</v>
      </c>
      <c r="C607" s="59" t="str">
        <f aca="false">IFERROR(__xludf.dummyfunction("""COMPUTED_VALUE"""),"Xác suất có điều kiện và phương pháp giải")</f>
        <v>Xác suất có điều kiện và phương pháp giải</v>
      </c>
      <c r="D607" s="39" t="str">
        <f aca="false">IFERROR(__xludf.dummyfunction("""COMPUTED_VALUE"""),"Nguyễn Hoài Nam")</f>
        <v>Nguyễn Hoài Nam</v>
      </c>
      <c r="E607" s="40" t="n">
        <f aca="false">IFERROR(__xludf.dummyfunction("""COMPUTED_VALUE"""),46341)</f>
        <v>46341</v>
      </c>
      <c r="F607" s="41" t="str">
        <f aca="false">IFERROR(__xludf.dummyfunction("""COMPUTED_VALUE"""),"CN")</f>
        <v>CN</v>
      </c>
      <c r="G607" s="37" t="str">
        <f aca="false">IFERROR(__xludf.dummyfunction("""COMPUTED_VALUE"""),"21:00-22:30")</f>
        <v>21:00-22:30</v>
      </c>
      <c r="H607" s="37"/>
      <c r="I607" s="37"/>
      <c r="J607" s="37"/>
      <c r="K607" s="68" t="str">
        <f aca="false">IFERROR(__xludf.dummyfunction("""COMPUTED_VALUE"""),"lent")</f>
        <v>lent</v>
      </c>
      <c r="L607" s="68" t="str">
        <f aca="false">IFERROR(__xludf.dummyfunction("""COMPUTED_VALUE"""),"Tưởng Thị Huyền Trang")</f>
        <v>Tưởng Thị Huyền Trang</v>
      </c>
      <c r="M607" s="69" t="str">
        <f aca="false">IFERROR(__xludf.dummyfunction("""COMPUTED_VALUE"""),"https://hocmai.sharepoint.com/Education_Development/Lists/San_xuat_video/DispForm.aspx?ID=12218")</f>
        <v>https://hocmai.sharepoint.com/Education_Development/Lists/San_xuat_video/DispForm.aspx?ID=12218</v>
      </c>
      <c r="N607" s="78" t="n">
        <f aca="false">IFERROR(__xludf.dummyfunction("""COMPUTED_VALUE"""),3313)</f>
        <v>3313</v>
      </c>
      <c r="O607" s="63" t="n">
        <f aca="false">IFERROR(__xludf.dummyfunction("""COMPUTED_VALUE"""),166659)</f>
        <v>166659</v>
      </c>
      <c r="P607" s="63"/>
      <c r="Q607" s="63" t="n">
        <f aca="false">IFERROR(__xludf.dummyfunction("""COMPUTED_VALUE"""),8063)</f>
        <v>8063</v>
      </c>
      <c r="R607" s="41"/>
      <c r="S607" s="41"/>
      <c r="T607" s="63" t="n">
        <f aca="false">IFERROR(__xludf.dummyfunction("""COMPUTED_VALUE"""),8064)</f>
        <v>8064</v>
      </c>
      <c r="U607" s="63"/>
      <c r="V607" s="70" t="n">
        <f aca="false">IFERROR(__xludf.dummyfunction("""COMPUTED_VALUE"""),46343)</f>
        <v>46343</v>
      </c>
      <c r="W607" s="39"/>
      <c r="X607" s="41" t="str">
        <f aca="false">IFERROR(__xludf.dummyfunction("""COMPUTED_VALUE"""),"Huent7")</f>
        <v>Huent7</v>
      </c>
      <c r="Y607" s="44"/>
      <c r="Z607" s="57"/>
      <c r="AA607" s="57"/>
      <c r="AB607" s="41" t="n">
        <f aca="false">IFERROR(__xludf.dummyfunction("""COMPUTED_VALUE"""),11)</f>
        <v>11</v>
      </c>
      <c r="AC607" s="57"/>
      <c r="AD607" s="46"/>
      <c r="AE607" s="46"/>
      <c r="AF607" s="47" t="str">
        <f aca="false">IFERROR(__xludf.dummyfunction("""COMPUTED_VALUE"""),"lophoctoan-946341")</f>
        <v>lophoctoan-946341</v>
      </c>
      <c r="AG607" s="46" t="str">
        <f aca="false">IFERROR(__xludf.dummyfunction("""COMPUTED_VALUE"""),"")</f>
        <v/>
      </c>
      <c r="AH607" s="81" t="b">
        <f aca="false">IFERROR(__xludf.dummyfunction("""COMPUTED_VALUE"""),TRUE())</f>
        <v>1</v>
      </c>
      <c r="AI607" s="46"/>
      <c r="AJ607" s="46"/>
      <c r="AK607" s="46"/>
      <c r="AL607" s="46"/>
      <c r="AM607" s="46"/>
      <c r="AN607" s="46"/>
      <c r="AO607" s="46"/>
    </row>
    <row r="608" customFormat="false" ht="15.75" hidden="false" customHeight="true" outlineLevel="0" collapsed="false">
      <c r="A608" s="37" t="str">
        <f aca="false">IFERROR(__xludf.dummyfunction("""COMPUTED_VALUE"""),"Tiếng Anh")</f>
        <v>Tiếng Anh</v>
      </c>
      <c r="B608" s="37" t="str">
        <f aca="false">IFERROR(__xludf.dummyfunction("""COMPUTED_VALUE"""),"TOV_V-ACT_TA23")</f>
        <v>TOV_V-ACT_TA23</v>
      </c>
      <c r="C608" s="59" t="str">
        <f aca="false">IFERROR(__xludf.dummyfunction("""COMPUTED_VALUE"""),"Luyện tập tổng hợp (P1)")</f>
        <v>Luyện tập tổng hợp (P1)</v>
      </c>
      <c r="D608" s="39" t="str">
        <f aca="false">IFERROR(__xludf.dummyfunction("""COMPUTED_VALUE"""),"Nguyễn Phương Linh")</f>
        <v>Nguyễn Phương Linh</v>
      </c>
      <c r="E608" s="40" t="n">
        <f aca="false">IFERROR(__xludf.dummyfunction("""COMPUTED_VALUE"""),46342)</f>
        <v>46342</v>
      </c>
      <c r="F608" s="41" t="n">
        <f aca="false">IFERROR(__xludf.dummyfunction("""COMPUTED_VALUE"""),2)</f>
        <v>2</v>
      </c>
      <c r="G608" s="37" t="str">
        <f aca="false">IFERROR(__xludf.dummyfunction("""COMPUTED_VALUE"""),"20:00-22:00")</f>
        <v>20:00-22:00</v>
      </c>
      <c r="H608" s="37"/>
      <c r="I608" s="37"/>
      <c r="J608" s="37"/>
      <c r="K608" s="68" t="str">
        <f aca="false">IFERROR(__xludf.dummyfunction("""COMPUTED_VALUE"""),"huyennn2")</f>
        <v>huyennn2</v>
      </c>
      <c r="L608" s="68"/>
      <c r="M608" s="71"/>
      <c r="N608" s="77" t="str">
        <f aca="false">IFERROR(__xludf.dummyfunction("""COMPUTED_VALUE"""),"3165,3339")</f>
        <v>3165,3339</v>
      </c>
      <c r="O608" s="73" t="n">
        <f aca="false">IFERROR(__xludf.dummyfunction("""COMPUTED_VALUE"""),167627.167651)</f>
        <v>167627.167651</v>
      </c>
      <c r="P608" s="63"/>
      <c r="Q608" s="63"/>
      <c r="R608" s="41"/>
      <c r="S608" s="41"/>
      <c r="T608" s="63"/>
      <c r="U608" s="63"/>
      <c r="V608" s="70" t="n">
        <f aca="false">IFERROR(__xludf.dummyfunction("""COMPUTED_VALUE"""),46345)</f>
        <v>46345</v>
      </c>
      <c r="W608" s="39"/>
      <c r="X608" s="41" t="str">
        <f aca="false">IFERROR(__xludf.dummyfunction("""COMPUTED_VALUE"""),"huyennn2")</f>
        <v>huyennn2</v>
      </c>
      <c r="Y608" s="44"/>
      <c r="Z608" s="57" t="str">
        <f aca="false">IFERROR(__xludf.dummyfunction("""COMPUTED_VALUE"""),"#N/A")</f>
        <v>#N/A</v>
      </c>
      <c r="AA608" s="57"/>
      <c r="AB608" s="41" t="n">
        <f aca="false">IFERROR(__xludf.dummyfunction("""COMPUTED_VALUE"""),11)</f>
        <v>11</v>
      </c>
      <c r="AC608" s="57" t="str">
        <f aca="false">IFERROR(__xludf.dummyfunction("""COMPUTED_VALUE"""),"gv.linhnp@hocmai.edu.vn		")</f>
        <v>gv.linhnp@hocmai.edu.vn		</v>
      </c>
      <c r="AD608" s="46" t="str">
        <f aca="false">IFERROR(__xludf.dummyfunction("""COMPUTED_VALUE"""),"#N/A")</f>
        <v>#N/A</v>
      </c>
      <c r="AE608" s="46"/>
      <c r="AF608" s="47" t="str">
        <f aca="false">IFERROR(__xludf.dummyfunction("""COMPUTED_VALUE"""),"lophoctienganh46342")</f>
        <v>lophoctienganh46342</v>
      </c>
      <c r="AG608" s="46" t="str">
        <f aca="false">IFERROR(__xludf.dummyfunction("""COMPUTED_VALUE"""),"")</f>
        <v/>
      </c>
      <c r="AH608" s="46"/>
      <c r="AI608" s="46"/>
      <c r="AJ608" s="46"/>
      <c r="AK608" s="46"/>
      <c r="AL608" s="46"/>
      <c r="AM608" s="81" t="b">
        <f aca="false">IFERROR(__xludf.dummyfunction("""COMPUTED_VALUE"""),TRUE())</f>
        <v>1</v>
      </c>
      <c r="AN608" s="46"/>
      <c r="AO608" s="46"/>
    </row>
    <row r="609" customFormat="false" ht="15.75" hidden="false" customHeight="true" outlineLevel="0" collapsed="false">
      <c r="A609" s="37" t="str">
        <f aca="false">IFERROR(__xludf.dummyfunction("""COMPUTED_VALUE"""),"Tiếng Việt")</f>
        <v>Tiếng Việt</v>
      </c>
      <c r="B609" s="37" t="str">
        <f aca="false">IFERROR(__xludf.dummyfunction("""COMPUTED_VALUE"""),"TOV_V-ACT_TV22")</f>
        <v>TOV_V-ACT_TV22</v>
      </c>
      <c r="C609" s="59" t="str">
        <f aca="false">IFERROR(__xludf.dummyfunction("""COMPUTED_VALUE"""),"Hiện tượng phá vỡ quy tắc ngôn ngữ")</f>
        <v>Hiện tượng phá vỡ quy tắc ngôn ngữ</v>
      </c>
      <c r="D609" s="39" t="str">
        <f aca="false">IFERROR(__xludf.dummyfunction("""COMPUTED_VALUE"""),"Văn Trịnh Quỳnh An")</f>
        <v>Văn Trịnh Quỳnh An</v>
      </c>
      <c r="E609" s="40" t="n">
        <f aca="false">IFERROR(__xludf.dummyfunction("""COMPUTED_VALUE"""),46343)</f>
        <v>46343</v>
      </c>
      <c r="F609" s="41" t="n">
        <f aca="false">IFERROR(__xludf.dummyfunction("""COMPUTED_VALUE"""),3)</f>
        <v>3</v>
      </c>
      <c r="G609" s="37" t="str">
        <f aca="false">IFERROR(__xludf.dummyfunction("""COMPUTED_VALUE"""),"20:00-21:30")</f>
        <v>20:00-21:30</v>
      </c>
      <c r="H609" s="37"/>
      <c r="I609" s="37"/>
      <c r="J609" s="37"/>
      <c r="K609" s="68" t="str">
        <f aca="false">IFERROR(__xludf.dummyfunction("""COMPUTED_VALUE"""),"Hangvt3")</f>
        <v>Hangvt3</v>
      </c>
      <c r="L609" s="68" t="str">
        <f aca="false">IFERROR(__xludf.dummyfunction("""COMPUTED_VALUE"""),"Bùi Vĩnh Thọ")</f>
        <v>Bùi Vĩnh Thọ</v>
      </c>
      <c r="M609" s="71"/>
      <c r="N609" s="77" t="str">
        <f aca="false">IFERROR(__xludf.dummyfunction("""COMPUTED_VALUE"""),"3125,3338")</f>
        <v>3125,3338</v>
      </c>
      <c r="O609" s="73" t="n">
        <f aca="false">IFERROR(__xludf.dummyfunction("""COMPUTED_VALUE"""),167374.174789)</f>
        <v>167374.174789</v>
      </c>
      <c r="P609" s="63" t="n">
        <f aca="false">IFERROR(__xludf.dummyfunction("""COMPUTED_VALUE"""),174789)</f>
        <v>174789</v>
      </c>
      <c r="Q609" s="63"/>
      <c r="R609" s="41"/>
      <c r="S609" s="41"/>
      <c r="T609" s="63"/>
      <c r="U609" s="63"/>
      <c r="V609" s="70" t="n">
        <f aca="false">IFERROR(__xludf.dummyfunction("""COMPUTED_VALUE"""),46353)</f>
        <v>46353</v>
      </c>
      <c r="W609" s="39"/>
      <c r="X609" s="41" t="str">
        <f aca="false">IFERROR(__xludf.dummyfunction("""COMPUTED_VALUE"""),"Phuongdt")</f>
        <v>Phuongdt</v>
      </c>
      <c r="Y609" s="44" t="str">
        <f aca="false">IFERROR(__xludf.dummyfunction("""COMPUTED_VALUE"""),"done")</f>
        <v>done</v>
      </c>
      <c r="Z609" s="57" t="str">
        <f aca="false">IFERROR(__xludf.dummyfunction("""COMPUTED_VALUE"""),"#N/A")</f>
        <v>#N/A</v>
      </c>
      <c r="AA609" s="57"/>
      <c r="AB609" s="41" t="n">
        <f aca="false">IFERROR(__xludf.dummyfunction("""COMPUTED_VALUE"""),11)</f>
        <v>11</v>
      </c>
      <c r="AC609" s="57" t="str">
        <f aca="false">IFERROR(__xludf.dummyfunction("""COMPUTED_VALUE"""),"gv.anvtq@hocmai.edu.vn ")</f>
        <v>gv.anvtq@hocmai.edu.vn </v>
      </c>
      <c r="AD609" s="46" t="str">
        <f aca="false">IFERROR(__xludf.dummyfunction("""COMPUTED_VALUE"""),"vinhtho0704@gmail.com")</f>
        <v>vinhtho0704@gmail.com</v>
      </c>
      <c r="AE609" s="46"/>
      <c r="AF609" s="74" t="b">
        <f aca="false">IFERROR(__xludf.dummyfunction("""COMPUTED_VALUE"""),FALSE())</f>
        <v>0</v>
      </c>
      <c r="AG609" s="46" t="str">
        <f aca="false">IFERROR(__xludf.dummyfunction("""COMPUTED_VALUE"""),"")</f>
        <v/>
      </c>
      <c r="AH609" s="46"/>
      <c r="AI609" s="46"/>
      <c r="AJ609" s="46"/>
      <c r="AK609" s="46"/>
      <c r="AL609" s="46"/>
      <c r="AM609" s="81" t="b">
        <f aca="false">IFERROR(__xludf.dummyfunction("""COMPUTED_VALUE"""),TRUE())</f>
        <v>1</v>
      </c>
      <c r="AN609" s="81" t="b">
        <f aca="false">IFERROR(__xludf.dummyfunction("""COMPUTED_VALUE"""),TRUE())</f>
        <v>1</v>
      </c>
      <c r="AO609" s="46"/>
    </row>
    <row r="610" customFormat="false" ht="15.75" hidden="false" customHeight="true" outlineLevel="0" collapsed="false">
      <c r="A610" s="37" t="str">
        <f aca="false">IFERROR(__xludf.dummyfunction("""COMPUTED_VALUE"""),"LG&amp;PTSL")</f>
        <v>LG&amp;PTSL</v>
      </c>
      <c r="B610" s="37" t="str">
        <f aca="false">IFERROR(__xludf.dummyfunction("""COMPUTED_VALUE"""),"TOV_V-ACT_LG05")</f>
        <v>TOV_V-ACT_LG05</v>
      </c>
      <c r="C610" s="59" t="str">
        <f aca="false">IFERROR(__xludf.dummyfunction("""COMPUTED_VALUE"""),"Hệ thống các công thức và kĩ năng xử lí phần Phân tích số liệu")</f>
        <v>Hệ thống các công thức và kĩ năng xử lí phần Phân tích số liệu</v>
      </c>
      <c r="D610" s="39" t="str">
        <f aca="false">IFERROR(__xludf.dummyfunction("""COMPUTED_VALUE"""),"Nguyễn Hoài Nam")</f>
        <v>Nguyễn Hoài Nam</v>
      </c>
      <c r="E610" s="40" t="n">
        <f aca="false">IFERROR(__xludf.dummyfunction("""COMPUTED_VALUE"""),46344)</f>
        <v>46344</v>
      </c>
      <c r="F610" s="41" t="n">
        <f aca="false">IFERROR(__xludf.dummyfunction("""COMPUTED_VALUE"""),4)</f>
        <v>4</v>
      </c>
      <c r="G610" s="37" t="str">
        <f aca="false">IFERROR(__xludf.dummyfunction("""COMPUTED_VALUE"""),"21:00-22:30")</f>
        <v>21:00-22:30</v>
      </c>
      <c r="H610" s="37"/>
      <c r="I610" s="37"/>
      <c r="J610" s="37"/>
      <c r="K610" s="68" t="str">
        <f aca="false">IFERROR(__xludf.dummyfunction("""COMPUTED_VALUE"""),"Lent")</f>
        <v>Lent</v>
      </c>
      <c r="L610" s="68" t="str">
        <f aca="false">IFERROR(__xludf.dummyfunction("""COMPUTED_VALUE"""),"Lường Nhật Nam")</f>
        <v>Lường Nhật Nam</v>
      </c>
      <c r="M610" s="71"/>
      <c r="N610" s="77" t="str">
        <f aca="false">IFERROR(__xludf.dummyfunction("""COMPUTED_VALUE"""),"3126,3340,3316")</f>
        <v>3126,3340,3316</v>
      </c>
      <c r="O610" s="73" t="str">
        <f aca="false">IFERROR(__xludf.dummyfunction("""COMPUTED_VALUE"""),"174800,174795,166883")</f>
        <v>174800,174795,166883</v>
      </c>
      <c r="P610" s="63" t="n">
        <f aca="false">IFERROR(__xludf.dummyfunction("""COMPUTED_VALUE"""),9045.9108)</f>
        <v>9045.9108</v>
      </c>
      <c r="Q610" s="63"/>
      <c r="R610" s="41"/>
      <c r="S610" s="41"/>
      <c r="T610" s="63"/>
      <c r="U610" s="63"/>
      <c r="V610" s="70" t="n">
        <f aca="false">IFERROR(__xludf.dummyfunction("""COMPUTED_VALUE"""),46347)</f>
        <v>46347</v>
      </c>
      <c r="W610" s="39"/>
      <c r="X610" s="41" t="str">
        <f aca="false">IFERROR(__xludf.dummyfunction("""COMPUTED_VALUE"""),"Lent")</f>
        <v>Lent</v>
      </c>
      <c r="Y610" s="44"/>
      <c r="Z610" s="57" t="str">
        <f aca="false">IFERROR(__xludf.dummyfunction("""COMPUTED_VALUE"""),"#N/A")</f>
        <v>#N/A</v>
      </c>
      <c r="AA610" s="57"/>
      <c r="AB610" s="41" t="n">
        <f aca="false">IFERROR(__xludf.dummyfunction("""COMPUTED_VALUE"""),11)</f>
        <v>11</v>
      </c>
      <c r="AC610" s="57" t="str">
        <f aca="false">IFERROR(__xludf.dummyfunction("""COMPUTED_VALUE"""),"gv.namnh@hocmai.edu.vn ")</f>
        <v>gv.namnh@hocmai.edu.vn </v>
      </c>
      <c r="AD610" s="46" t="str">
        <f aca="false">IFERROR(__xludf.dummyfunction("""COMPUTED_VALUE"""),"nhatnam1092@gmail.com")</f>
        <v>nhatnam1092@gmail.com</v>
      </c>
      <c r="AE610" s="46"/>
      <c r="AF610" s="74" t="b">
        <f aca="false">IFERROR(__xludf.dummyfunction("""COMPUTED_VALUE"""),FALSE())</f>
        <v>0</v>
      </c>
      <c r="AG610" s="46" t="str">
        <f aca="false">IFERROR(__xludf.dummyfunction("""COMPUTED_VALUE"""),"")</f>
        <v/>
      </c>
      <c r="AH610" s="46"/>
      <c r="AI610" s="46"/>
      <c r="AJ610" s="46"/>
      <c r="AK610" s="46"/>
      <c r="AL610" s="46"/>
      <c r="AM610" s="81" t="b">
        <f aca="false">IFERROR(__xludf.dummyfunction("""COMPUTED_VALUE"""),TRUE())</f>
        <v>1</v>
      </c>
      <c r="AN610" s="46"/>
      <c r="AO610" s="46"/>
    </row>
    <row r="611" customFormat="false" ht="15.75" hidden="false" customHeight="true" outlineLevel="0" collapsed="false">
      <c r="A611" s="37" t="str">
        <f aca="false">IFERROR(__xludf.dummyfunction("""COMPUTED_VALUE"""),"Toán")</f>
        <v>Toán</v>
      </c>
      <c r="B611" s="37" t="str">
        <f aca="false">IFERROR(__xludf.dummyfunction("""COMPUTED_VALUE"""),"TOA_V-ACT_T22")</f>
        <v>TOA_V-ACT_T22</v>
      </c>
      <c r="C611" s="59" t="str">
        <f aca="false">IFERROR(__xludf.dummyfunction("""COMPUTED_VALUE"""),"Các bài toán trọng tâm về tổ hợp và xác suất (P1)")</f>
        <v>Các bài toán trọng tâm về tổ hợp và xác suất (P1)</v>
      </c>
      <c r="D611" s="39" t="str">
        <f aca="false">IFERROR(__xludf.dummyfunction("""COMPUTED_VALUE"""),"Nguyễn Hoài Nam")</f>
        <v>Nguyễn Hoài Nam</v>
      </c>
      <c r="E611" s="40" t="n">
        <f aca="false">IFERROR(__xludf.dummyfunction("""COMPUTED_VALUE"""),46345)</f>
        <v>46345</v>
      </c>
      <c r="F611" s="41" t="n">
        <f aca="false">IFERROR(__xludf.dummyfunction("""COMPUTED_VALUE"""),5)</f>
        <v>5</v>
      </c>
      <c r="G611" s="37" t="str">
        <f aca="false">IFERROR(__xludf.dummyfunction("""COMPUTED_VALUE"""),"21:00-22:30")</f>
        <v>21:00-22:30</v>
      </c>
      <c r="H611" s="37"/>
      <c r="I611" s="37"/>
      <c r="J611" s="37"/>
      <c r="K611" s="68" t="str">
        <f aca="false">IFERROR(__xludf.dummyfunction("""COMPUTED_VALUE"""),"Lent")</f>
        <v>Lent</v>
      </c>
      <c r="L611" s="68" t="str">
        <f aca="false">IFERROR(__xludf.dummyfunction("""COMPUTED_VALUE"""),"Lường Nhật Nam")</f>
        <v>Lường Nhật Nam</v>
      </c>
      <c r="M611" s="71"/>
      <c r="N611" s="77" t="str">
        <f aca="false">IFERROR(__xludf.dummyfunction("""COMPUTED_VALUE"""),"3124,3316")</f>
        <v>3124,3316</v>
      </c>
      <c r="O611" s="73" t="n">
        <f aca="false">IFERROR(__xludf.dummyfunction("""COMPUTED_VALUE"""),167207.166876)</f>
        <v>167207.166876</v>
      </c>
      <c r="P611" s="63" t="n">
        <f aca="false">IFERROR(__xludf.dummyfunction("""COMPUTED_VALUE"""),9044.9108)</f>
        <v>9044.9108</v>
      </c>
      <c r="Q611" s="63" t="n">
        <f aca="false">IFERROR(__xludf.dummyfunction("""COMPUTED_VALUE"""),167207)</f>
        <v>167207</v>
      </c>
      <c r="R611" s="41" t="n">
        <f aca="false">IFERROR(__xludf.dummyfunction("""COMPUTED_VALUE"""),166876)</f>
        <v>166876</v>
      </c>
      <c r="S611" s="41"/>
      <c r="T611" s="63"/>
      <c r="U611" s="63"/>
      <c r="V611" s="70" t="n">
        <f aca="false">IFERROR(__xludf.dummyfunction("""COMPUTED_VALUE"""),46348)</f>
        <v>46348</v>
      </c>
      <c r="W611" s="39"/>
      <c r="X611" s="41" t="str">
        <f aca="false">IFERROR(__xludf.dummyfunction("""COMPUTED_VALUE"""),"Lent")</f>
        <v>Lent</v>
      </c>
      <c r="Y611" s="44" t="str">
        <f aca="false">IFERROR(__xludf.dummyfunction("""COMPUTED_VALUE"""),"done")</f>
        <v>done</v>
      </c>
      <c r="Z611" s="57" t="str">
        <f aca="false">IFERROR(__xludf.dummyfunction("""COMPUTED_VALUE"""),"#N/A")</f>
        <v>#N/A</v>
      </c>
      <c r="AA611" s="57"/>
      <c r="AB611" s="41" t="n">
        <f aca="false">IFERROR(__xludf.dummyfunction("""COMPUTED_VALUE"""),11)</f>
        <v>11</v>
      </c>
      <c r="AC611" s="57" t="str">
        <f aca="false">IFERROR(__xludf.dummyfunction("""COMPUTED_VALUE"""),"gv.namnh@hocmai.edu.vn ")</f>
        <v>gv.namnh@hocmai.edu.vn </v>
      </c>
      <c r="AD611" s="46" t="str">
        <f aca="false">IFERROR(__xludf.dummyfunction("""COMPUTED_VALUE"""),"nhatnam1092@gmail.com")</f>
        <v>nhatnam1092@gmail.com</v>
      </c>
      <c r="AE611" s="46"/>
      <c r="AF611" s="47" t="str">
        <f aca="false">IFERROR(__xludf.dummyfunction("""COMPUTED_VALUE"""),"lophoctoan-946345")</f>
        <v>lophoctoan-946345</v>
      </c>
      <c r="AG611" s="46" t="str">
        <f aca="false">IFERROR(__xludf.dummyfunction("""COMPUTED_VALUE"""),"")</f>
        <v/>
      </c>
      <c r="AH611" s="46"/>
      <c r="AI611" s="46"/>
      <c r="AJ611" s="46"/>
      <c r="AK611" s="46"/>
      <c r="AL611" s="46"/>
      <c r="AM611" s="81" t="b">
        <f aca="false">IFERROR(__xludf.dummyfunction("""COMPUTED_VALUE"""),TRUE())</f>
        <v>1</v>
      </c>
      <c r="AN611" s="81" t="b">
        <f aca="false">IFERROR(__xludf.dummyfunction("""COMPUTED_VALUE"""),TRUE())</f>
        <v>1</v>
      </c>
      <c r="AO611" s="46"/>
    </row>
    <row r="612" customFormat="false" ht="15.75" hidden="false" customHeight="true" outlineLevel="0" collapsed="false">
      <c r="A612" s="37" t="str">
        <f aca="false">IFERROR(__xludf.dummyfunction("""COMPUTED_VALUE"""),"Hóa học")</f>
        <v>Hóa học</v>
      </c>
      <c r="B612" s="37" t="str">
        <f aca="false">IFERROR(__xludf.dummyfunction("""COMPUTED_VALUE"""),"TOV_TSA_H12")</f>
        <v>TOV_TSA_H12</v>
      </c>
      <c r="C612" s="59" t="str">
        <f aca="false">IFERROR(__xludf.dummyfunction("""COMPUTED_VALUE"""),"Hợp chất chứa Nitrogen và Polymer")</f>
        <v>Hợp chất chứa Nitrogen và Polymer</v>
      </c>
      <c r="D612" s="39" t="str">
        <f aca="false">IFERROR(__xludf.dummyfunction("""COMPUTED_VALUE"""),"Vũ Khắc Ngọc")</f>
        <v>Vũ Khắc Ngọc</v>
      </c>
      <c r="E612" s="40" t="n">
        <f aca="false">IFERROR(__xludf.dummyfunction("""COMPUTED_VALUE"""),46347)</f>
        <v>46347</v>
      </c>
      <c r="F612" s="41" t="n">
        <f aca="false">IFERROR(__xludf.dummyfunction("""COMPUTED_VALUE"""),7)</f>
        <v>7</v>
      </c>
      <c r="G612" s="37" t="str">
        <f aca="false">IFERROR(__xludf.dummyfunction("""COMPUTED_VALUE"""),"21:30-23:30")</f>
        <v>21:30-23:30</v>
      </c>
      <c r="H612" s="37"/>
      <c r="I612" s="37"/>
      <c r="J612" s="37"/>
      <c r="K612" s="68" t="str">
        <f aca="false">IFERROR(__xludf.dummyfunction("""COMPUTED_VALUE"""),"Huebt")</f>
        <v>Huebt</v>
      </c>
      <c r="L612" s="68" t="str">
        <f aca="false">IFERROR(__xludf.dummyfunction("""COMPUTED_VALUE"""),"Bùi Vĩnh Thọ")</f>
        <v>Bùi Vĩnh Thọ</v>
      </c>
      <c r="M612" s="71"/>
      <c r="N612" s="77" t="str">
        <f aca="false">IFERROR(__xludf.dummyfunction("""COMPUTED_VALUE"""),"3110")</f>
        <v>3110</v>
      </c>
      <c r="O612" s="63" t="n">
        <f aca="false">IFERROR(__xludf.dummyfunction("""COMPUTED_VALUE"""),167289)</f>
        <v>167289</v>
      </c>
      <c r="P612" s="63"/>
      <c r="Q612" s="63"/>
      <c r="R612" s="41"/>
      <c r="S612" s="41"/>
      <c r="T612" s="63"/>
      <c r="U612" s="63" t="n">
        <f aca="false">IFERROR(__xludf.dummyfunction("""COMPUTED_VALUE"""),10610)</f>
        <v>10610</v>
      </c>
      <c r="V612" s="70" t="n">
        <f aca="false">IFERROR(__xludf.dummyfunction("""COMPUTED_VALUE"""),46350)</f>
        <v>46350</v>
      </c>
      <c r="W612" s="39"/>
      <c r="X612" s="41" t="str">
        <f aca="false">IFERROR(__xludf.dummyfunction("""COMPUTED_VALUE"""),"Huebt")</f>
        <v>Huebt</v>
      </c>
      <c r="Y612" s="44" t="str">
        <f aca="false">IFERROR(__xludf.dummyfunction("""COMPUTED_VALUE"""),"done")</f>
        <v>done</v>
      </c>
      <c r="Z612" s="57" t="str">
        <f aca="false">IFERROR(__xludf.dummyfunction("""COMPUTED_VALUE"""),"#N/A")</f>
        <v>#N/A</v>
      </c>
      <c r="AA612" s="57"/>
      <c r="AB612" s="41" t="n">
        <f aca="false">IFERROR(__xludf.dummyfunction("""COMPUTED_VALUE"""),11)</f>
        <v>11</v>
      </c>
      <c r="AC612" s="57" t="str">
        <f aca="false">IFERROR(__xludf.dummyfunction("""COMPUTED_VALUE"""),"gv.ngocvk@hocmai.edu.vn")</f>
        <v>gv.ngocvk@hocmai.edu.vn</v>
      </c>
      <c r="AD612" s="46" t="str">
        <f aca="false">IFERROR(__xludf.dummyfunction("""COMPUTED_VALUE"""),"vinhtho0704@gmail.com")</f>
        <v>vinhtho0704@gmail.com</v>
      </c>
      <c r="AE612" s="46"/>
      <c r="AF612" s="74" t="b">
        <f aca="false">IFERROR(__xludf.dummyfunction("""COMPUTED_VALUE"""),FALSE())</f>
        <v>0</v>
      </c>
      <c r="AG612" s="46" t="str">
        <f aca="false">IFERROR(__xludf.dummyfunction("""COMPUTED_VALUE"""),"")</f>
        <v/>
      </c>
      <c r="AH612" s="46"/>
      <c r="AI612" s="81" t="b">
        <f aca="false">IFERROR(__xludf.dummyfunction("""COMPUTED_VALUE"""),TRUE())</f>
        <v>1</v>
      </c>
      <c r="AJ612" s="46"/>
      <c r="AK612" s="46"/>
      <c r="AL612" s="46"/>
      <c r="AM612" s="46"/>
      <c r="AN612" s="46"/>
      <c r="AO612" s="46"/>
    </row>
    <row r="613" customFormat="false" ht="15.75" hidden="false" customHeight="true" outlineLevel="0" collapsed="false">
      <c r="A613" s="37" t="str">
        <f aca="false">IFERROR(__xludf.dummyfunction("""COMPUTED_VALUE"""),"Toán")</f>
        <v>Toán</v>
      </c>
      <c r="B613" s="37" t="str">
        <f aca="false">IFERROR(__xludf.dummyfunction("""COMPUTED_VALUE"""),"NT_N_32")</f>
        <v>NT_N_32</v>
      </c>
      <c r="C613" s="59" t="str">
        <f aca="false">IFERROR(__xludf.dummyfunction("""COMPUTED_VALUE"""),"Xác suất toàn phần và công thức Bayes")</f>
        <v>Xác suất toàn phần và công thức Bayes</v>
      </c>
      <c r="D613" s="39" t="str">
        <f aca="false">IFERROR(__xludf.dummyfunction("""COMPUTED_VALUE"""),"Nguyễn Hoài Nam")</f>
        <v>Nguyễn Hoài Nam</v>
      </c>
      <c r="E613" s="40" t="n">
        <f aca="false">IFERROR(__xludf.dummyfunction("""COMPUTED_VALUE"""),46348)</f>
        <v>46348</v>
      </c>
      <c r="F613" s="41" t="str">
        <f aca="false">IFERROR(__xludf.dummyfunction("""COMPUTED_VALUE"""),"CN")</f>
        <v>CN</v>
      </c>
      <c r="G613" s="37" t="str">
        <f aca="false">IFERROR(__xludf.dummyfunction("""COMPUTED_VALUE"""),"21:00-22:30")</f>
        <v>21:00-22:30</v>
      </c>
      <c r="H613" s="37"/>
      <c r="I613" s="37"/>
      <c r="J613" s="62"/>
      <c r="K613" s="68" t="str">
        <f aca="false">IFERROR(__xludf.dummyfunction("""COMPUTED_VALUE"""),"lent")</f>
        <v>lent</v>
      </c>
      <c r="L613" s="68" t="str">
        <f aca="false">IFERROR(__xludf.dummyfunction("""COMPUTED_VALUE"""),"Tưởng Thị Huyền Trang")</f>
        <v>Tưởng Thị Huyền Trang</v>
      </c>
      <c r="M613" s="69" t="str">
        <f aca="false">IFERROR(__xludf.dummyfunction("""COMPUTED_VALUE"""),"https://hocmai.sharepoint.com/Education_Development/Lists/San_xuat_video/DispForm.aspx?ID=12219")</f>
        <v>https://hocmai.sharepoint.com/Education_Development/Lists/San_xuat_video/DispForm.aspx?ID=12219</v>
      </c>
      <c r="N613" s="78" t="n">
        <f aca="false">IFERROR(__xludf.dummyfunction("""COMPUTED_VALUE"""),3313)</f>
        <v>3313</v>
      </c>
      <c r="O613" s="63" t="n">
        <f aca="false">IFERROR(__xludf.dummyfunction("""COMPUTED_VALUE"""),166656)</f>
        <v>166656</v>
      </c>
      <c r="P613" s="63"/>
      <c r="Q613" s="63" t="n">
        <f aca="false">IFERROR(__xludf.dummyfunction("""COMPUTED_VALUE"""),8065)</f>
        <v>8065</v>
      </c>
      <c r="R613" s="41"/>
      <c r="S613" s="41"/>
      <c r="T613" s="63" t="n">
        <f aca="false">IFERROR(__xludf.dummyfunction("""COMPUTED_VALUE"""),8066)</f>
        <v>8066</v>
      </c>
      <c r="U613" s="63"/>
      <c r="V613" s="70" t="n">
        <f aca="false">IFERROR(__xludf.dummyfunction("""COMPUTED_VALUE"""),46350)</f>
        <v>46350</v>
      </c>
      <c r="W613" s="39"/>
      <c r="X613" s="41" t="str">
        <f aca="false">IFERROR(__xludf.dummyfunction("""COMPUTED_VALUE"""),"Huent7")</f>
        <v>Huent7</v>
      </c>
      <c r="Y613" s="44"/>
      <c r="Z613" s="57"/>
      <c r="AA613" s="57"/>
      <c r="AB613" s="41" t="n">
        <f aca="false">IFERROR(__xludf.dummyfunction("""COMPUTED_VALUE"""),11)</f>
        <v>11</v>
      </c>
      <c r="AC613" s="57"/>
      <c r="AD613" s="46"/>
      <c r="AE613" s="46"/>
      <c r="AF613" s="47" t="str">
        <f aca="false">IFERROR(__xludf.dummyfunction("""COMPUTED_VALUE"""),"lophoctoan-946348")</f>
        <v>lophoctoan-946348</v>
      </c>
      <c r="AG613" s="46" t="str">
        <f aca="false">IFERROR(__xludf.dummyfunction("""COMPUTED_VALUE"""),"")</f>
        <v/>
      </c>
      <c r="AH613" s="81" t="b">
        <f aca="false">IFERROR(__xludf.dummyfunction("""COMPUTED_VALUE"""),TRUE())</f>
        <v>1</v>
      </c>
      <c r="AI613" s="46"/>
      <c r="AJ613" s="46"/>
      <c r="AK613" s="46"/>
      <c r="AL613" s="46"/>
      <c r="AM613" s="46"/>
      <c r="AN613" s="46"/>
      <c r="AO613" s="46"/>
    </row>
    <row r="614" customFormat="false" ht="15.75" hidden="false" customHeight="true" outlineLevel="0" collapsed="false">
      <c r="A614" s="37" t="str">
        <f aca="false">IFERROR(__xludf.dummyfunction("""COMPUTED_VALUE"""),"Toán")</f>
        <v>Toán</v>
      </c>
      <c r="B614" s="37" t="str">
        <f aca="false">IFERROR(__xludf.dummyfunction("""COMPUTED_VALUE"""),"NT_T_48")</f>
        <v>NT_T_48</v>
      </c>
      <c r="C614" s="59" t="str">
        <f aca="false">IFERROR(__xludf.dummyfunction("""COMPUTED_VALUE"""),"Các bài toán xác suất tổng hợp")</f>
        <v>Các bài toán xác suất tổng hợp</v>
      </c>
      <c r="D614" s="39" t="str">
        <f aca="false">IFERROR(__xludf.dummyfunction("""COMPUTED_VALUE"""),"Nguyễn Thanh Tùng")</f>
        <v>Nguyễn Thanh Tùng</v>
      </c>
      <c r="E614" s="40" t="n">
        <f aca="false">IFERROR(__xludf.dummyfunction("""COMPUTED_VALUE"""),46348)</f>
        <v>46348</v>
      </c>
      <c r="F614" s="41" t="str">
        <f aca="false">IFERROR(__xludf.dummyfunction("""COMPUTED_VALUE"""),"CN")</f>
        <v>CN</v>
      </c>
      <c r="G614" s="37" t="str">
        <f aca="false">IFERROR(__xludf.dummyfunction("""COMPUTED_VALUE"""),"18:00-20:00")</f>
        <v>18:00-20:00</v>
      </c>
      <c r="H614" s="37"/>
      <c r="I614" s="37"/>
      <c r="J614" s="37"/>
      <c r="K614" s="68" t="str">
        <f aca="false">IFERROR(__xludf.dummyfunction("""COMPUTED_VALUE"""),"Khanhnl")</f>
        <v>Khanhnl</v>
      </c>
      <c r="L614" s="68" t="str">
        <f aca="false">IFERROR(__xludf.dummyfunction("""COMPUTED_VALUE"""),"Tưởng Thị Huyền Trang")</f>
        <v>Tưởng Thị Huyền Trang</v>
      </c>
      <c r="M614" s="69" t="str">
        <f aca="false">IFERROR(__xludf.dummyfunction("""COMPUTED_VALUE"""),"https://hocmai.sharepoint.com/Education_Development/Lists/San_xuat_video/DispForm.aspx?ID=12187")</f>
        <v>https://hocmai.sharepoint.com/Education_Development/Lists/San_xuat_video/DispForm.aspx?ID=12187</v>
      </c>
      <c r="N614" s="63" t="n">
        <f aca="false">IFERROR(__xludf.dummyfunction("""COMPUTED_VALUE"""),3312)</f>
        <v>3312</v>
      </c>
      <c r="O614" s="63" t="n">
        <f aca="false">IFERROR(__xludf.dummyfunction("""COMPUTED_VALUE"""),166581)</f>
        <v>166581</v>
      </c>
      <c r="P614" s="63"/>
      <c r="Q614" s="63" t="n">
        <f aca="false">IFERROR(__xludf.dummyfunction("""COMPUTED_VALUE"""),7981)</f>
        <v>7981</v>
      </c>
      <c r="R614" s="41"/>
      <c r="S614" s="41"/>
      <c r="T614" s="63" t="n">
        <f aca="false">IFERROR(__xludf.dummyfunction("""COMPUTED_VALUE"""),7982)</f>
        <v>7982</v>
      </c>
      <c r="U614" s="63"/>
      <c r="V614" s="63" t="str">
        <f aca="false">IFERROR(__xludf.dummyfunction("""COMPUTED_VALUE"""),"#REF!")</f>
        <v>#REF!</v>
      </c>
      <c r="W614" s="39"/>
      <c r="X614" s="41" t="str">
        <f aca="false">IFERROR(__xludf.dummyfunction("""COMPUTED_VALUE"""),"Huent7")</f>
        <v>Huent7</v>
      </c>
      <c r="Y614" s="44"/>
      <c r="Z614" s="57"/>
      <c r="AA614" s="57"/>
      <c r="AB614" s="41" t="n">
        <f aca="false">IFERROR(__xludf.dummyfunction("""COMPUTED_VALUE"""),11)</f>
        <v>11</v>
      </c>
      <c r="AC614" s="57"/>
      <c r="AD614" s="46"/>
      <c r="AE614" s="46"/>
      <c r="AF614" s="47" t="str">
        <f aca="false">IFERROR(__xludf.dummyfunction("""COMPUTED_VALUE"""),"lophoctoan-946348")</f>
        <v>lophoctoan-946348</v>
      </c>
      <c r="AG614" s="46" t="str">
        <f aca="false">IFERROR(__xludf.dummyfunction("""COMPUTED_VALUE"""),"")</f>
        <v/>
      </c>
      <c r="AH614" s="81" t="b">
        <f aca="false">IFERROR(__xludf.dummyfunction("""COMPUTED_VALUE"""),TRUE())</f>
        <v>1</v>
      </c>
      <c r="AI614" s="46"/>
      <c r="AJ614" s="46"/>
      <c r="AK614" s="46"/>
      <c r="AL614" s="46"/>
      <c r="AM614" s="46"/>
      <c r="AN614" s="46"/>
      <c r="AO614" s="46"/>
    </row>
    <row r="615" customFormat="false" ht="15.75" hidden="false" customHeight="true" outlineLevel="0" collapsed="false">
      <c r="A615" s="37" t="str">
        <f aca="false">IFERROR(__xludf.dummyfunction("""COMPUTED_VALUE"""),"Tiếng Việt")</f>
        <v>Tiếng Việt</v>
      </c>
      <c r="B615" s="37" t="str">
        <f aca="false">IFERROR(__xludf.dummyfunction("""COMPUTED_VALUE"""),"TOV_V-ACT_TV23")</f>
        <v>TOV_V-ACT_TV23</v>
      </c>
      <c r="C615" s="59" t="str">
        <f aca="false">IFERROR(__xludf.dummyfunction("""COMPUTED_VALUE"""),"Các biện pháp tu từ")</f>
        <v>Các biện pháp tu từ</v>
      </c>
      <c r="D615" s="39" t="str">
        <f aca="false">IFERROR(__xludf.dummyfunction("""COMPUTED_VALUE"""),"Văn Trịnh Quỳnh An")</f>
        <v>Văn Trịnh Quỳnh An</v>
      </c>
      <c r="E615" s="40" t="n">
        <f aca="false">IFERROR(__xludf.dummyfunction("""COMPUTED_VALUE"""),46350)</f>
        <v>46350</v>
      </c>
      <c r="F615" s="41" t="n">
        <f aca="false">IFERROR(__xludf.dummyfunction("""COMPUTED_VALUE"""),3)</f>
        <v>3</v>
      </c>
      <c r="G615" s="37" t="str">
        <f aca="false">IFERROR(__xludf.dummyfunction("""COMPUTED_VALUE"""),"20:00-21:30")</f>
        <v>20:00-21:30</v>
      </c>
      <c r="H615" s="37"/>
      <c r="I615" s="37"/>
      <c r="J615" s="37"/>
      <c r="K615" s="68" t="str">
        <f aca="false">IFERROR(__xludf.dummyfunction("""COMPUTED_VALUE"""),"Hangvt3")</f>
        <v>Hangvt3</v>
      </c>
      <c r="L615" s="68" t="str">
        <f aca="false">IFERROR(__xludf.dummyfunction("""COMPUTED_VALUE"""),"Bùi Vĩnh Thọ")</f>
        <v>Bùi Vĩnh Thọ</v>
      </c>
      <c r="M615" s="71"/>
      <c r="N615" s="77" t="str">
        <f aca="false">IFERROR(__xludf.dummyfunction("""COMPUTED_VALUE"""),"3125,3338")</f>
        <v>3125,3338</v>
      </c>
      <c r="O615" s="73" t="n">
        <f aca="false">IFERROR(__xludf.dummyfunction("""COMPUTED_VALUE"""),167375.17479)</f>
        <v>167375.17479</v>
      </c>
      <c r="P615" s="63" t="n">
        <f aca="false">IFERROR(__xludf.dummyfunction("""COMPUTED_VALUE"""),174790)</f>
        <v>174790</v>
      </c>
      <c r="Q615" s="63"/>
      <c r="R615" s="41"/>
      <c r="S615" s="41"/>
      <c r="T615" s="63"/>
      <c r="U615" s="63"/>
      <c r="V615" s="70" t="n">
        <f aca="false">IFERROR(__xludf.dummyfunction("""COMPUTED_VALUE"""),46360)</f>
        <v>46360</v>
      </c>
      <c r="W615" s="39"/>
      <c r="X615" s="41" t="str">
        <f aca="false">IFERROR(__xludf.dummyfunction("""COMPUTED_VALUE"""),"Phuongdt")</f>
        <v>Phuongdt</v>
      </c>
      <c r="Y615" s="44" t="str">
        <f aca="false">IFERROR(__xludf.dummyfunction("""COMPUTED_VALUE"""),"done")</f>
        <v>done</v>
      </c>
      <c r="Z615" s="57" t="str">
        <f aca="false">IFERROR(__xludf.dummyfunction("""COMPUTED_VALUE"""),"#N/A")</f>
        <v>#N/A</v>
      </c>
      <c r="AA615" s="57"/>
      <c r="AB615" s="41" t="n">
        <f aca="false">IFERROR(__xludf.dummyfunction("""COMPUTED_VALUE"""),12)</f>
        <v>12</v>
      </c>
      <c r="AC615" s="57" t="str">
        <f aca="false">IFERROR(__xludf.dummyfunction("""COMPUTED_VALUE"""),"gv.anvtq@hocmai.edu.vn ")</f>
        <v>gv.anvtq@hocmai.edu.vn </v>
      </c>
      <c r="AD615" s="46" t="str">
        <f aca="false">IFERROR(__xludf.dummyfunction("""COMPUTED_VALUE"""),"vinhtho0704@gmail.com")</f>
        <v>vinhtho0704@gmail.com</v>
      </c>
      <c r="AE615" s="46"/>
      <c r="AF615" s="74" t="b">
        <f aca="false">IFERROR(__xludf.dummyfunction("""COMPUTED_VALUE"""),FALSE())</f>
        <v>0</v>
      </c>
      <c r="AG615" s="46" t="str">
        <f aca="false">IFERROR(__xludf.dummyfunction("""COMPUTED_VALUE"""),"")</f>
        <v/>
      </c>
      <c r="AH615" s="46"/>
      <c r="AI615" s="46"/>
      <c r="AJ615" s="46"/>
      <c r="AK615" s="46"/>
      <c r="AL615" s="46"/>
      <c r="AM615" s="81" t="b">
        <f aca="false">IFERROR(__xludf.dummyfunction("""COMPUTED_VALUE"""),TRUE())</f>
        <v>1</v>
      </c>
      <c r="AN615" s="81" t="b">
        <f aca="false">IFERROR(__xludf.dummyfunction("""COMPUTED_VALUE"""),TRUE())</f>
        <v>1</v>
      </c>
      <c r="AO615" s="46"/>
    </row>
    <row r="616" customFormat="false" ht="15.75" hidden="false" customHeight="true" outlineLevel="0" collapsed="false">
      <c r="A616" s="37" t="str">
        <f aca="false">IFERROR(__xludf.dummyfunction("""COMPUTED_VALUE"""),"LG&amp;PTSL")</f>
        <v>LG&amp;PTSL</v>
      </c>
      <c r="B616" s="37" t="str">
        <f aca="false">IFERROR(__xludf.dummyfunction("""COMPUTED_VALUE"""),"TOV_V-ACT_LG06")</f>
        <v>TOV_V-ACT_LG06</v>
      </c>
      <c r="C616" s="59" t="str">
        <f aca="false">IFERROR(__xludf.dummyfunction("""COMPUTED_VALUE"""),"Các dạng biểu đồ trong bài toán phân tích số liệu")</f>
        <v>Các dạng biểu đồ trong bài toán phân tích số liệu</v>
      </c>
      <c r="D616" s="39" t="str">
        <f aca="false">IFERROR(__xludf.dummyfunction("""COMPUTED_VALUE"""),"Nguyễn Hoài Nam")</f>
        <v>Nguyễn Hoài Nam</v>
      </c>
      <c r="E616" s="40" t="n">
        <f aca="false">IFERROR(__xludf.dummyfunction("""COMPUTED_VALUE"""),46351)</f>
        <v>46351</v>
      </c>
      <c r="F616" s="41" t="n">
        <f aca="false">IFERROR(__xludf.dummyfunction("""COMPUTED_VALUE"""),4)</f>
        <v>4</v>
      </c>
      <c r="G616" s="37" t="str">
        <f aca="false">IFERROR(__xludf.dummyfunction("""COMPUTED_VALUE"""),"21:00-22:30")</f>
        <v>21:00-22:30</v>
      </c>
      <c r="H616" s="37"/>
      <c r="I616" s="37"/>
      <c r="J616" s="37"/>
      <c r="K616" s="68" t="str">
        <f aca="false">IFERROR(__xludf.dummyfunction("""COMPUTED_VALUE"""),"Lent")</f>
        <v>Lent</v>
      </c>
      <c r="L616" s="68" t="str">
        <f aca="false">IFERROR(__xludf.dummyfunction("""COMPUTED_VALUE"""),"Lường Nhật Nam")</f>
        <v>Lường Nhật Nam</v>
      </c>
      <c r="M616" s="71"/>
      <c r="N616" s="77" t="str">
        <f aca="false">IFERROR(__xludf.dummyfunction("""COMPUTED_VALUE"""),"3126,3340,3316")</f>
        <v>3126,3340,3316</v>
      </c>
      <c r="O616" s="73" t="str">
        <f aca="false">IFERROR(__xludf.dummyfunction("""COMPUTED_VALUE"""),"174802,174797,166884")</f>
        <v>174802,174797,166884</v>
      </c>
      <c r="P616" s="63" t="n">
        <f aca="false">IFERROR(__xludf.dummyfunction("""COMPUTED_VALUE"""),9045.9108)</f>
        <v>9045.9108</v>
      </c>
      <c r="Q616" s="63"/>
      <c r="R616" s="41"/>
      <c r="S616" s="41"/>
      <c r="T616" s="63"/>
      <c r="U616" s="63"/>
      <c r="V616" s="70" t="n">
        <f aca="false">IFERROR(__xludf.dummyfunction("""COMPUTED_VALUE"""),46354)</f>
        <v>46354</v>
      </c>
      <c r="W616" s="39"/>
      <c r="X616" s="41" t="str">
        <f aca="false">IFERROR(__xludf.dummyfunction("""COMPUTED_VALUE"""),"Lent")</f>
        <v>Lent</v>
      </c>
      <c r="Y616" s="44"/>
      <c r="Z616" s="57" t="str">
        <f aca="false">IFERROR(__xludf.dummyfunction("""COMPUTED_VALUE"""),"#N/A")</f>
        <v>#N/A</v>
      </c>
      <c r="AA616" s="57"/>
      <c r="AB616" s="41" t="n">
        <f aca="false">IFERROR(__xludf.dummyfunction("""COMPUTED_VALUE"""),11)</f>
        <v>11</v>
      </c>
      <c r="AC616" s="57" t="str">
        <f aca="false">IFERROR(__xludf.dummyfunction("""COMPUTED_VALUE"""),"gv.namnh@hocmai.edu.vn ")</f>
        <v>gv.namnh@hocmai.edu.vn </v>
      </c>
      <c r="AD616" s="46" t="str">
        <f aca="false">IFERROR(__xludf.dummyfunction("""COMPUTED_VALUE"""),"nhatnam1092@gmail.com")</f>
        <v>nhatnam1092@gmail.com</v>
      </c>
      <c r="AE616" s="46"/>
      <c r="AF616" s="74" t="b">
        <f aca="false">IFERROR(__xludf.dummyfunction("""COMPUTED_VALUE"""),FALSE())</f>
        <v>0</v>
      </c>
      <c r="AG616" s="46" t="str">
        <f aca="false">IFERROR(__xludf.dummyfunction("""COMPUTED_VALUE"""),"")</f>
        <v/>
      </c>
      <c r="AH616" s="46"/>
      <c r="AI616" s="46"/>
      <c r="AJ616" s="46"/>
      <c r="AK616" s="46"/>
      <c r="AL616" s="46"/>
      <c r="AM616" s="81" t="b">
        <f aca="false">IFERROR(__xludf.dummyfunction("""COMPUTED_VALUE"""),TRUE())</f>
        <v>1</v>
      </c>
      <c r="AN616" s="46"/>
      <c r="AO616" s="46"/>
    </row>
    <row r="617" customFormat="false" ht="15.75" hidden="false" customHeight="true" outlineLevel="0" collapsed="false">
      <c r="A617" s="37" t="str">
        <f aca="false">IFERROR(__xludf.dummyfunction("""COMPUTED_VALUE"""),"Toán")</f>
        <v>Toán</v>
      </c>
      <c r="B617" s="37" t="str">
        <f aca="false">IFERROR(__xludf.dummyfunction("""COMPUTED_VALUE"""),"TOA_V-ACT_T23")</f>
        <v>TOA_V-ACT_T23</v>
      </c>
      <c r="C617" s="59" t="str">
        <f aca="false">IFERROR(__xludf.dummyfunction("""COMPUTED_VALUE"""),"Các bài toán trọng tâm về tổ hợp và xác suất (P2)")</f>
        <v>Các bài toán trọng tâm về tổ hợp và xác suất (P2)</v>
      </c>
      <c r="D617" s="39" t="str">
        <f aca="false">IFERROR(__xludf.dummyfunction("""COMPUTED_VALUE"""),"Nguyễn Hoài Nam")</f>
        <v>Nguyễn Hoài Nam</v>
      </c>
      <c r="E617" s="40" t="n">
        <f aca="false">IFERROR(__xludf.dummyfunction("""COMPUTED_VALUE"""),46352)</f>
        <v>46352</v>
      </c>
      <c r="F617" s="41" t="n">
        <f aca="false">IFERROR(__xludf.dummyfunction("""COMPUTED_VALUE"""),5)</f>
        <v>5</v>
      </c>
      <c r="G617" s="37" t="str">
        <f aca="false">IFERROR(__xludf.dummyfunction("""COMPUTED_VALUE"""),"21:00-22:30")</f>
        <v>21:00-22:30</v>
      </c>
      <c r="H617" s="37"/>
      <c r="I617" s="37"/>
      <c r="J617" s="37"/>
      <c r="K617" s="68" t="str">
        <f aca="false">IFERROR(__xludf.dummyfunction("""COMPUTED_VALUE"""),"Lent")</f>
        <v>Lent</v>
      </c>
      <c r="L617" s="68" t="str">
        <f aca="false">IFERROR(__xludf.dummyfunction("""COMPUTED_VALUE"""),"Lường Nhật Nam")</f>
        <v>Lường Nhật Nam</v>
      </c>
      <c r="M617" s="71"/>
      <c r="N617" s="77" t="str">
        <f aca="false">IFERROR(__xludf.dummyfunction("""COMPUTED_VALUE"""),"3124,3316")</f>
        <v>3124,3316</v>
      </c>
      <c r="O617" s="73" t="n">
        <f aca="false">IFERROR(__xludf.dummyfunction("""COMPUTED_VALUE"""),167208.166877)</f>
        <v>167208.166877</v>
      </c>
      <c r="P617" s="63" t="n">
        <f aca="false">IFERROR(__xludf.dummyfunction("""COMPUTED_VALUE"""),9044.9108)</f>
        <v>9044.9108</v>
      </c>
      <c r="Q617" s="63" t="n">
        <f aca="false">IFERROR(__xludf.dummyfunction("""COMPUTED_VALUE"""),167208)</f>
        <v>167208</v>
      </c>
      <c r="R617" s="41" t="n">
        <f aca="false">IFERROR(__xludf.dummyfunction("""COMPUTED_VALUE"""),166877)</f>
        <v>166877</v>
      </c>
      <c r="S617" s="41"/>
      <c r="T617" s="63"/>
      <c r="U617" s="63"/>
      <c r="V617" s="70" t="n">
        <f aca="false">IFERROR(__xludf.dummyfunction("""COMPUTED_VALUE"""),46355)</f>
        <v>46355</v>
      </c>
      <c r="W617" s="39"/>
      <c r="X617" s="41" t="str">
        <f aca="false">IFERROR(__xludf.dummyfunction("""COMPUTED_VALUE"""),"Lent")</f>
        <v>Lent</v>
      </c>
      <c r="Y617" s="44" t="str">
        <f aca="false">IFERROR(__xludf.dummyfunction("""COMPUTED_VALUE"""),"done")</f>
        <v>done</v>
      </c>
      <c r="Z617" s="57" t="str">
        <f aca="false">IFERROR(__xludf.dummyfunction("""COMPUTED_VALUE"""),"#N/A")</f>
        <v>#N/A</v>
      </c>
      <c r="AA617" s="57"/>
      <c r="AB617" s="41" t="n">
        <f aca="false">IFERROR(__xludf.dummyfunction("""COMPUTED_VALUE"""),11)</f>
        <v>11</v>
      </c>
      <c r="AC617" s="57" t="str">
        <f aca="false">IFERROR(__xludf.dummyfunction("""COMPUTED_VALUE"""),"gv.namnh@hocmai.edu.vn ")</f>
        <v>gv.namnh@hocmai.edu.vn </v>
      </c>
      <c r="AD617" s="46" t="str">
        <f aca="false">IFERROR(__xludf.dummyfunction("""COMPUTED_VALUE"""),"nhatnam1092@gmail.com")</f>
        <v>nhatnam1092@gmail.com</v>
      </c>
      <c r="AE617" s="46"/>
      <c r="AF617" s="47" t="str">
        <f aca="false">IFERROR(__xludf.dummyfunction("""COMPUTED_VALUE"""),"lophoctoan-946352")</f>
        <v>lophoctoan-946352</v>
      </c>
      <c r="AG617" s="46" t="str">
        <f aca="false">IFERROR(__xludf.dummyfunction("""COMPUTED_VALUE"""),"")</f>
        <v/>
      </c>
      <c r="AH617" s="46"/>
      <c r="AI617" s="46"/>
      <c r="AJ617" s="46"/>
      <c r="AK617" s="46"/>
      <c r="AL617" s="46"/>
      <c r="AM617" s="81" t="b">
        <f aca="false">IFERROR(__xludf.dummyfunction("""COMPUTED_VALUE"""),TRUE())</f>
        <v>1</v>
      </c>
      <c r="AN617" s="81" t="b">
        <f aca="false">IFERROR(__xludf.dummyfunction("""COMPUTED_VALUE"""),TRUE())</f>
        <v>1</v>
      </c>
      <c r="AO617" s="46"/>
    </row>
    <row r="618" customFormat="false" ht="15.75" hidden="false" customHeight="true" outlineLevel="0" collapsed="false">
      <c r="A618" s="37" t="str">
        <f aca="false">IFERROR(__xludf.dummyfunction("""COMPUTED_VALUE"""),"Khoa học")</f>
        <v>Khoa học</v>
      </c>
      <c r="B618" s="37" t="str">
        <f aca="false">IFERROR(__xludf.dummyfunction("""COMPUTED_VALUE"""),"TOS_V-ACT_KH24")</f>
        <v>TOS_V-ACT_KH24</v>
      </c>
      <c r="C618" s="59" t="str">
        <f aca="false">IFERROR(__xludf.dummyfunction("""COMPUTED_VALUE"""),"Thực hành quản lý thời gian phần Tư duy khoa học và tâm lý phòng thi.")</f>
        <v>Thực hành quản lý thời gian phần Tư duy khoa học và tâm lý phòng thi.</v>
      </c>
      <c r="D618" s="39" t="str">
        <f aca="false">IFERROR(__xludf.dummyfunction("""COMPUTED_VALUE"""),"Lê Văn Minh")</f>
        <v>Lê Văn Minh</v>
      </c>
      <c r="E618" s="40" t="n">
        <f aca="false">IFERROR(__xludf.dummyfunction("""COMPUTED_VALUE"""),46354)</f>
        <v>46354</v>
      </c>
      <c r="F618" s="41" t="n">
        <f aca="false">IFERROR(__xludf.dummyfunction("""COMPUTED_VALUE"""),7)</f>
        <v>7</v>
      </c>
      <c r="G618" s="37" t="str">
        <f aca="false">IFERROR(__xludf.dummyfunction("""COMPUTED_VALUE"""),"20:30-22:00")</f>
        <v>20:30-22:00</v>
      </c>
      <c r="H618" s="37"/>
      <c r="I618" s="37"/>
      <c r="J618" s="37"/>
      <c r="K618" s="68" t="str">
        <f aca="false">IFERROR(__xludf.dummyfunction("""COMPUTED_VALUE"""),"Kimnq")</f>
        <v>Kimnq</v>
      </c>
      <c r="L618" s="68" t="str">
        <f aca="false">IFERROR(__xludf.dummyfunction("""COMPUTED_VALUE"""),"Lê Quốc Việt")</f>
        <v>Lê Quốc Việt</v>
      </c>
      <c r="M618" s="71"/>
      <c r="N618" s="77" t="str">
        <f aca="false">IFERROR(__xludf.dummyfunction("""COMPUTED_VALUE"""),"3340,3126")</f>
        <v>3340,3126</v>
      </c>
      <c r="O618" s="73" t="n">
        <f aca="false">IFERROR(__xludf.dummyfunction("""COMPUTED_VALUE"""),167515.167402)</f>
        <v>167515.167402</v>
      </c>
      <c r="P618" s="63"/>
      <c r="Q618" s="63"/>
      <c r="R618" s="41"/>
      <c r="S618" s="41"/>
      <c r="T618" s="63"/>
      <c r="U618" s="63"/>
      <c r="V618" s="70" t="n">
        <f aca="false">IFERROR(__xludf.dummyfunction("""COMPUTED_VALUE"""),46357)</f>
        <v>46357</v>
      </c>
      <c r="W618" s="39"/>
      <c r="X618" s="41" t="str">
        <f aca="false">IFERROR(__xludf.dummyfunction("""COMPUTED_VALUE"""),"Kimnq")</f>
        <v>Kimnq</v>
      </c>
      <c r="Y618" s="44" t="str">
        <f aca="false">IFERROR(__xludf.dummyfunction("""COMPUTED_VALUE"""),"done")</f>
        <v>done</v>
      </c>
      <c r="Z618" s="57" t="str">
        <f aca="false">IFERROR(__xludf.dummyfunction("""COMPUTED_VALUE"""),"#N/A")</f>
        <v>#N/A</v>
      </c>
      <c r="AA618" s="57"/>
      <c r="AB618" s="41" t="n">
        <f aca="false">IFERROR(__xludf.dummyfunction("""COMPUTED_VALUE"""),11)</f>
        <v>11</v>
      </c>
      <c r="AC618" s="57" t="str">
        <f aca="false">IFERROR(__xludf.dummyfunction("""COMPUTED_VALUE"""),"gv.minhlv@hocmai.edu.vn		")</f>
        <v>gv.minhlv@hocmai.edu.vn		</v>
      </c>
      <c r="AD618" s="46" t="str">
        <f aca="false">IFERROR(__xludf.dummyfunction("""COMPUTED_VALUE"""),"Ralph02091@gmail.com")</f>
        <v>Ralph02091@gmail.com</v>
      </c>
      <c r="AE618" s="46"/>
      <c r="AF618" s="47" t="str">
        <f aca="false">IFERROR(__xludf.dummyfunction("""COMPUTED_VALUE"""),"lophoctoan-946354")</f>
        <v>lophoctoan-946354</v>
      </c>
      <c r="AG618" s="46" t="str">
        <f aca="false">IFERROR(__xludf.dummyfunction("""COMPUTED_VALUE"""),"")</f>
        <v/>
      </c>
      <c r="AH618" s="46"/>
      <c r="AI618" s="46"/>
      <c r="AJ618" s="46"/>
      <c r="AK618" s="46"/>
      <c r="AL618" s="46"/>
      <c r="AM618" s="81" t="b">
        <f aca="false">IFERROR(__xludf.dummyfunction("""COMPUTED_VALUE"""),TRUE())</f>
        <v>1</v>
      </c>
      <c r="AN618" s="81" t="b">
        <f aca="false">IFERROR(__xludf.dummyfunction("""COMPUTED_VALUE"""),TRUE())</f>
        <v>1</v>
      </c>
      <c r="AO618" s="46"/>
    </row>
    <row r="619" customFormat="false" ht="15.75" hidden="false" customHeight="true" outlineLevel="0" collapsed="false">
      <c r="A619" s="37" t="str">
        <f aca="false">IFERROR(__xludf.dummyfunction("""COMPUTED_VALUE"""),"Toán")</f>
        <v>Toán</v>
      </c>
      <c r="B619" s="37" t="str">
        <f aca="false">IFERROR(__xludf.dummyfunction("""COMPUTED_VALUE"""),"NT_N_33")</f>
        <v>NT_N_33</v>
      </c>
      <c r="C619" s="59" t="str">
        <f aca="false">IFERROR(__xludf.dummyfunction("""COMPUTED_VALUE"""),"Các bài toán xác suất tổng hợp")</f>
        <v>Các bài toán xác suất tổng hợp</v>
      </c>
      <c r="D619" s="39" t="str">
        <f aca="false">IFERROR(__xludf.dummyfunction("""COMPUTED_VALUE"""),"Nguyễn Hoài Nam")</f>
        <v>Nguyễn Hoài Nam</v>
      </c>
      <c r="E619" s="40" t="n">
        <f aca="false">IFERROR(__xludf.dummyfunction("""COMPUTED_VALUE"""),46355)</f>
        <v>46355</v>
      </c>
      <c r="F619" s="41" t="str">
        <f aca="false">IFERROR(__xludf.dummyfunction("""COMPUTED_VALUE"""),"CN")</f>
        <v>CN</v>
      </c>
      <c r="G619" s="37" t="str">
        <f aca="false">IFERROR(__xludf.dummyfunction("""COMPUTED_VALUE"""),"21:00-22:30")</f>
        <v>21:00-22:30</v>
      </c>
      <c r="H619" s="37"/>
      <c r="I619" s="37"/>
      <c r="J619" s="62"/>
      <c r="K619" s="68" t="str">
        <f aca="false">IFERROR(__xludf.dummyfunction("""COMPUTED_VALUE"""),"lent")</f>
        <v>lent</v>
      </c>
      <c r="L619" s="68" t="str">
        <f aca="false">IFERROR(__xludf.dummyfunction("""COMPUTED_VALUE"""),"Tưởng Thị Huyền Trang")</f>
        <v>Tưởng Thị Huyền Trang</v>
      </c>
      <c r="M619" s="69" t="str">
        <f aca="false">IFERROR(__xludf.dummyfunction("""COMPUTED_VALUE"""),"https://hocmai.sharepoint.com/Education_Development/Lists/San_xuat_video/DispForm.aspx?ID=12220")</f>
        <v>https://hocmai.sharepoint.com/Education_Development/Lists/San_xuat_video/DispForm.aspx?ID=12220</v>
      </c>
      <c r="N619" s="78" t="n">
        <f aca="false">IFERROR(__xludf.dummyfunction("""COMPUTED_VALUE"""),3313)</f>
        <v>3313</v>
      </c>
      <c r="O619" s="63" t="n">
        <f aca="false">IFERROR(__xludf.dummyfunction("""COMPUTED_VALUE"""),166657)</f>
        <v>166657</v>
      </c>
      <c r="P619" s="63"/>
      <c r="Q619" s="63" t="n">
        <f aca="false">IFERROR(__xludf.dummyfunction("""COMPUTED_VALUE"""),8067)</f>
        <v>8067</v>
      </c>
      <c r="R619" s="41"/>
      <c r="S619" s="41"/>
      <c r="T619" s="63" t="n">
        <f aca="false">IFERROR(__xludf.dummyfunction("""COMPUTED_VALUE"""),8068)</f>
        <v>8068</v>
      </c>
      <c r="U619" s="63"/>
      <c r="V619" s="70" t="n">
        <f aca="false">IFERROR(__xludf.dummyfunction("""COMPUTED_VALUE"""),46357)</f>
        <v>46357</v>
      </c>
      <c r="W619" s="39"/>
      <c r="X619" s="41" t="str">
        <f aca="false">IFERROR(__xludf.dummyfunction("""COMPUTED_VALUE"""),"Huent7")</f>
        <v>Huent7</v>
      </c>
      <c r="Y619" s="44"/>
      <c r="Z619" s="57"/>
      <c r="AA619" s="57"/>
      <c r="AB619" s="41" t="n">
        <f aca="false">IFERROR(__xludf.dummyfunction("""COMPUTED_VALUE"""),11)</f>
        <v>11</v>
      </c>
      <c r="AC619" s="57"/>
      <c r="AD619" s="46"/>
      <c r="AE619" s="46"/>
      <c r="AF619" s="47" t="str">
        <f aca="false">IFERROR(__xludf.dummyfunction("""COMPUTED_VALUE"""),"lophoctoan-946355")</f>
        <v>lophoctoan-946355</v>
      </c>
      <c r="AG619" s="46" t="str">
        <f aca="false">IFERROR(__xludf.dummyfunction("""COMPUTED_VALUE"""),"")</f>
        <v/>
      </c>
      <c r="AH619" s="81" t="b">
        <f aca="false">IFERROR(__xludf.dummyfunction("""COMPUTED_VALUE"""),TRUE())</f>
        <v>1</v>
      </c>
      <c r="AI619" s="46"/>
      <c r="AJ619" s="46"/>
      <c r="AK619" s="46"/>
      <c r="AL619" s="46"/>
      <c r="AM619" s="46"/>
      <c r="AN619" s="46"/>
      <c r="AO619" s="46"/>
    </row>
    <row r="620" customFormat="false" ht="15.75" hidden="false" customHeight="true" outlineLevel="0" collapsed="false">
      <c r="A620" s="37" t="str">
        <f aca="false">IFERROR(__xludf.dummyfunction("""COMPUTED_VALUE"""),"Toán")</f>
        <v>Toán</v>
      </c>
      <c r="B620" s="37" t="str">
        <f aca="false">IFERROR(__xludf.dummyfunction("""COMPUTED_VALUE"""),"TOV_TNTHPT_T02")</f>
        <v>TOV_TNTHPT_T02</v>
      </c>
      <c r="C620" s="59" t="str">
        <f aca="false">IFERROR(__xludf.dummyfunction("""COMPUTED_VALUE"""),"Bài toán tối ưu sử dụng miền nghiệm hệ phương trình bậc nhất hai ẩn")</f>
        <v>Bài toán tối ưu sử dụng miền nghiệm hệ phương trình bậc nhất hai ẩn</v>
      </c>
      <c r="D620" s="39" t="str">
        <f aca="false">IFERROR(__xludf.dummyfunction("""COMPUTED_VALUE"""),"Nguyễn Thanh Tùng")</f>
        <v>Nguyễn Thanh Tùng</v>
      </c>
      <c r="E620" s="40" t="n">
        <f aca="false">IFERROR(__xludf.dummyfunction("""COMPUTED_VALUE"""),46357)</f>
        <v>46357</v>
      </c>
      <c r="F620" s="41" t="n">
        <f aca="false">IFERROR(__xludf.dummyfunction("""COMPUTED_VALUE"""),3)</f>
        <v>3</v>
      </c>
      <c r="G620" s="37" t="str">
        <f aca="false">IFERROR(__xludf.dummyfunction("""COMPUTED_VALUE"""),"21:00-23:00")</f>
        <v>21:00-23:00</v>
      </c>
      <c r="H620" s="37"/>
      <c r="I620" s="37"/>
      <c r="J620" s="37"/>
      <c r="K620" s="68" t="str">
        <f aca="false">IFERROR(__xludf.dummyfunction("""COMPUTED_VALUE"""),"Lent")</f>
        <v>Lent</v>
      </c>
      <c r="L620" s="68" t="str">
        <f aca="false">IFERROR(__xludf.dummyfunction("""COMPUTED_VALUE"""),"Tưởng Thị Huyền Trang")</f>
        <v>Tưởng Thị Huyền Trang</v>
      </c>
      <c r="M620" s="71"/>
      <c r="N620" s="77" t="str">
        <f aca="false">IFERROR(__xludf.dummyfunction("""COMPUTED_VALUE"""),"3127,3314")</f>
        <v>3127,3314</v>
      </c>
      <c r="O620" s="63" t="str">
        <f aca="false">IFERROR(__xludf.dummyfunction("""COMPUTED_VALUE"""),"167482, 167082")</f>
        <v>167482, 167082</v>
      </c>
      <c r="P620" s="63" t="n">
        <f aca="false">IFERROR(__xludf.dummyfunction("""COMPUTED_VALUE"""),9017.9102)</f>
        <v>9017.9102</v>
      </c>
      <c r="Q620" s="63"/>
      <c r="R620" s="41"/>
      <c r="S620" s="41"/>
      <c r="T620" s="63"/>
      <c r="U620" s="63"/>
      <c r="V620" s="70" t="n">
        <f aca="false">IFERROR(__xludf.dummyfunction("""COMPUTED_VALUE"""),46360)</f>
        <v>46360</v>
      </c>
      <c r="W620" s="39"/>
      <c r="X620" s="41" t="str">
        <f aca="false">IFERROR(__xludf.dummyfunction("""COMPUTED_VALUE"""),"Lent")</f>
        <v>Lent</v>
      </c>
      <c r="Y620" s="44"/>
      <c r="Z620" s="57" t="str">
        <f aca="false">IFERROR(__xludf.dummyfunction("""COMPUTED_VALUE"""),"#N/A")</f>
        <v>#N/A</v>
      </c>
      <c r="AA620" s="57"/>
      <c r="AB620" s="41" t="n">
        <f aca="false">IFERROR(__xludf.dummyfunction("""COMPUTED_VALUE"""),12)</f>
        <v>12</v>
      </c>
      <c r="AC620" s="57" t="str">
        <f aca="false">IFERROR(__xludf.dummyfunction("""COMPUTED_VALUE"""),"gv.tungnt@hocmai.edu.vn ")</f>
        <v>gv.tungnt@hocmai.edu.vn </v>
      </c>
      <c r="AD620" s="46" t="str">
        <f aca="false">IFERROR(__xludf.dummyfunction("""COMPUTED_VALUE"""),"trangcrazy699@gmail.com")</f>
        <v>trangcrazy699@gmail.com</v>
      </c>
      <c r="AE620" s="46"/>
      <c r="AF620" s="47" t="str">
        <f aca="false">IFERROR(__xludf.dummyfunction("""COMPUTED_VALUE"""),"lophoctoan-946357")</f>
        <v>lophoctoan-946357</v>
      </c>
      <c r="AG620" s="46" t="str">
        <f aca="false">IFERROR(__xludf.dummyfunction("""COMPUTED_VALUE"""),"")</f>
        <v/>
      </c>
      <c r="AH620" s="46"/>
      <c r="AI620" s="46"/>
      <c r="AJ620" s="46"/>
      <c r="AK620" s="46"/>
      <c r="AL620" s="81" t="b">
        <f aca="false">IFERROR(__xludf.dummyfunction("""COMPUTED_VALUE"""),TRUE())</f>
        <v>1</v>
      </c>
      <c r="AM620" s="46"/>
      <c r="AN620" s="46"/>
      <c r="AO620" s="46"/>
    </row>
    <row r="621" customFormat="false" ht="15.75" hidden="false" customHeight="true" outlineLevel="0" collapsed="false">
      <c r="A621" s="37" t="str">
        <f aca="false">IFERROR(__xludf.dummyfunction("""COMPUTED_VALUE"""),"Tiếng Việt")</f>
        <v>Tiếng Việt</v>
      </c>
      <c r="B621" s="37" t="str">
        <f aca="false">IFERROR(__xludf.dummyfunction("""COMPUTED_VALUE"""),"TOV_V-ACT_TV24")</f>
        <v>TOV_V-ACT_TV24</v>
      </c>
      <c r="C621" s="59" t="str">
        <f aca="false">IFERROR(__xludf.dummyfunction("""COMPUTED_VALUE"""),"Giữ gìn sự trong sáng của tiếng Việt")</f>
        <v>Giữ gìn sự trong sáng của tiếng Việt</v>
      </c>
      <c r="D621" s="39" t="str">
        <f aca="false">IFERROR(__xludf.dummyfunction("""COMPUTED_VALUE"""),"Văn Trịnh Quỳnh An")</f>
        <v>Văn Trịnh Quỳnh An</v>
      </c>
      <c r="E621" s="40" t="n">
        <f aca="false">IFERROR(__xludf.dummyfunction("""COMPUTED_VALUE"""),46357)</f>
        <v>46357</v>
      </c>
      <c r="F621" s="41" t="n">
        <f aca="false">IFERROR(__xludf.dummyfunction("""COMPUTED_VALUE"""),3)</f>
        <v>3</v>
      </c>
      <c r="G621" s="37" t="str">
        <f aca="false">IFERROR(__xludf.dummyfunction("""COMPUTED_VALUE"""),"20:00-21:30")</f>
        <v>20:00-21:30</v>
      </c>
      <c r="H621" s="37"/>
      <c r="I621" s="37"/>
      <c r="J621" s="37"/>
      <c r="K621" s="68" t="str">
        <f aca="false">IFERROR(__xludf.dummyfunction("""COMPUTED_VALUE"""),"Hangvt3")</f>
        <v>Hangvt3</v>
      </c>
      <c r="L621" s="68" t="str">
        <f aca="false">IFERROR(__xludf.dummyfunction("""COMPUTED_VALUE"""),"Bùi Vĩnh Thọ")</f>
        <v>Bùi Vĩnh Thọ</v>
      </c>
      <c r="M621" s="71"/>
      <c r="N621" s="77" t="str">
        <f aca="false">IFERROR(__xludf.dummyfunction("""COMPUTED_VALUE"""),"3125,3338")</f>
        <v>3125,3338</v>
      </c>
      <c r="O621" s="73" t="n">
        <f aca="false">IFERROR(__xludf.dummyfunction("""COMPUTED_VALUE"""),167376.174791)</f>
        <v>167376.174791</v>
      </c>
      <c r="P621" s="63" t="n">
        <f aca="false">IFERROR(__xludf.dummyfunction("""COMPUTED_VALUE"""),174791)</f>
        <v>174791</v>
      </c>
      <c r="Q621" s="63"/>
      <c r="R621" s="41"/>
      <c r="S621" s="41"/>
      <c r="T621" s="63"/>
      <c r="U621" s="63"/>
      <c r="V621" s="70" t="n">
        <f aca="false">IFERROR(__xludf.dummyfunction("""COMPUTED_VALUE"""),46193)</f>
        <v>46193</v>
      </c>
      <c r="W621" s="39"/>
      <c r="X621" s="41" t="str">
        <f aca="false">IFERROR(__xludf.dummyfunction("""COMPUTED_VALUE"""),"Phuongdt")</f>
        <v>Phuongdt</v>
      </c>
      <c r="Y621" s="44" t="str">
        <f aca="false">IFERROR(__xludf.dummyfunction("""COMPUTED_VALUE"""),"done")</f>
        <v>done</v>
      </c>
      <c r="Z621" s="57" t="str">
        <f aca="false">IFERROR(__xludf.dummyfunction("""COMPUTED_VALUE"""),"#N/A")</f>
        <v>#N/A</v>
      </c>
      <c r="AA621" s="57"/>
      <c r="AB621" s="41" t="str">
        <f aca="false">IFERROR(__xludf.dummyfunction("""COMPUTED_VALUE"""),"#REF!")</f>
        <v>#REF!</v>
      </c>
      <c r="AC621" s="57" t="str">
        <f aca="false">IFERROR(__xludf.dummyfunction("""COMPUTED_VALUE"""),"gv.anvtq@hocmai.edu.vn ")</f>
        <v>gv.anvtq@hocmai.edu.vn </v>
      </c>
      <c r="AD621" s="46" t="str">
        <f aca="false">IFERROR(__xludf.dummyfunction("""COMPUTED_VALUE"""),"vinhtho0704@gmail.com")</f>
        <v>vinhtho0704@gmail.com</v>
      </c>
      <c r="AE621" s="46"/>
      <c r="AF621" s="74" t="b">
        <f aca="false">IFERROR(__xludf.dummyfunction("""COMPUTED_VALUE"""),FALSE())</f>
        <v>0</v>
      </c>
      <c r="AG621" s="46" t="str">
        <f aca="false">IFERROR(__xludf.dummyfunction("""COMPUTED_VALUE"""),"")</f>
        <v/>
      </c>
      <c r="AH621" s="46"/>
      <c r="AI621" s="46"/>
      <c r="AJ621" s="46"/>
      <c r="AK621" s="46"/>
      <c r="AL621" s="46"/>
      <c r="AM621" s="81" t="b">
        <f aca="false">IFERROR(__xludf.dummyfunction("""COMPUTED_VALUE"""),TRUE())</f>
        <v>1</v>
      </c>
      <c r="AN621" s="81" t="b">
        <f aca="false">IFERROR(__xludf.dummyfunction("""COMPUTED_VALUE"""),TRUE())</f>
        <v>1</v>
      </c>
      <c r="AO621" s="46"/>
    </row>
    <row r="622" customFormat="false" ht="15.75" hidden="false" customHeight="true" outlineLevel="0" collapsed="false">
      <c r="A622" s="37" t="str">
        <f aca="false">IFERROR(__xludf.dummyfunction("""COMPUTED_VALUE"""),"Toán")</f>
        <v>Toán</v>
      </c>
      <c r="B622" s="37" t="str">
        <f aca="false">IFERROR(__xludf.dummyfunction("""COMPUTED_VALUE"""),"TOA_V-ACT_T24")</f>
        <v>TOA_V-ACT_T24</v>
      </c>
      <c r="C622" s="59" t="str">
        <f aca="false">IFERROR(__xludf.dummyfunction("""COMPUTED_VALUE"""),"Các bài toán trọng tâm về tổ hợp và xác suất (P3)")</f>
        <v>Các bài toán trọng tâm về tổ hợp và xác suất (P3)</v>
      </c>
      <c r="D622" s="39" t="str">
        <f aca="false">IFERROR(__xludf.dummyfunction("""COMPUTED_VALUE"""),"Nguyễn Hoài Nam")</f>
        <v>Nguyễn Hoài Nam</v>
      </c>
      <c r="E622" s="40" t="n">
        <f aca="false">IFERROR(__xludf.dummyfunction("""COMPUTED_VALUE"""),46359)</f>
        <v>46359</v>
      </c>
      <c r="F622" s="41" t="n">
        <f aca="false">IFERROR(__xludf.dummyfunction("""COMPUTED_VALUE"""),5)</f>
        <v>5</v>
      </c>
      <c r="G622" s="37" t="str">
        <f aca="false">IFERROR(__xludf.dummyfunction("""COMPUTED_VALUE"""),"21:00-22:30")</f>
        <v>21:00-22:30</v>
      </c>
      <c r="H622" s="37"/>
      <c r="I622" s="37"/>
      <c r="J622" s="37"/>
      <c r="K622" s="68" t="str">
        <f aca="false">IFERROR(__xludf.dummyfunction("""COMPUTED_VALUE"""),"Lent")</f>
        <v>Lent</v>
      </c>
      <c r="L622" s="68" t="str">
        <f aca="false">IFERROR(__xludf.dummyfunction("""COMPUTED_VALUE"""),"Lường Nhật Nam")</f>
        <v>Lường Nhật Nam</v>
      </c>
      <c r="M622" s="71"/>
      <c r="N622" s="77" t="str">
        <f aca="false">IFERROR(__xludf.dummyfunction("""COMPUTED_VALUE"""),"3124,3316")</f>
        <v>3124,3316</v>
      </c>
      <c r="O622" s="73" t="n">
        <f aca="false">IFERROR(__xludf.dummyfunction("""COMPUTED_VALUE"""),167209.166878)</f>
        <v>167209.166878</v>
      </c>
      <c r="P622" s="63" t="n">
        <f aca="false">IFERROR(__xludf.dummyfunction("""COMPUTED_VALUE"""),9044.9108)</f>
        <v>9044.9108</v>
      </c>
      <c r="Q622" s="63" t="n">
        <f aca="false">IFERROR(__xludf.dummyfunction("""COMPUTED_VALUE"""),167209)</f>
        <v>167209</v>
      </c>
      <c r="R622" s="41" t="n">
        <f aca="false">IFERROR(__xludf.dummyfunction("""COMPUTED_VALUE"""),166878)</f>
        <v>166878</v>
      </c>
      <c r="S622" s="41"/>
      <c r="T622" s="63"/>
      <c r="U622" s="63"/>
      <c r="V622" s="70" t="n">
        <f aca="false">IFERROR(__xludf.dummyfunction("""COMPUTED_VALUE"""),46362)</f>
        <v>46362</v>
      </c>
      <c r="W622" s="39"/>
      <c r="X622" s="41" t="str">
        <f aca="false">IFERROR(__xludf.dummyfunction("""COMPUTED_VALUE"""),"Lent")</f>
        <v>Lent</v>
      </c>
      <c r="Y622" s="44" t="str">
        <f aca="false">IFERROR(__xludf.dummyfunction("""COMPUTED_VALUE"""),"done")</f>
        <v>done</v>
      </c>
      <c r="Z622" s="57" t="str">
        <f aca="false">IFERROR(__xludf.dummyfunction("""COMPUTED_VALUE"""),"#N/A")</f>
        <v>#N/A</v>
      </c>
      <c r="AA622" s="57"/>
      <c r="AB622" s="41" t="n">
        <f aca="false">IFERROR(__xludf.dummyfunction("""COMPUTED_VALUE"""),12)</f>
        <v>12</v>
      </c>
      <c r="AC622" s="57" t="str">
        <f aca="false">IFERROR(__xludf.dummyfunction("""COMPUTED_VALUE"""),"gv.namnh@hocmai.edu.vn ")</f>
        <v>gv.namnh@hocmai.edu.vn </v>
      </c>
      <c r="AD622" s="46" t="str">
        <f aca="false">IFERROR(__xludf.dummyfunction("""COMPUTED_VALUE"""),"nhatnam1092@gmail.com")</f>
        <v>nhatnam1092@gmail.com</v>
      </c>
      <c r="AE622" s="46"/>
      <c r="AF622" s="47" t="str">
        <f aca="false">IFERROR(__xludf.dummyfunction("""COMPUTED_VALUE"""),"lophoctoan-946359")</f>
        <v>lophoctoan-946359</v>
      </c>
      <c r="AG622" s="46" t="str">
        <f aca="false">IFERROR(__xludf.dummyfunction("""COMPUTED_VALUE"""),"")</f>
        <v/>
      </c>
      <c r="AH622" s="46"/>
      <c r="AI622" s="46"/>
      <c r="AJ622" s="46"/>
      <c r="AK622" s="46"/>
      <c r="AL622" s="46"/>
      <c r="AM622" s="81" t="b">
        <f aca="false">IFERROR(__xludf.dummyfunction("""COMPUTED_VALUE"""),TRUE())</f>
        <v>1</v>
      </c>
      <c r="AN622" s="81" t="b">
        <f aca="false">IFERROR(__xludf.dummyfunction("""COMPUTED_VALUE"""),TRUE())</f>
        <v>1</v>
      </c>
      <c r="AO622" s="46"/>
    </row>
    <row r="623" customFormat="false" ht="15.75" hidden="false" customHeight="true" outlineLevel="0" collapsed="false">
      <c r="A623" s="37" t="str">
        <f aca="false">IFERROR(__xludf.dummyfunction("""COMPUTED_VALUE"""),"Toán")</f>
        <v>Toán</v>
      </c>
      <c r="B623" s="37" t="str">
        <f aca="false">IFERROR(__xludf.dummyfunction("""COMPUTED_VALUE"""),"TOV_TNTHPT_T03")</f>
        <v>TOV_TNTHPT_T03</v>
      </c>
      <c r="C623" s="59" t="str">
        <f aca="false">IFERROR(__xludf.dummyfunction("""COMPUTED_VALUE"""),"Ứng dụng PT - BPT vô tỷ giải các bài toán thực tế")</f>
        <v>Ứng dụng PT - BPT vô tỷ giải các bài toán thực tế</v>
      </c>
      <c r="D623" s="39" t="str">
        <f aca="false">IFERROR(__xludf.dummyfunction("""COMPUTED_VALUE"""),"Nguyễn Thanh Tùng")</f>
        <v>Nguyễn Thanh Tùng</v>
      </c>
      <c r="E623" s="40" t="n">
        <f aca="false">IFERROR(__xludf.dummyfunction("""COMPUTED_VALUE"""),46364)</f>
        <v>46364</v>
      </c>
      <c r="F623" s="41" t="n">
        <f aca="false">IFERROR(__xludf.dummyfunction("""COMPUTED_VALUE"""),3)</f>
        <v>3</v>
      </c>
      <c r="G623" s="37" t="str">
        <f aca="false">IFERROR(__xludf.dummyfunction("""COMPUTED_VALUE"""),"21:00-23:00")</f>
        <v>21:00-23:00</v>
      </c>
      <c r="H623" s="37"/>
      <c r="I623" s="37"/>
      <c r="J623" s="37"/>
      <c r="K623" s="68" t="str">
        <f aca="false">IFERROR(__xludf.dummyfunction("""COMPUTED_VALUE"""),"Lent")</f>
        <v>Lent</v>
      </c>
      <c r="L623" s="68" t="str">
        <f aca="false">IFERROR(__xludf.dummyfunction("""COMPUTED_VALUE"""),"Tưởng Thị Huyền Trang")</f>
        <v>Tưởng Thị Huyền Trang</v>
      </c>
      <c r="M623" s="71"/>
      <c r="N623" s="77" t="str">
        <f aca="false">IFERROR(__xludf.dummyfunction("""COMPUTED_VALUE"""),"3127,3314")</f>
        <v>3127,3314</v>
      </c>
      <c r="O623" s="63" t="str">
        <f aca="false">IFERROR(__xludf.dummyfunction("""COMPUTED_VALUE"""),"167483, 167083")</f>
        <v>167483, 167083</v>
      </c>
      <c r="P623" s="63" t="n">
        <f aca="false">IFERROR(__xludf.dummyfunction("""COMPUTED_VALUE"""),9017.9102)</f>
        <v>9017.9102</v>
      </c>
      <c r="Q623" s="63"/>
      <c r="R623" s="41"/>
      <c r="S623" s="41"/>
      <c r="T623" s="63"/>
      <c r="U623" s="63"/>
      <c r="V623" s="70" t="n">
        <f aca="false">IFERROR(__xludf.dummyfunction("""COMPUTED_VALUE"""),46367)</f>
        <v>46367</v>
      </c>
      <c r="W623" s="39"/>
      <c r="X623" s="41" t="str">
        <f aca="false">IFERROR(__xludf.dummyfunction("""COMPUTED_VALUE"""),"Lent")</f>
        <v>Lent</v>
      </c>
      <c r="Y623" s="44"/>
      <c r="Z623" s="57" t="str">
        <f aca="false">IFERROR(__xludf.dummyfunction("""COMPUTED_VALUE"""),"#N/A")</f>
        <v>#N/A</v>
      </c>
      <c r="AA623" s="57"/>
      <c r="AB623" s="41" t="n">
        <f aca="false">IFERROR(__xludf.dummyfunction("""COMPUTED_VALUE"""),12)</f>
        <v>12</v>
      </c>
      <c r="AC623" s="57" t="str">
        <f aca="false">IFERROR(__xludf.dummyfunction("""COMPUTED_VALUE"""),"gv.tungnt@hocmai.edu.vn ")</f>
        <v>gv.tungnt@hocmai.edu.vn </v>
      </c>
      <c r="AD623" s="46" t="str">
        <f aca="false">IFERROR(__xludf.dummyfunction("""COMPUTED_VALUE"""),"trangcrazy699@gmail.com")</f>
        <v>trangcrazy699@gmail.com</v>
      </c>
      <c r="AE623" s="46"/>
      <c r="AF623" s="47" t="str">
        <f aca="false">IFERROR(__xludf.dummyfunction("""COMPUTED_VALUE"""),"lophoctoan-946364")</f>
        <v>lophoctoan-946364</v>
      </c>
      <c r="AG623" s="46" t="str">
        <f aca="false">IFERROR(__xludf.dummyfunction("""COMPUTED_VALUE"""),"")</f>
        <v/>
      </c>
      <c r="AH623" s="46"/>
      <c r="AI623" s="46"/>
      <c r="AJ623" s="46"/>
      <c r="AK623" s="46"/>
      <c r="AL623" s="81" t="b">
        <f aca="false">IFERROR(__xludf.dummyfunction("""COMPUTED_VALUE"""),TRUE())</f>
        <v>1</v>
      </c>
      <c r="AM623" s="46"/>
      <c r="AN623" s="46"/>
      <c r="AO623" s="46"/>
    </row>
    <row r="624" customFormat="false" ht="15.75" hidden="false" customHeight="true" outlineLevel="0" collapsed="false">
      <c r="A624" s="37" t="str">
        <f aca="false">IFERROR(__xludf.dummyfunction("""COMPUTED_VALUE"""),"Toán")</f>
        <v>Toán</v>
      </c>
      <c r="B624" s="37" t="str">
        <f aca="false">IFERROR(__xludf.dummyfunction("""COMPUTED_VALUE"""),"TOV_TNTHPT_T04")</f>
        <v>TOV_TNTHPT_T04</v>
      </c>
      <c r="C624" s="59" t="str">
        <f aca="false">IFERROR(__xludf.dummyfunction("""COMPUTED_VALUE"""),"Ứng dụng lượng giác trong các bài toán thực tế")</f>
        <v>Ứng dụng lượng giác trong các bài toán thực tế</v>
      </c>
      <c r="D624" s="39" t="str">
        <f aca="false">IFERROR(__xludf.dummyfunction("""COMPUTED_VALUE"""),"Nguyễn Thanh Tùng")</f>
        <v>Nguyễn Thanh Tùng</v>
      </c>
      <c r="E624" s="40" t="n">
        <f aca="false">IFERROR(__xludf.dummyfunction("""COMPUTED_VALUE"""),46371)</f>
        <v>46371</v>
      </c>
      <c r="F624" s="41" t="n">
        <f aca="false">IFERROR(__xludf.dummyfunction("""COMPUTED_VALUE"""),3)</f>
        <v>3</v>
      </c>
      <c r="G624" s="37" t="str">
        <f aca="false">IFERROR(__xludf.dummyfunction("""COMPUTED_VALUE"""),"21:00-23:00")</f>
        <v>21:00-23:00</v>
      </c>
      <c r="H624" s="37"/>
      <c r="I624" s="37"/>
      <c r="J624" s="37"/>
      <c r="K624" s="68" t="str">
        <f aca="false">IFERROR(__xludf.dummyfunction("""COMPUTED_VALUE"""),"Lent")</f>
        <v>Lent</v>
      </c>
      <c r="L624" s="68" t="str">
        <f aca="false">IFERROR(__xludf.dummyfunction("""COMPUTED_VALUE"""),"Tưởng Thị Huyền Trang")</f>
        <v>Tưởng Thị Huyền Trang</v>
      </c>
      <c r="M624" s="71"/>
      <c r="N624" s="77" t="str">
        <f aca="false">IFERROR(__xludf.dummyfunction("""COMPUTED_VALUE"""),"3127,3314")</f>
        <v>3127,3314</v>
      </c>
      <c r="O624" s="63" t="str">
        <f aca="false">IFERROR(__xludf.dummyfunction("""COMPUTED_VALUE"""),"167484, 167084")</f>
        <v>167484, 167084</v>
      </c>
      <c r="P624" s="63" t="n">
        <f aca="false">IFERROR(__xludf.dummyfunction("""COMPUTED_VALUE"""),9017.9102)</f>
        <v>9017.9102</v>
      </c>
      <c r="Q624" s="63"/>
      <c r="R624" s="41"/>
      <c r="S624" s="41"/>
      <c r="T624" s="63"/>
      <c r="U624" s="63"/>
      <c r="V624" s="70" t="n">
        <f aca="false">IFERROR(__xludf.dummyfunction("""COMPUTED_VALUE"""),46374)</f>
        <v>46374</v>
      </c>
      <c r="W624" s="39"/>
      <c r="X624" s="41" t="str">
        <f aca="false">IFERROR(__xludf.dummyfunction("""COMPUTED_VALUE"""),"Lent")</f>
        <v>Lent</v>
      </c>
      <c r="Y624" s="44"/>
      <c r="Z624" s="57" t="str">
        <f aca="false">IFERROR(__xludf.dummyfunction("""COMPUTED_VALUE"""),"#N/A")</f>
        <v>#N/A</v>
      </c>
      <c r="AA624" s="57"/>
      <c r="AB624" s="41" t="n">
        <f aca="false">IFERROR(__xludf.dummyfunction("""COMPUTED_VALUE"""),12)</f>
        <v>12</v>
      </c>
      <c r="AC624" s="57" t="str">
        <f aca="false">IFERROR(__xludf.dummyfunction("""COMPUTED_VALUE"""),"gv.tungnt@hocmai.edu.vn ")</f>
        <v>gv.tungnt@hocmai.edu.vn </v>
      </c>
      <c r="AD624" s="46" t="str">
        <f aca="false">IFERROR(__xludf.dummyfunction("""COMPUTED_VALUE"""),"trangcrazy699@gmail.com")</f>
        <v>trangcrazy699@gmail.com</v>
      </c>
      <c r="AE624" s="46"/>
      <c r="AF624" s="47" t="str">
        <f aca="false">IFERROR(__xludf.dummyfunction("""COMPUTED_VALUE"""),"lophoctoan-946371")</f>
        <v>lophoctoan-946371</v>
      </c>
      <c r="AG624" s="46" t="str">
        <f aca="false">IFERROR(__xludf.dummyfunction("""COMPUTED_VALUE"""),"")</f>
        <v/>
      </c>
      <c r="AH624" s="46"/>
      <c r="AI624" s="46"/>
      <c r="AJ624" s="46"/>
      <c r="AK624" s="46"/>
      <c r="AL624" s="81" t="b">
        <f aca="false">IFERROR(__xludf.dummyfunction("""COMPUTED_VALUE"""),TRUE())</f>
        <v>1</v>
      </c>
      <c r="AM624" s="46"/>
      <c r="AN624" s="46"/>
      <c r="AO624" s="46"/>
    </row>
    <row r="625" customFormat="false" ht="15.75" hidden="false" customHeight="true" outlineLevel="0" collapsed="false">
      <c r="A625" s="37" t="str">
        <f aca="false">IFERROR(__xludf.dummyfunction("""COMPUTED_VALUE"""),"Toán")</f>
        <v>Toán</v>
      </c>
      <c r="B625" s="37" t="str">
        <f aca="false">IFERROR(__xludf.dummyfunction("""COMPUTED_VALUE"""),"TOV_TNTHPT_T05")</f>
        <v>TOV_TNTHPT_T05</v>
      </c>
      <c r="C625" s="59" t="str">
        <f aca="false">IFERROR(__xludf.dummyfunction("""COMPUTED_VALUE"""),"Các kĩ năng cần thiết xử lí các bài toán liên chuyên đề (P1)")</f>
        <v>Các kĩ năng cần thiết xử lí các bài toán liên chuyên đề (P1)</v>
      </c>
      <c r="D625" s="39" t="str">
        <f aca="false">IFERROR(__xludf.dummyfunction("""COMPUTED_VALUE"""),"Nguyễn Thanh Tùng")</f>
        <v>Nguyễn Thanh Tùng</v>
      </c>
      <c r="E625" s="40" t="n">
        <f aca="false">IFERROR(__xludf.dummyfunction("""COMPUTED_VALUE"""),46378)</f>
        <v>46378</v>
      </c>
      <c r="F625" s="41" t="n">
        <f aca="false">IFERROR(__xludf.dummyfunction("""COMPUTED_VALUE"""),3)</f>
        <v>3</v>
      </c>
      <c r="G625" s="37" t="str">
        <f aca="false">IFERROR(__xludf.dummyfunction("""COMPUTED_VALUE"""),"21:00-23:00")</f>
        <v>21:00-23:00</v>
      </c>
      <c r="H625" s="37"/>
      <c r="I625" s="37"/>
      <c r="J625" s="37"/>
      <c r="K625" s="68" t="str">
        <f aca="false">IFERROR(__xludf.dummyfunction("""COMPUTED_VALUE"""),"Lent")</f>
        <v>Lent</v>
      </c>
      <c r="L625" s="68" t="str">
        <f aca="false">IFERROR(__xludf.dummyfunction("""COMPUTED_VALUE"""),"Tưởng Thị Huyền Trang")</f>
        <v>Tưởng Thị Huyền Trang</v>
      </c>
      <c r="M625" s="71"/>
      <c r="N625" s="77" t="str">
        <f aca="false">IFERROR(__xludf.dummyfunction("""COMPUTED_VALUE"""),"3127,3314")</f>
        <v>3127,3314</v>
      </c>
      <c r="O625" s="63" t="str">
        <f aca="false">IFERROR(__xludf.dummyfunction("""COMPUTED_VALUE"""),"167485, 167085")</f>
        <v>167485, 167085</v>
      </c>
      <c r="P625" s="63" t="n">
        <f aca="false">IFERROR(__xludf.dummyfunction("""COMPUTED_VALUE"""),9017.9102)</f>
        <v>9017.9102</v>
      </c>
      <c r="Q625" s="63"/>
      <c r="R625" s="41"/>
      <c r="S625" s="41"/>
      <c r="T625" s="63"/>
      <c r="U625" s="63"/>
      <c r="V625" s="70" t="n">
        <f aca="false">IFERROR(__xludf.dummyfunction("""COMPUTED_VALUE"""),46381)</f>
        <v>46381</v>
      </c>
      <c r="W625" s="39"/>
      <c r="X625" s="41" t="str">
        <f aca="false">IFERROR(__xludf.dummyfunction("""COMPUTED_VALUE"""),"Lent")</f>
        <v>Lent</v>
      </c>
      <c r="Y625" s="44"/>
      <c r="Z625" s="57" t="str">
        <f aca="false">IFERROR(__xludf.dummyfunction("""COMPUTED_VALUE"""),"#N/A")</f>
        <v>#N/A</v>
      </c>
      <c r="AA625" s="57"/>
      <c r="AB625" s="41" t="n">
        <f aca="false">IFERROR(__xludf.dummyfunction("""COMPUTED_VALUE"""),12)</f>
        <v>12</v>
      </c>
      <c r="AC625" s="57" t="str">
        <f aca="false">IFERROR(__xludf.dummyfunction("""COMPUTED_VALUE"""),"gv.tungnt@hocmai.edu.vn ")</f>
        <v>gv.tungnt@hocmai.edu.vn </v>
      </c>
      <c r="AD625" s="46" t="str">
        <f aca="false">IFERROR(__xludf.dummyfunction("""COMPUTED_VALUE"""),"trangcrazy699@gmail.com")</f>
        <v>trangcrazy699@gmail.com</v>
      </c>
      <c r="AE625" s="46"/>
      <c r="AF625" s="47" t="str">
        <f aca="false">IFERROR(__xludf.dummyfunction("""COMPUTED_VALUE"""),"lophoctoan-946378")</f>
        <v>lophoctoan-946378</v>
      </c>
      <c r="AG625" s="46" t="str">
        <f aca="false">IFERROR(__xludf.dummyfunction("""COMPUTED_VALUE"""),"")</f>
        <v/>
      </c>
      <c r="AH625" s="46"/>
      <c r="AI625" s="46"/>
      <c r="AJ625" s="46"/>
      <c r="AK625" s="46"/>
      <c r="AL625" s="81" t="b">
        <f aca="false">IFERROR(__xludf.dummyfunction("""COMPUTED_VALUE"""),TRUE())</f>
        <v>1</v>
      </c>
      <c r="AM625" s="46"/>
      <c r="AN625" s="46"/>
      <c r="AO625" s="46"/>
    </row>
    <row r="626" customFormat="false" ht="15.75" hidden="false" customHeight="true" outlineLevel="0" collapsed="false">
      <c r="A626" s="37" t="str">
        <f aca="false">IFERROR(__xludf.dummyfunction("""COMPUTED_VALUE"""),"Toán")</f>
        <v>Toán</v>
      </c>
      <c r="B626" s="37" t="str">
        <f aca="false">IFERROR(__xludf.dummyfunction("""COMPUTED_VALUE"""),"TOV_TNTHPT_T06")</f>
        <v>TOV_TNTHPT_T06</v>
      </c>
      <c r="C626" s="59" t="str">
        <f aca="false">IFERROR(__xludf.dummyfunction("""COMPUTED_VALUE"""),"Các kĩ năng cần thiết xử lí các bài toán liên chuyên đề (P2)")</f>
        <v>Các kĩ năng cần thiết xử lí các bài toán liên chuyên đề (P2)</v>
      </c>
      <c r="D626" s="39" t="str">
        <f aca="false">IFERROR(__xludf.dummyfunction("""COMPUTED_VALUE"""),"Nguyễn Thanh Tùng")</f>
        <v>Nguyễn Thanh Tùng</v>
      </c>
      <c r="E626" s="40" t="n">
        <f aca="false">IFERROR(__xludf.dummyfunction("""COMPUTED_VALUE"""),46385)</f>
        <v>46385</v>
      </c>
      <c r="F626" s="41" t="n">
        <f aca="false">IFERROR(__xludf.dummyfunction("""COMPUTED_VALUE"""),3)</f>
        <v>3</v>
      </c>
      <c r="G626" s="37" t="str">
        <f aca="false">IFERROR(__xludf.dummyfunction("""COMPUTED_VALUE"""),"21:00-23:00")</f>
        <v>21:00-23:00</v>
      </c>
      <c r="H626" s="37"/>
      <c r="I626" s="37"/>
      <c r="J626" s="37"/>
      <c r="K626" s="68" t="str">
        <f aca="false">IFERROR(__xludf.dummyfunction("""COMPUTED_VALUE"""),"Lent")</f>
        <v>Lent</v>
      </c>
      <c r="L626" s="68" t="str">
        <f aca="false">IFERROR(__xludf.dummyfunction("""COMPUTED_VALUE"""),"Tưởng Thị Huyền Trang")</f>
        <v>Tưởng Thị Huyền Trang</v>
      </c>
      <c r="M626" s="71"/>
      <c r="N626" s="77" t="str">
        <f aca="false">IFERROR(__xludf.dummyfunction("""COMPUTED_VALUE"""),"3127,3314")</f>
        <v>3127,3314</v>
      </c>
      <c r="O626" s="63" t="str">
        <f aca="false">IFERROR(__xludf.dummyfunction("""COMPUTED_VALUE"""),"167486, 167086")</f>
        <v>167486, 167086</v>
      </c>
      <c r="P626" s="63" t="n">
        <f aca="false">IFERROR(__xludf.dummyfunction("""COMPUTED_VALUE"""),9017.9102)</f>
        <v>9017.9102</v>
      </c>
      <c r="Q626" s="63"/>
      <c r="R626" s="41"/>
      <c r="S626" s="41"/>
      <c r="T626" s="63"/>
      <c r="U626" s="63"/>
      <c r="V626" s="70" t="n">
        <f aca="false">IFERROR(__xludf.dummyfunction("""COMPUTED_VALUE"""),46388)</f>
        <v>46388</v>
      </c>
      <c r="W626" s="39"/>
      <c r="X626" s="41" t="str">
        <f aca="false">IFERROR(__xludf.dummyfunction("""COMPUTED_VALUE"""),"Lent")</f>
        <v>Lent</v>
      </c>
      <c r="Y626" s="44"/>
      <c r="Z626" s="57" t="str">
        <f aca="false">IFERROR(__xludf.dummyfunction("""COMPUTED_VALUE"""),"#N/A")</f>
        <v>#N/A</v>
      </c>
      <c r="AA626" s="57"/>
      <c r="AB626" s="41" t="n">
        <f aca="false">IFERROR(__xludf.dummyfunction("""COMPUTED_VALUE"""),12)</f>
        <v>12</v>
      </c>
      <c r="AC626" s="57" t="str">
        <f aca="false">IFERROR(__xludf.dummyfunction("""COMPUTED_VALUE"""),"gv.tungnt@hocmai.edu.vn ")</f>
        <v>gv.tungnt@hocmai.edu.vn </v>
      </c>
      <c r="AD626" s="46" t="str">
        <f aca="false">IFERROR(__xludf.dummyfunction("""COMPUTED_VALUE"""),"trangcrazy699@gmail.com")</f>
        <v>trangcrazy699@gmail.com</v>
      </c>
      <c r="AE626" s="46"/>
      <c r="AF626" s="47" t="str">
        <f aca="false">IFERROR(__xludf.dummyfunction("""COMPUTED_VALUE"""),"lophoctoan-946385")</f>
        <v>lophoctoan-946385</v>
      </c>
      <c r="AG626" s="46" t="str">
        <f aca="false">IFERROR(__xludf.dummyfunction("""COMPUTED_VALUE"""),"")</f>
        <v/>
      </c>
      <c r="AH626" s="46"/>
      <c r="AI626" s="46"/>
      <c r="AJ626" s="46"/>
      <c r="AK626" s="46"/>
      <c r="AL626" s="81" t="b">
        <f aca="false">IFERROR(__xludf.dummyfunction("""COMPUTED_VALUE"""),TRUE())</f>
        <v>1</v>
      </c>
      <c r="AM626" s="46"/>
      <c r="AN626" s="46"/>
      <c r="AO626" s="46"/>
    </row>
    <row r="627" customFormat="false" ht="15.75" hidden="false" customHeight="true" outlineLevel="0" collapsed="false">
      <c r="A627" s="37" t="str">
        <f aca="false">IFERROR(__xludf.dummyfunction("""COMPUTED_VALUE"""),"Toán")</f>
        <v>Toán</v>
      </c>
      <c r="B627" s="37" t="str">
        <f aca="false">IFERROR(__xludf.dummyfunction("""COMPUTED_VALUE"""),"TOV_TNTHPT_T07")</f>
        <v>TOV_TNTHPT_T07</v>
      </c>
      <c r="C627" s="59" t="str">
        <f aca="false">IFERROR(__xludf.dummyfunction("""COMPUTED_VALUE"""),"Các kĩ năng cần thiết xử lí các bài toán liên chuyên đề (P3)")</f>
        <v>Các kĩ năng cần thiết xử lí các bài toán liên chuyên đề (P3)</v>
      </c>
      <c r="D627" s="39" t="str">
        <f aca="false">IFERROR(__xludf.dummyfunction("""COMPUTED_VALUE"""),"Nguyễn Thanh Tùng")</f>
        <v>Nguyễn Thanh Tùng</v>
      </c>
      <c r="E627" s="40" t="n">
        <f aca="false">IFERROR(__xludf.dummyfunction("""COMPUTED_VALUE"""),46392)</f>
        <v>46392</v>
      </c>
      <c r="F627" s="41" t="n">
        <f aca="false">IFERROR(__xludf.dummyfunction("""COMPUTED_VALUE"""),3)</f>
        <v>3</v>
      </c>
      <c r="G627" s="37" t="str">
        <f aca="false">IFERROR(__xludf.dummyfunction("""COMPUTED_VALUE"""),"21:00-23:00")</f>
        <v>21:00-23:00</v>
      </c>
      <c r="H627" s="37"/>
      <c r="I627" s="37"/>
      <c r="J627" s="37"/>
      <c r="K627" s="68" t="str">
        <f aca="false">IFERROR(__xludf.dummyfunction("""COMPUTED_VALUE"""),"Lent")</f>
        <v>Lent</v>
      </c>
      <c r="L627" s="68" t="str">
        <f aca="false">IFERROR(__xludf.dummyfunction("""COMPUTED_VALUE"""),"Tưởng Thị Huyền Trang")</f>
        <v>Tưởng Thị Huyền Trang</v>
      </c>
      <c r="M627" s="71"/>
      <c r="N627" s="77" t="str">
        <f aca="false">IFERROR(__xludf.dummyfunction("""COMPUTED_VALUE"""),"3127,3314")</f>
        <v>3127,3314</v>
      </c>
      <c r="O627" s="63" t="str">
        <f aca="false">IFERROR(__xludf.dummyfunction("""COMPUTED_VALUE"""),"167487, 167087")</f>
        <v>167487, 167087</v>
      </c>
      <c r="P627" s="63" t="n">
        <f aca="false">IFERROR(__xludf.dummyfunction("""COMPUTED_VALUE"""),9017.9102)</f>
        <v>9017.9102</v>
      </c>
      <c r="Q627" s="63"/>
      <c r="R627" s="41"/>
      <c r="S627" s="41"/>
      <c r="T627" s="63"/>
      <c r="U627" s="63"/>
      <c r="V627" s="70" t="n">
        <f aca="false">IFERROR(__xludf.dummyfunction("""COMPUTED_VALUE"""),46395)</f>
        <v>46395</v>
      </c>
      <c r="W627" s="39"/>
      <c r="X627" s="41" t="str">
        <f aca="false">IFERROR(__xludf.dummyfunction("""COMPUTED_VALUE"""),"Lent")</f>
        <v>Lent</v>
      </c>
      <c r="Y627" s="44"/>
      <c r="Z627" s="57" t="str">
        <f aca="false">IFERROR(__xludf.dummyfunction("""COMPUTED_VALUE"""),"#N/A")</f>
        <v>#N/A</v>
      </c>
      <c r="AA627" s="57"/>
      <c r="AB627" s="41" t="n">
        <f aca="false">IFERROR(__xludf.dummyfunction("""COMPUTED_VALUE"""),1)</f>
        <v>1</v>
      </c>
      <c r="AC627" s="57" t="str">
        <f aca="false">IFERROR(__xludf.dummyfunction("""COMPUTED_VALUE"""),"gv.tungnt@hocmai.edu.vn ")</f>
        <v>gv.tungnt@hocmai.edu.vn </v>
      </c>
      <c r="AD627" s="46" t="str">
        <f aca="false">IFERROR(__xludf.dummyfunction("""COMPUTED_VALUE"""),"trangcrazy699@gmail.com")</f>
        <v>trangcrazy699@gmail.com</v>
      </c>
      <c r="AE627" s="46"/>
      <c r="AF627" s="47" t="str">
        <f aca="false">IFERROR(__xludf.dummyfunction("""COMPUTED_VALUE"""),"lophoctoan-946392")</f>
        <v>lophoctoan-946392</v>
      </c>
      <c r="AG627" s="46" t="str">
        <f aca="false">IFERROR(__xludf.dummyfunction("""COMPUTED_VALUE"""),"")</f>
        <v/>
      </c>
      <c r="AH627" s="46"/>
      <c r="AI627" s="46"/>
      <c r="AJ627" s="46"/>
      <c r="AK627" s="46"/>
      <c r="AL627" s="81" t="b">
        <f aca="false">IFERROR(__xludf.dummyfunction("""COMPUTED_VALUE"""),TRUE())</f>
        <v>1</v>
      </c>
      <c r="AM627" s="46"/>
      <c r="AN627" s="46"/>
      <c r="AO627" s="46"/>
    </row>
    <row r="628" customFormat="false" ht="15.75" hidden="false" customHeight="true" outlineLevel="0" collapsed="false">
      <c r="A628" s="37" t="str">
        <f aca="false">IFERROR(__xludf.dummyfunction("""COMPUTED_VALUE"""),"Toán")</f>
        <v>Toán</v>
      </c>
      <c r="B628" s="37" t="str">
        <f aca="false">IFERROR(__xludf.dummyfunction("""COMPUTED_VALUE"""),"TOV_TNTHPT_T08")</f>
        <v>TOV_TNTHPT_T08</v>
      </c>
      <c r="C628" s="59" t="str">
        <f aca="false">IFERROR(__xludf.dummyfunction("""COMPUTED_VALUE"""),"Kĩ thuật chuẩn hóa vecto và các ứng dụng")</f>
        <v>Kĩ thuật chuẩn hóa vecto và các ứng dụng</v>
      </c>
      <c r="D628" s="39" t="str">
        <f aca="false">IFERROR(__xludf.dummyfunction("""COMPUTED_VALUE"""),"Nguyễn Thanh Tùng")</f>
        <v>Nguyễn Thanh Tùng</v>
      </c>
      <c r="E628" s="40" t="n">
        <f aca="false">IFERROR(__xludf.dummyfunction("""COMPUTED_VALUE"""),46399)</f>
        <v>46399</v>
      </c>
      <c r="F628" s="41" t="n">
        <f aca="false">IFERROR(__xludf.dummyfunction("""COMPUTED_VALUE"""),3)</f>
        <v>3</v>
      </c>
      <c r="G628" s="37" t="str">
        <f aca="false">IFERROR(__xludf.dummyfunction("""COMPUTED_VALUE"""),"21:00-23:00")</f>
        <v>21:00-23:00</v>
      </c>
      <c r="H628" s="37"/>
      <c r="I628" s="37"/>
      <c r="J628" s="37"/>
      <c r="K628" s="68" t="str">
        <f aca="false">IFERROR(__xludf.dummyfunction("""COMPUTED_VALUE"""),"Lent")</f>
        <v>Lent</v>
      </c>
      <c r="L628" s="68" t="str">
        <f aca="false">IFERROR(__xludf.dummyfunction("""COMPUTED_VALUE"""),"Tưởng Thị Huyền Trang")</f>
        <v>Tưởng Thị Huyền Trang</v>
      </c>
      <c r="M628" s="71"/>
      <c r="N628" s="77" t="str">
        <f aca="false">IFERROR(__xludf.dummyfunction("""COMPUTED_VALUE"""),"3127,3314")</f>
        <v>3127,3314</v>
      </c>
      <c r="O628" s="63" t="str">
        <f aca="false">IFERROR(__xludf.dummyfunction("""COMPUTED_VALUE"""),"167488, 167088")</f>
        <v>167488, 167088</v>
      </c>
      <c r="P628" s="63" t="n">
        <f aca="false">IFERROR(__xludf.dummyfunction("""COMPUTED_VALUE"""),9017.9102)</f>
        <v>9017.9102</v>
      </c>
      <c r="Q628" s="63"/>
      <c r="R628" s="41"/>
      <c r="S628" s="41"/>
      <c r="T628" s="63"/>
      <c r="U628" s="63"/>
      <c r="V628" s="70" t="n">
        <f aca="false">IFERROR(__xludf.dummyfunction("""COMPUTED_VALUE"""),46402)</f>
        <v>46402</v>
      </c>
      <c r="W628" s="39"/>
      <c r="X628" s="41" t="str">
        <f aca="false">IFERROR(__xludf.dummyfunction("""COMPUTED_VALUE"""),"Lent")</f>
        <v>Lent</v>
      </c>
      <c r="Y628" s="44"/>
      <c r="Z628" s="57" t="str">
        <f aca="false">IFERROR(__xludf.dummyfunction("""COMPUTED_VALUE"""),"#N/A")</f>
        <v>#N/A</v>
      </c>
      <c r="AA628" s="57"/>
      <c r="AB628" s="41" t="n">
        <f aca="false">IFERROR(__xludf.dummyfunction("""COMPUTED_VALUE"""),1)</f>
        <v>1</v>
      </c>
      <c r="AC628" s="57" t="str">
        <f aca="false">IFERROR(__xludf.dummyfunction("""COMPUTED_VALUE"""),"gv.tungnt@hocmai.edu.vn ")</f>
        <v>gv.tungnt@hocmai.edu.vn </v>
      </c>
      <c r="AD628" s="46" t="str">
        <f aca="false">IFERROR(__xludf.dummyfunction("""COMPUTED_VALUE"""),"trangcrazy699@gmail.com")</f>
        <v>trangcrazy699@gmail.com</v>
      </c>
      <c r="AE628" s="46"/>
      <c r="AF628" s="47" t="str">
        <f aca="false">IFERROR(__xludf.dummyfunction("""COMPUTED_VALUE"""),"lophoctoan-946399")</f>
        <v>lophoctoan-946399</v>
      </c>
      <c r="AG628" s="46" t="str">
        <f aca="false">IFERROR(__xludf.dummyfunction("""COMPUTED_VALUE"""),"")</f>
        <v/>
      </c>
      <c r="AH628" s="46"/>
      <c r="AI628" s="46"/>
      <c r="AJ628" s="46"/>
      <c r="AK628" s="46"/>
      <c r="AL628" s="81" t="b">
        <f aca="false">IFERROR(__xludf.dummyfunction("""COMPUTED_VALUE"""),TRUE())</f>
        <v>1</v>
      </c>
      <c r="AM628" s="46"/>
      <c r="AN628" s="46"/>
      <c r="AO628" s="46"/>
    </row>
    <row r="629" customFormat="false" ht="15.75" hidden="false" customHeight="true" outlineLevel="0" collapsed="false">
      <c r="A629" s="37" t="str">
        <f aca="false">IFERROR(__xludf.dummyfunction("""COMPUTED_VALUE"""),"Toán")</f>
        <v>Toán</v>
      </c>
      <c r="B629" s="37" t="str">
        <f aca="false">IFERROR(__xludf.dummyfunction("""COMPUTED_VALUE"""),"TOV_TNTHPT_T09")</f>
        <v>TOV_TNTHPT_T09</v>
      </c>
      <c r="C629" s="59" t="str">
        <f aca="false">IFERROR(__xludf.dummyfunction("""COMPUTED_VALUE"""),"Tâm tỉ cự và các ứng dụng")</f>
        <v>Tâm tỉ cự và các ứng dụng</v>
      </c>
      <c r="D629" s="39" t="str">
        <f aca="false">IFERROR(__xludf.dummyfunction("""COMPUTED_VALUE"""),"Nguyễn Thanh Tùng")</f>
        <v>Nguyễn Thanh Tùng</v>
      </c>
      <c r="E629" s="40" t="n">
        <f aca="false">IFERROR(__xludf.dummyfunction("""COMPUTED_VALUE"""),46406)</f>
        <v>46406</v>
      </c>
      <c r="F629" s="41" t="n">
        <f aca="false">IFERROR(__xludf.dummyfunction("""COMPUTED_VALUE"""),3)</f>
        <v>3</v>
      </c>
      <c r="G629" s="37" t="str">
        <f aca="false">IFERROR(__xludf.dummyfunction("""COMPUTED_VALUE"""),"21:00-23:00")</f>
        <v>21:00-23:00</v>
      </c>
      <c r="H629" s="37"/>
      <c r="I629" s="37"/>
      <c r="J629" s="37"/>
      <c r="K629" s="68" t="str">
        <f aca="false">IFERROR(__xludf.dummyfunction("""COMPUTED_VALUE"""),"Lent")</f>
        <v>Lent</v>
      </c>
      <c r="L629" s="68" t="str">
        <f aca="false">IFERROR(__xludf.dummyfunction("""COMPUTED_VALUE"""),"Tưởng Thị Huyền Trang")</f>
        <v>Tưởng Thị Huyền Trang</v>
      </c>
      <c r="M629" s="71"/>
      <c r="N629" s="77" t="str">
        <f aca="false">IFERROR(__xludf.dummyfunction("""COMPUTED_VALUE"""),"3127,3314")</f>
        <v>3127,3314</v>
      </c>
      <c r="O629" s="63" t="str">
        <f aca="false">IFERROR(__xludf.dummyfunction("""COMPUTED_VALUE"""),"167489, 167089")</f>
        <v>167489, 167089</v>
      </c>
      <c r="P629" s="63" t="n">
        <f aca="false">IFERROR(__xludf.dummyfunction("""COMPUTED_VALUE"""),9017.9102)</f>
        <v>9017.9102</v>
      </c>
      <c r="Q629" s="63"/>
      <c r="R629" s="41"/>
      <c r="S629" s="41"/>
      <c r="T629" s="63"/>
      <c r="U629" s="63"/>
      <c r="V629" s="70" t="n">
        <f aca="false">IFERROR(__xludf.dummyfunction("""COMPUTED_VALUE"""),46409)</f>
        <v>46409</v>
      </c>
      <c r="W629" s="39"/>
      <c r="X629" s="41" t="str">
        <f aca="false">IFERROR(__xludf.dummyfunction("""COMPUTED_VALUE"""),"Lent")</f>
        <v>Lent</v>
      </c>
      <c r="Y629" s="44"/>
      <c r="Z629" s="57" t="str">
        <f aca="false">IFERROR(__xludf.dummyfunction("""COMPUTED_VALUE"""),"#N/A")</f>
        <v>#N/A</v>
      </c>
      <c r="AA629" s="57"/>
      <c r="AB629" s="41" t="n">
        <f aca="false">IFERROR(__xludf.dummyfunction("""COMPUTED_VALUE"""),1)</f>
        <v>1</v>
      </c>
      <c r="AC629" s="57" t="str">
        <f aca="false">IFERROR(__xludf.dummyfunction("""COMPUTED_VALUE"""),"gv.tungnt@hocmai.edu.vn ")</f>
        <v>gv.tungnt@hocmai.edu.vn </v>
      </c>
      <c r="AD629" s="46" t="str">
        <f aca="false">IFERROR(__xludf.dummyfunction("""COMPUTED_VALUE"""),"trangcrazy699@gmail.com")</f>
        <v>trangcrazy699@gmail.com</v>
      </c>
      <c r="AE629" s="46"/>
      <c r="AF629" s="47" t="str">
        <f aca="false">IFERROR(__xludf.dummyfunction("""COMPUTED_VALUE"""),"lophoctoan-946406")</f>
        <v>lophoctoan-946406</v>
      </c>
      <c r="AG629" s="46" t="str">
        <f aca="false">IFERROR(__xludf.dummyfunction("""COMPUTED_VALUE"""),"")</f>
        <v/>
      </c>
      <c r="AH629" s="46"/>
      <c r="AI629" s="46"/>
      <c r="AJ629" s="46"/>
      <c r="AK629" s="46"/>
      <c r="AL629" s="81" t="b">
        <f aca="false">IFERROR(__xludf.dummyfunction("""COMPUTED_VALUE"""),TRUE())</f>
        <v>1</v>
      </c>
      <c r="AM629" s="46"/>
      <c r="AN629" s="46"/>
      <c r="AO629" s="46"/>
    </row>
    <row r="630" customFormat="false" ht="15.75" hidden="false" customHeight="true" outlineLevel="0" collapsed="false">
      <c r="A630" s="37" t="str">
        <f aca="false">IFERROR(__xludf.dummyfunction("""COMPUTED_VALUE"""),"Toán")</f>
        <v>Toán</v>
      </c>
      <c r="B630" s="37" t="str">
        <f aca="false">IFERROR(__xludf.dummyfunction("""COMPUTED_VALUE"""),"TOV_TNTHPT_T10")</f>
        <v>TOV_TNTHPT_T10</v>
      </c>
      <c r="C630" s="59" t="str">
        <f aca="false">IFERROR(__xludf.dummyfunction("""COMPUTED_VALUE"""),"Các mô hình cực trị hay gặp trong các bài toán hình Oxyz")</f>
        <v>Các mô hình cực trị hay gặp trong các bài toán hình Oxyz</v>
      </c>
      <c r="D630" s="39" t="str">
        <f aca="false">IFERROR(__xludf.dummyfunction("""COMPUTED_VALUE"""),"Nguyễn Thanh Tùng")</f>
        <v>Nguyễn Thanh Tùng</v>
      </c>
      <c r="E630" s="40" t="n">
        <f aca="false">IFERROR(__xludf.dummyfunction("""COMPUTED_VALUE"""),46413)</f>
        <v>46413</v>
      </c>
      <c r="F630" s="41" t="n">
        <f aca="false">IFERROR(__xludf.dummyfunction("""COMPUTED_VALUE"""),3)</f>
        <v>3</v>
      </c>
      <c r="G630" s="37" t="str">
        <f aca="false">IFERROR(__xludf.dummyfunction("""COMPUTED_VALUE"""),"21:00-23:00")</f>
        <v>21:00-23:00</v>
      </c>
      <c r="H630" s="37"/>
      <c r="I630" s="37"/>
      <c r="J630" s="37"/>
      <c r="K630" s="68" t="str">
        <f aca="false">IFERROR(__xludf.dummyfunction("""COMPUTED_VALUE"""),"Lent")</f>
        <v>Lent</v>
      </c>
      <c r="L630" s="68" t="str">
        <f aca="false">IFERROR(__xludf.dummyfunction("""COMPUTED_VALUE"""),"Tưởng Thị Huyền Trang")</f>
        <v>Tưởng Thị Huyền Trang</v>
      </c>
      <c r="M630" s="71"/>
      <c r="N630" s="77" t="str">
        <f aca="false">IFERROR(__xludf.dummyfunction("""COMPUTED_VALUE"""),"3127,3314")</f>
        <v>3127,3314</v>
      </c>
      <c r="O630" s="63" t="str">
        <f aca="false">IFERROR(__xludf.dummyfunction("""COMPUTED_VALUE"""),"167490, 167090")</f>
        <v>167490, 167090</v>
      </c>
      <c r="P630" s="63" t="n">
        <f aca="false">IFERROR(__xludf.dummyfunction("""COMPUTED_VALUE"""),9017.9102)</f>
        <v>9017.9102</v>
      </c>
      <c r="Q630" s="63"/>
      <c r="R630" s="41"/>
      <c r="S630" s="41"/>
      <c r="T630" s="63"/>
      <c r="U630" s="63"/>
      <c r="V630" s="70" t="n">
        <f aca="false">IFERROR(__xludf.dummyfunction("""COMPUTED_VALUE"""),46416)</f>
        <v>46416</v>
      </c>
      <c r="W630" s="39"/>
      <c r="X630" s="41" t="str">
        <f aca="false">IFERROR(__xludf.dummyfunction("""COMPUTED_VALUE"""),"Lent")</f>
        <v>Lent</v>
      </c>
      <c r="Y630" s="44"/>
      <c r="Z630" s="57" t="str">
        <f aca="false">IFERROR(__xludf.dummyfunction("""COMPUTED_VALUE"""),"#N/A")</f>
        <v>#N/A</v>
      </c>
      <c r="AA630" s="57"/>
      <c r="AB630" s="41" t="n">
        <f aca="false">IFERROR(__xludf.dummyfunction("""COMPUTED_VALUE"""),1)</f>
        <v>1</v>
      </c>
      <c r="AC630" s="57" t="str">
        <f aca="false">IFERROR(__xludf.dummyfunction("""COMPUTED_VALUE"""),"gv.tungnt@hocmai.edu.vn ")</f>
        <v>gv.tungnt@hocmai.edu.vn </v>
      </c>
      <c r="AD630" s="46" t="str">
        <f aca="false">IFERROR(__xludf.dummyfunction("""COMPUTED_VALUE"""),"trangcrazy699@gmail.com")</f>
        <v>trangcrazy699@gmail.com</v>
      </c>
      <c r="AE630" s="46"/>
      <c r="AF630" s="47" t="str">
        <f aca="false">IFERROR(__xludf.dummyfunction("""COMPUTED_VALUE"""),"lophoctoan-946413")</f>
        <v>lophoctoan-946413</v>
      </c>
      <c r="AG630" s="46" t="str">
        <f aca="false">IFERROR(__xludf.dummyfunction("""COMPUTED_VALUE"""),"")</f>
        <v/>
      </c>
      <c r="AH630" s="46"/>
      <c r="AI630" s="46"/>
      <c r="AJ630" s="46"/>
      <c r="AK630" s="46"/>
      <c r="AL630" s="81" t="b">
        <f aca="false">IFERROR(__xludf.dummyfunction("""COMPUTED_VALUE"""),TRUE())</f>
        <v>1</v>
      </c>
      <c r="AM630" s="46"/>
      <c r="AN630" s="46"/>
      <c r="AO630" s="46"/>
    </row>
    <row r="631" customFormat="false" ht="15.75" hidden="false" customHeight="true" outlineLevel="0" collapsed="false">
      <c r="A631" s="37"/>
      <c r="B631" s="37"/>
      <c r="C631" s="59"/>
      <c r="D631" s="39"/>
      <c r="E631" s="40"/>
      <c r="F631" s="41"/>
      <c r="G631" s="37"/>
      <c r="H631" s="37"/>
      <c r="I631" s="37"/>
      <c r="J631" s="37"/>
      <c r="K631" s="68"/>
      <c r="L631" s="68"/>
      <c r="M631" s="71"/>
      <c r="N631" s="63"/>
      <c r="O631" s="63"/>
      <c r="P631" s="63"/>
      <c r="Q631" s="63"/>
      <c r="R631" s="41"/>
      <c r="S631" s="41"/>
      <c r="T631" s="63"/>
      <c r="U631" s="63"/>
      <c r="V631" s="63"/>
      <c r="W631" s="39"/>
      <c r="X631" s="41"/>
      <c r="Y631" s="44"/>
      <c r="Z631" s="57"/>
      <c r="AA631" s="57"/>
      <c r="AB631" s="41"/>
      <c r="AC631" s="57"/>
      <c r="AD631" s="46"/>
      <c r="AE631" s="46"/>
      <c r="AF631" s="47"/>
      <c r="AG631" s="46"/>
      <c r="AH631" s="46"/>
      <c r="AI631" s="46"/>
      <c r="AJ631" s="46"/>
      <c r="AK631" s="46"/>
      <c r="AL631" s="46"/>
      <c r="AM631" s="46"/>
      <c r="AN631" s="46"/>
      <c r="AO631" s="46"/>
    </row>
    <row r="632" customFormat="false" ht="15.75" hidden="false" customHeight="true" outlineLevel="0" collapsed="false">
      <c r="A632" s="37"/>
      <c r="B632" s="37"/>
      <c r="C632" s="59"/>
      <c r="D632" s="39"/>
      <c r="E632" s="40"/>
      <c r="F632" s="41"/>
      <c r="G632" s="37"/>
      <c r="H632" s="37"/>
      <c r="I632" s="37"/>
      <c r="J632" s="37"/>
      <c r="K632" s="68"/>
      <c r="L632" s="68"/>
      <c r="M632" s="71"/>
      <c r="N632" s="63"/>
      <c r="O632" s="63"/>
      <c r="P632" s="63"/>
      <c r="Q632" s="63"/>
      <c r="R632" s="41"/>
      <c r="S632" s="41"/>
      <c r="T632" s="63"/>
      <c r="U632" s="63"/>
      <c r="V632" s="63"/>
      <c r="W632" s="39"/>
      <c r="X632" s="41"/>
      <c r="Y632" s="44"/>
      <c r="Z632" s="57"/>
      <c r="AA632" s="57"/>
      <c r="AB632" s="41"/>
      <c r="AC632" s="57"/>
      <c r="AD632" s="46"/>
      <c r="AE632" s="46"/>
      <c r="AF632" s="47"/>
      <c r="AG632" s="46"/>
      <c r="AH632" s="46"/>
      <c r="AI632" s="46"/>
      <c r="AJ632" s="46"/>
      <c r="AK632" s="46"/>
      <c r="AL632" s="46"/>
      <c r="AM632" s="46"/>
      <c r="AN632" s="46"/>
      <c r="AO632" s="46"/>
    </row>
    <row r="633" customFormat="false" ht="15.75" hidden="false" customHeight="true" outlineLevel="0" collapsed="false">
      <c r="A633" s="37"/>
      <c r="B633" s="37"/>
      <c r="C633" s="59"/>
      <c r="D633" s="39"/>
      <c r="E633" s="40"/>
      <c r="F633" s="41"/>
      <c r="G633" s="37"/>
      <c r="H633" s="37"/>
      <c r="I633" s="37"/>
      <c r="J633" s="37"/>
      <c r="K633" s="68"/>
      <c r="L633" s="68"/>
      <c r="M633" s="71"/>
      <c r="N633" s="63"/>
      <c r="O633" s="63"/>
      <c r="P633" s="63"/>
      <c r="Q633" s="63"/>
      <c r="R633" s="41"/>
      <c r="S633" s="41"/>
      <c r="T633" s="63"/>
      <c r="U633" s="63"/>
      <c r="V633" s="63"/>
      <c r="W633" s="39"/>
      <c r="X633" s="41"/>
      <c r="Y633" s="44"/>
      <c r="Z633" s="57"/>
      <c r="AA633" s="57"/>
      <c r="AB633" s="41"/>
      <c r="AC633" s="57"/>
      <c r="AD633" s="46"/>
      <c r="AE633" s="46"/>
      <c r="AF633" s="47"/>
      <c r="AG633" s="46"/>
      <c r="AH633" s="46"/>
      <c r="AI633" s="46"/>
      <c r="AJ633" s="46"/>
      <c r="AK633" s="46"/>
      <c r="AL633" s="46"/>
      <c r="AM633" s="46"/>
      <c r="AN633" s="46"/>
      <c r="AO633" s="46"/>
    </row>
    <row r="634" customFormat="false" ht="15.75" hidden="false" customHeight="true" outlineLevel="0" collapsed="false">
      <c r="A634" s="37"/>
      <c r="B634" s="37"/>
      <c r="C634" s="59"/>
      <c r="D634" s="39"/>
      <c r="E634" s="40"/>
      <c r="F634" s="41"/>
      <c r="G634" s="37"/>
      <c r="H634" s="37"/>
      <c r="I634" s="37"/>
      <c r="J634" s="37"/>
      <c r="K634" s="68"/>
      <c r="L634" s="68"/>
      <c r="M634" s="71"/>
      <c r="N634" s="63"/>
      <c r="O634" s="63"/>
      <c r="P634" s="63"/>
      <c r="Q634" s="63"/>
      <c r="R634" s="41"/>
      <c r="S634" s="41"/>
      <c r="T634" s="63"/>
      <c r="U634" s="63"/>
      <c r="V634" s="63"/>
      <c r="W634" s="39"/>
      <c r="X634" s="41"/>
      <c r="Y634" s="44"/>
      <c r="Z634" s="57"/>
      <c r="AA634" s="57"/>
      <c r="AB634" s="41"/>
      <c r="AC634" s="57"/>
      <c r="AD634" s="46"/>
      <c r="AE634" s="46"/>
      <c r="AF634" s="47"/>
      <c r="AG634" s="46"/>
      <c r="AH634" s="46"/>
      <c r="AI634" s="46"/>
      <c r="AJ634" s="46"/>
      <c r="AK634" s="46"/>
      <c r="AL634" s="46"/>
      <c r="AM634" s="46"/>
      <c r="AN634" s="46"/>
      <c r="AO634" s="46"/>
    </row>
    <row r="635" customFormat="false" ht="15.75" hidden="false" customHeight="true" outlineLevel="0" collapsed="false">
      <c r="A635" s="37"/>
      <c r="B635" s="37"/>
      <c r="C635" s="59"/>
      <c r="D635" s="39"/>
      <c r="E635" s="40"/>
      <c r="F635" s="41"/>
      <c r="G635" s="37"/>
      <c r="H635" s="37"/>
      <c r="I635" s="37"/>
      <c r="J635" s="37"/>
      <c r="K635" s="68"/>
      <c r="L635" s="68"/>
      <c r="M635" s="71"/>
      <c r="N635" s="63"/>
      <c r="O635" s="63"/>
      <c r="P635" s="63"/>
      <c r="Q635" s="63"/>
      <c r="R635" s="41"/>
      <c r="S635" s="41"/>
      <c r="T635" s="63"/>
      <c r="U635" s="63"/>
      <c r="V635" s="63"/>
      <c r="W635" s="39"/>
      <c r="X635" s="41"/>
      <c r="Y635" s="44"/>
      <c r="Z635" s="57"/>
      <c r="AA635" s="57"/>
      <c r="AB635" s="41"/>
      <c r="AC635" s="57"/>
      <c r="AD635" s="46"/>
      <c r="AE635" s="46"/>
      <c r="AF635" s="47"/>
      <c r="AG635" s="46"/>
      <c r="AH635" s="46"/>
      <c r="AI635" s="46"/>
      <c r="AJ635" s="46"/>
      <c r="AK635" s="46"/>
      <c r="AL635" s="46"/>
      <c r="AM635" s="46"/>
      <c r="AN635" s="46"/>
      <c r="AO635" s="46"/>
    </row>
    <row r="636" customFormat="false" ht="15.75" hidden="false" customHeight="true" outlineLevel="0" collapsed="false">
      <c r="A636" s="37"/>
      <c r="B636" s="37"/>
      <c r="C636" s="59"/>
      <c r="D636" s="39"/>
      <c r="E636" s="40"/>
      <c r="F636" s="41"/>
      <c r="G636" s="37"/>
      <c r="H636" s="37"/>
      <c r="I636" s="37"/>
      <c r="J636" s="37"/>
      <c r="K636" s="68"/>
      <c r="L636" s="68"/>
      <c r="M636" s="71"/>
      <c r="N636" s="63"/>
      <c r="O636" s="63"/>
      <c r="P636" s="63"/>
      <c r="Q636" s="63"/>
      <c r="R636" s="41"/>
      <c r="S636" s="41"/>
      <c r="T636" s="63"/>
      <c r="U636" s="63"/>
      <c r="V636" s="63"/>
      <c r="W636" s="39"/>
      <c r="X636" s="41"/>
      <c r="Y636" s="44"/>
      <c r="Z636" s="57"/>
      <c r="AA636" s="57"/>
      <c r="AB636" s="41"/>
      <c r="AC636" s="57"/>
      <c r="AD636" s="46"/>
      <c r="AE636" s="46"/>
      <c r="AF636" s="47"/>
      <c r="AG636" s="46"/>
      <c r="AH636" s="46"/>
      <c r="AI636" s="46"/>
      <c r="AJ636" s="46"/>
      <c r="AK636" s="46"/>
      <c r="AL636" s="46"/>
      <c r="AM636" s="46"/>
      <c r="AN636" s="46"/>
      <c r="AO636" s="46"/>
    </row>
    <row r="637" customFormat="false" ht="15.75" hidden="false" customHeight="true" outlineLevel="0" collapsed="false">
      <c r="A637" s="37"/>
      <c r="B637" s="37"/>
      <c r="C637" s="59"/>
      <c r="D637" s="39"/>
      <c r="E637" s="40"/>
      <c r="F637" s="41"/>
      <c r="G637" s="37"/>
      <c r="H637" s="37"/>
      <c r="I637" s="37"/>
      <c r="J637" s="37"/>
      <c r="K637" s="68"/>
      <c r="L637" s="68"/>
      <c r="M637" s="71"/>
      <c r="N637" s="63"/>
      <c r="O637" s="63"/>
      <c r="P637" s="63"/>
      <c r="Q637" s="63"/>
      <c r="R637" s="41"/>
      <c r="S637" s="41"/>
      <c r="T637" s="63"/>
      <c r="U637" s="63"/>
      <c r="V637" s="63"/>
      <c r="W637" s="39"/>
      <c r="X637" s="41"/>
      <c r="Y637" s="44"/>
      <c r="Z637" s="57"/>
      <c r="AA637" s="57"/>
      <c r="AB637" s="41"/>
      <c r="AC637" s="57"/>
      <c r="AD637" s="46"/>
      <c r="AE637" s="46"/>
      <c r="AF637" s="47"/>
      <c r="AG637" s="46"/>
      <c r="AH637" s="46"/>
      <c r="AI637" s="46"/>
      <c r="AJ637" s="46"/>
      <c r="AK637" s="46"/>
      <c r="AL637" s="46"/>
      <c r="AM637" s="46"/>
      <c r="AN637" s="46"/>
      <c r="AO637" s="46"/>
    </row>
    <row r="638" customFormat="false" ht="15.75" hidden="false" customHeight="true" outlineLevel="0" collapsed="false">
      <c r="A638" s="37"/>
      <c r="B638" s="37"/>
      <c r="C638" s="59"/>
      <c r="D638" s="39"/>
      <c r="E638" s="40"/>
      <c r="F638" s="41"/>
      <c r="G638" s="37"/>
      <c r="H638" s="37"/>
      <c r="I638" s="37"/>
      <c r="J638" s="37"/>
      <c r="K638" s="68"/>
      <c r="L638" s="68"/>
      <c r="M638" s="71"/>
      <c r="N638" s="63"/>
      <c r="O638" s="63"/>
      <c r="P638" s="63"/>
      <c r="Q638" s="63"/>
      <c r="R638" s="41"/>
      <c r="S638" s="41"/>
      <c r="T638" s="63"/>
      <c r="U638" s="63"/>
      <c r="V638" s="63"/>
      <c r="W638" s="39"/>
      <c r="X638" s="41"/>
      <c r="Y638" s="44"/>
      <c r="Z638" s="57"/>
      <c r="AA638" s="57"/>
      <c r="AB638" s="41"/>
      <c r="AC638" s="57"/>
      <c r="AD638" s="46"/>
      <c r="AE638" s="46"/>
      <c r="AF638" s="47"/>
      <c r="AG638" s="46"/>
      <c r="AH638" s="46"/>
      <c r="AI638" s="46"/>
      <c r="AJ638" s="46"/>
      <c r="AK638" s="46"/>
      <c r="AL638" s="46"/>
      <c r="AM638" s="46"/>
      <c r="AN638" s="46"/>
      <c r="AO638" s="46"/>
    </row>
    <row r="639" customFormat="false" ht="15.75" hidden="false" customHeight="true" outlineLevel="0" collapsed="false">
      <c r="A639" s="37"/>
      <c r="B639" s="37"/>
      <c r="C639" s="59"/>
      <c r="D639" s="39"/>
      <c r="E639" s="40"/>
      <c r="F639" s="41"/>
      <c r="G639" s="37"/>
      <c r="H639" s="37"/>
      <c r="I639" s="37"/>
      <c r="J639" s="37"/>
      <c r="K639" s="68"/>
      <c r="L639" s="68"/>
      <c r="M639" s="71"/>
      <c r="N639" s="63"/>
      <c r="O639" s="63"/>
      <c r="P639" s="63"/>
      <c r="Q639" s="63"/>
      <c r="R639" s="41"/>
      <c r="S639" s="41"/>
      <c r="T639" s="63"/>
      <c r="U639" s="63"/>
      <c r="V639" s="63"/>
      <c r="W639" s="39"/>
      <c r="X639" s="41"/>
      <c r="Y639" s="44"/>
      <c r="Z639" s="57"/>
      <c r="AA639" s="57"/>
      <c r="AB639" s="41"/>
      <c r="AC639" s="57"/>
      <c r="AD639" s="46"/>
      <c r="AE639" s="46"/>
      <c r="AF639" s="47"/>
      <c r="AG639" s="46"/>
      <c r="AH639" s="46"/>
      <c r="AI639" s="46"/>
      <c r="AJ639" s="46"/>
      <c r="AK639" s="46"/>
      <c r="AL639" s="46"/>
      <c r="AM639" s="46"/>
      <c r="AN639" s="46"/>
      <c r="AO639" s="46"/>
    </row>
    <row r="640" customFormat="false" ht="15.75" hidden="false" customHeight="true" outlineLevel="0" collapsed="false">
      <c r="A640" s="37"/>
      <c r="B640" s="37"/>
      <c r="C640" s="59"/>
      <c r="D640" s="39"/>
      <c r="E640" s="40"/>
      <c r="F640" s="41"/>
      <c r="G640" s="37"/>
      <c r="H640" s="37"/>
      <c r="I640" s="37"/>
      <c r="J640" s="37"/>
      <c r="K640" s="68"/>
      <c r="L640" s="68"/>
      <c r="M640" s="71"/>
      <c r="N640" s="63"/>
      <c r="O640" s="63"/>
      <c r="P640" s="63"/>
      <c r="Q640" s="63"/>
      <c r="R640" s="41"/>
      <c r="S640" s="41"/>
      <c r="T640" s="63"/>
      <c r="U640" s="63"/>
      <c r="V640" s="63"/>
      <c r="W640" s="39"/>
      <c r="X640" s="41"/>
      <c r="Y640" s="44"/>
      <c r="Z640" s="57"/>
      <c r="AA640" s="57"/>
      <c r="AB640" s="41"/>
      <c r="AC640" s="57"/>
      <c r="AD640" s="46"/>
      <c r="AE640" s="46"/>
      <c r="AF640" s="47"/>
      <c r="AG640" s="46"/>
      <c r="AH640" s="46"/>
      <c r="AI640" s="46"/>
      <c r="AJ640" s="46"/>
      <c r="AK640" s="46"/>
      <c r="AL640" s="46"/>
      <c r="AM640" s="46"/>
      <c r="AN640" s="46"/>
      <c r="AO640" s="46"/>
    </row>
    <row r="641" customFormat="false" ht="15.75" hidden="false" customHeight="true" outlineLevel="0" collapsed="false">
      <c r="A641" s="37"/>
      <c r="B641" s="37"/>
      <c r="C641" s="59"/>
      <c r="D641" s="39"/>
      <c r="E641" s="40"/>
      <c r="F641" s="41"/>
      <c r="G641" s="37"/>
      <c r="H641" s="37"/>
      <c r="I641" s="37"/>
      <c r="J641" s="37"/>
      <c r="K641" s="68"/>
      <c r="L641" s="68"/>
      <c r="M641" s="71"/>
      <c r="N641" s="63"/>
      <c r="O641" s="63"/>
      <c r="P641" s="63"/>
      <c r="Q641" s="63"/>
      <c r="R641" s="41"/>
      <c r="S641" s="41"/>
      <c r="T641" s="63"/>
      <c r="U641" s="63"/>
      <c r="V641" s="63"/>
      <c r="W641" s="39"/>
      <c r="X641" s="41"/>
      <c r="Y641" s="44"/>
      <c r="Z641" s="57"/>
      <c r="AA641" s="57"/>
      <c r="AB641" s="41"/>
      <c r="AC641" s="57"/>
      <c r="AD641" s="46"/>
      <c r="AE641" s="46"/>
      <c r="AF641" s="47"/>
      <c r="AG641" s="46"/>
      <c r="AH641" s="46"/>
      <c r="AI641" s="46"/>
      <c r="AJ641" s="46"/>
      <c r="AK641" s="46"/>
      <c r="AL641" s="46"/>
      <c r="AM641" s="46"/>
      <c r="AN641" s="46"/>
      <c r="AO641" s="46"/>
    </row>
    <row r="642" customFormat="false" ht="15.75" hidden="false" customHeight="true" outlineLevel="0" collapsed="false">
      <c r="A642" s="37"/>
      <c r="B642" s="37"/>
      <c r="C642" s="59"/>
      <c r="D642" s="39"/>
      <c r="E642" s="40"/>
      <c r="F642" s="41"/>
      <c r="G642" s="37"/>
      <c r="H642" s="37"/>
      <c r="I642" s="37"/>
      <c r="J642" s="37"/>
      <c r="K642" s="68"/>
      <c r="L642" s="68"/>
      <c r="M642" s="71"/>
      <c r="N642" s="63"/>
      <c r="O642" s="63"/>
      <c r="P642" s="63"/>
      <c r="Q642" s="63"/>
      <c r="R642" s="41"/>
      <c r="S642" s="41"/>
      <c r="T642" s="63"/>
      <c r="U642" s="63"/>
      <c r="V642" s="63"/>
      <c r="W642" s="39"/>
      <c r="X642" s="41"/>
      <c r="Y642" s="44"/>
      <c r="Z642" s="57"/>
      <c r="AA642" s="57"/>
      <c r="AB642" s="41"/>
      <c r="AC642" s="57"/>
      <c r="AD642" s="46"/>
      <c r="AE642" s="46"/>
      <c r="AF642" s="47"/>
      <c r="AG642" s="46"/>
      <c r="AH642" s="46"/>
      <c r="AI642" s="46"/>
      <c r="AJ642" s="46"/>
      <c r="AK642" s="46"/>
      <c r="AL642" s="46"/>
      <c r="AM642" s="46"/>
      <c r="AN642" s="46"/>
      <c r="AO642" s="46"/>
    </row>
    <row r="643" customFormat="false" ht="15.75" hidden="false" customHeight="true" outlineLevel="0" collapsed="false">
      <c r="A643" s="37"/>
      <c r="B643" s="37"/>
      <c r="C643" s="59"/>
      <c r="D643" s="39"/>
      <c r="E643" s="40"/>
      <c r="F643" s="41"/>
      <c r="G643" s="37"/>
      <c r="H643" s="37"/>
      <c r="I643" s="37"/>
      <c r="J643" s="37"/>
      <c r="K643" s="68"/>
      <c r="L643" s="68"/>
      <c r="M643" s="71"/>
      <c r="N643" s="63"/>
      <c r="O643" s="63"/>
      <c r="P643" s="63"/>
      <c r="Q643" s="63"/>
      <c r="R643" s="41"/>
      <c r="S643" s="41"/>
      <c r="T643" s="63"/>
      <c r="U643" s="63"/>
      <c r="V643" s="63"/>
      <c r="W643" s="39"/>
      <c r="X643" s="41"/>
      <c r="Y643" s="44"/>
      <c r="Z643" s="57"/>
      <c r="AA643" s="57"/>
      <c r="AB643" s="41"/>
      <c r="AC643" s="57"/>
      <c r="AD643" s="46"/>
      <c r="AE643" s="46"/>
      <c r="AF643" s="47"/>
      <c r="AG643" s="46"/>
      <c r="AH643" s="46"/>
      <c r="AI643" s="46"/>
      <c r="AJ643" s="46"/>
      <c r="AK643" s="46"/>
      <c r="AL643" s="46"/>
      <c r="AM643" s="46"/>
      <c r="AN643" s="46"/>
      <c r="AO643" s="46"/>
    </row>
    <row r="644" customFormat="false" ht="15.75" hidden="false" customHeight="true" outlineLevel="0" collapsed="false">
      <c r="A644" s="37"/>
      <c r="B644" s="37"/>
      <c r="C644" s="59"/>
      <c r="D644" s="39"/>
      <c r="E644" s="40"/>
      <c r="F644" s="41"/>
      <c r="G644" s="37"/>
      <c r="H644" s="37"/>
      <c r="I644" s="37"/>
      <c r="J644" s="37"/>
      <c r="K644" s="68"/>
      <c r="L644" s="68"/>
      <c r="M644" s="71"/>
      <c r="N644" s="63"/>
      <c r="O644" s="63"/>
      <c r="P644" s="63"/>
      <c r="Q644" s="63"/>
      <c r="R644" s="41"/>
      <c r="S644" s="41"/>
      <c r="T644" s="63"/>
      <c r="U644" s="63"/>
      <c r="V644" s="63"/>
      <c r="W644" s="39"/>
      <c r="X644" s="41"/>
      <c r="Y644" s="44"/>
      <c r="Z644" s="57"/>
      <c r="AA644" s="57"/>
      <c r="AB644" s="41"/>
      <c r="AC644" s="57"/>
      <c r="AD644" s="46"/>
      <c r="AE644" s="46"/>
      <c r="AF644" s="47"/>
      <c r="AG644" s="46"/>
      <c r="AH644" s="46"/>
      <c r="AI644" s="46"/>
      <c r="AJ644" s="46"/>
      <c r="AK644" s="46"/>
      <c r="AL644" s="46"/>
      <c r="AM644" s="46"/>
      <c r="AN644" s="46"/>
      <c r="AO644" s="46"/>
    </row>
    <row r="645" customFormat="false" ht="15.75" hidden="false" customHeight="true" outlineLevel="0" collapsed="false">
      <c r="A645" s="37"/>
      <c r="B645" s="37"/>
      <c r="C645" s="59"/>
      <c r="D645" s="39"/>
      <c r="E645" s="40"/>
      <c r="F645" s="41"/>
      <c r="G645" s="37"/>
      <c r="H645" s="37"/>
      <c r="I645" s="37"/>
      <c r="J645" s="37"/>
      <c r="K645" s="68"/>
      <c r="L645" s="68"/>
      <c r="M645" s="71"/>
      <c r="N645" s="63"/>
      <c r="O645" s="63"/>
      <c r="P645" s="63"/>
      <c r="Q645" s="63"/>
      <c r="R645" s="41"/>
      <c r="S645" s="41"/>
      <c r="T645" s="63"/>
      <c r="U645" s="63"/>
      <c r="V645" s="63"/>
      <c r="W645" s="39"/>
      <c r="X645" s="41"/>
      <c r="Y645" s="44"/>
      <c r="Z645" s="57"/>
      <c r="AA645" s="57"/>
      <c r="AB645" s="41"/>
      <c r="AC645" s="57"/>
      <c r="AD645" s="46"/>
      <c r="AE645" s="46"/>
      <c r="AF645" s="47"/>
      <c r="AG645" s="46"/>
      <c r="AH645" s="46"/>
      <c r="AI645" s="46"/>
      <c r="AJ645" s="46"/>
      <c r="AK645" s="46"/>
      <c r="AL645" s="46"/>
      <c r="AM645" s="46"/>
      <c r="AN645" s="46"/>
      <c r="AO645" s="46"/>
    </row>
    <row r="646" customFormat="false" ht="15.75" hidden="false" customHeight="true" outlineLevel="0" collapsed="false">
      <c r="A646" s="37"/>
      <c r="B646" s="37"/>
      <c r="C646" s="59"/>
      <c r="D646" s="39"/>
      <c r="E646" s="40"/>
      <c r="F646" s="41"/>
      <c r="G646" s="37"/>
      <c r="H646" s="37"/>
      <c r="I646" s="37"/>
      <c r="J646" s="37"/>
      <c r="K646" s="68"/>
      <c r="L646" s="68"/>
      <c r="M646" s="71"/>
      <c r="N646" s="63"/>
      <c r="O646" s="63"/>
      <c r="P646" s="63"/>
      <c r="Q646" s="63"/>
      <c r="R646" s="41"/>
      <c r="S646" s="41"/>
      <c r="T646" s="63"/>
      <c r="U646" s="63"/>
      <c r="V646" s="63"/>
      <c r="W646" s="39"/>
      <c r="X646" s="41"/>
      <c r="Y646" s="44"/>
      <c r="Z646" s="57"/>
      <c r="AA646" s="57"/>
      <c r="AB646" s="41"/>
      <c r="AC646" s="57"/>
      <c r="AD646" s="46"/>
      <c r="AE646" s="46"/>
      <c r="AF646" s="47"/>
      <c r="AG646" s="46"/>
      <c r="AH646" s="46"/>
      <c r="AI646" s="46"/>
      <c r="AJ646" s="46"/>
      <c r="AK646" s="46"/>
      <c r="AL646" s="46"/>
      <c r="AM646" s="46"/>
      <c r="AN646" s="46"/>
      <c r="AO646" s="46"/>
    </row>
    <row r="647" customFormat="false" ht="15.75" hidden="false" customHeight="true" outlineLevel="0" collapsed="false">
      <c r="A647" s="37"/>
      <c r="B647" s="37"/>
      <c r="C647" s="59"/>
      <c r="D647" s="39"/>
      <c r="E647" s="40"/>
      <c r="F647" s="41"/>
      <c r="G647" s="37"/>
      <c r="H647" s="37"/>
      <c r="I647" s="37"/>
      <c r="J647" s="37"/>
      <c r="K647" s="68"/>
      <c r="L647" s="68"/>
      <c r="M647" s="71"/>
      <c r="N647" s="63"/>
      <c r="O647" s="63"/>
      <c r="P647" s="63"/>
      <c r="Q647" s="63"/>
      <c r="R647" s="41"/>
      <c r="S647" s="41"/>
      <c r="T647" s="63"/>
      <c r="U647" s="63"/>
      <c r="V647" s="63"/>
      <c r="W647" s="39"/>
      <c r="X647" s="41"/>
      <c r="Y647" s="44"/>
      <c r="Z647" s="57"/>
      <c r="AA647" s="57"/>
      <c r="AB647" s="41"/>
      <c r="AC647" s="57"/>
      <c r="AD647" s="46"/>
      <c r="AE647" s="46"/>
      <c r="AF647" s="47"/>
      <c r="AG647" s="46"/>
      <c r="AH647" s="46"/>
      <c r="AI647" s="46"/>
      <c r="AJ647" s="46"/>
      <c r="AK647" s="46"/>
      <c r="AL647" s="46"/>
      <c r="AM647" s="46"/>
      <c r="AN647" s="46"/>
      <c r="AO647" s="46"/>
    </row>
    <row r="648" customFormat="false" ht="15.75" hidden="false" customHeight="true" outlineLevel="0" collapsed="false">
      <c r="A648" s="37"/>
      <c r="B648" s="37"/>
      <c r="C648" s="59"/>
      <c r="D648" s="39"/>
      <c r="E648" s="40"/>
      <c r="F648" s="41"/>
      <c r="G648" s="37"/>
      <c r="H648" s="37"/>
      <c r="I648" s="37"/>
      <c r="J648" s="37"/>
      <c r="K648" s="68"/>
      <c r="L648" s="68"/>
      <c r="M648" s="71"/>
      <c r="N648" s="63"/>
      <c r="O648" s="63"/>
      <c r="P648" s="63"/>
      <c r="Q648" s="63"/>
      <c r="R648" s="41"/>
      <c r="S648" s="41"/>
      <c r="T648" s="63"/>
      <c r="U648" s="63"/>
      <c r="V648" s="63"/>
      <c r="W648" s="39"/>
      <c r="X648" s="41"/>
      <c r="Y648" s="44"/>
      <c r="Z648" s="57"/>
      <c r="AA648" s="57"/>
      <c r="AB648" s="41"/>
      <c r="AC648" s="57"/>
      <c r="AD648" s="46"/>
      <c r="AE648" s="46"/>
      <c r="AF648" s="47"/>
      <c r="AG648" s="46"/>
      <c r="AH648" s="46"/>
      <c r="AI648" s="46"/>
      <c r="AJ648" s="46"/>
      <c r="AK648" s="46"/>
      <c r="AL648" s="46"/>
      <c r="AM648" s="46"/>
      <c r="AN648" s="46"/>
      <c r="AO648" s="46"/>
    </row>
    <row r="649" customFormat="false" ht="15.75" hidden="false" customHeight="true" outlineLevel="0" collapsed="false">
      <c r="A649" s="37"/>
      <c r="B649" s="37"/>
      <c r="C649" s="59"/>
      <c r="D649" s="39"/>
      <c r="E649" s="40"/>
      <c r="F649" s="41"/>
      <c r="G649" s="37"/>
      <c r="H649" s="37"/>
      <c r="I649" s="37"/>
      <c r="J649" s="37"/>
      <c r="K649" s="68"/>
      <c r="L649" s="68"/>
      <c r="M649" s="71"/>
      <c r="N649" s="63"/>
      <c r="O649" s="63"/>
      <c r="P649" s="63"/>
      <c r="Q649" s="63"/>
      <c r="R649" s="41"/>
      <c r="S649" s="41"/>
      <c r="T649" s="63"/>
      <c r="U649" s="63"/>
      <c r="V649" s="63"/>
      <c r="W649" s="39"/>
      <c r="X649" s="41"/>
      <c r="Y649" s="44"/>
      <c r="Z649" s="57"/>
      <c r="AA649" s="57"/>
      <c r="AB649" s="41"/>
      <c r="AC649" s="57"/>
      <c r="AD649" s="46"/>
      <c r="AE649" s="46"/>
      <c r="AF649" s="47"/>
      <c r="AG649" s="46"/>
      <c r="AH649" s="46"/>
      <c r="AI649" s="46"/>
      <c r="AJ649" s="46"/>
      <c r="AK649" s="46"/>
      <c r="AL649" s="46"/>
      <c r="AM649" s="46"/>
      <c r="AN649" s="46"/>
      <c r="AO649" s="46"/>
    </row>
    <row r="650" customFormat="false" ht="15.75" hidden="false" customHeight="true" outlineLevel="0" collapsed="false">
      <c r="A650" s="37"/>
      <c r="B650" s="37"/>
      <c r="C650" s="59"/>
      <c r="D650" s="39"/>
      <c r="E650" s="40"/>
      <c r="F650" s="41"/>
      <c r="G650" s="37"/>
      <c r="H650" s="37"/>
      <c r="I650" s="37"/>
      <c r="J650" s="37"/>
      <c r="K650" s="68"/>
      <c r="L650" s="68"/>
      <c r="M650" s="71"/>
      <c r="N650" s="63"/>
      <c r="O650" s="63"/>
      <c r="P650" s="63"/>
      <c r="Q650" s="63"/>
      <c r="R650" s="41"/>
      <c r="S650" s="41"/>
      <c r="T650" s="63"/>
      <c r="U650" s="63"/>
      <c r="V650" s="63"/>
      <c r="W650" s="39"/>
      <c r="X650" s="41"/>
      <c r="Y650" s="44"/>
      <c r="Z650" s="57"/>
      <c r="AA650" s="57"/>
      <c r="AB650" s="41"/>
      <c r="AC650" s="57"/>
      <c r="AD650" s="46"/>
      <c r="AE650" s="46"/>
      <c r="AF650" s="47"/>
      <c r="AG650" s="46"/>
      <c r="AH650" s="46"/>
      <c r="AI650" s="46"/>
      <c r="AJ650" s="46"/>
      <c r="AK650" s="46"/>
      <c r="AL650" s="46"/>
      <c r="AM650" s="46"/>
      <c r="AN650" s="46"/>
      <c r="AO650" s="46"/>
    </row>
    <row r="651" customFormat="false" ht="15.75" hidden="false" customHeight="true" outlineLevel="0" collapsed="false">
      <c r="A651" s="37"/>
      <c r="B651" s="37"/>
      <c r="C651" s="59"/>
      <c r="D651" s="39"/>
      <c r="E651" s="40"/>
      <c r="F651" s="41"/>
      <c r="G651" s="37"/>
      <c r="H651" s="37"/>
      <c r="I651" s="37"/>
      <c r="J651" s="37"/>
      <c r="K651" s="68"/>
      <c r="L651" s="68"/>
      <c r="M651" s="71"/>
      <c r="N651" s="63"/>
      <c r="O651" s="63"/>
      <c r="P651" s="63"/>
      <c r="Q651" s="63"/>
      <c r="R651" s="41"/>
      <c r="S651" s="41"/>
      <c r="T651" s="63"/>
      <c r="U651" s="63"/>
      <c r="V651" s="63"/>
      <c r="W651" s="39"/>
      <c r="X651" s="41"/>
      <c r="Y651" s="44"/>
      <c r="Z651" s="57"/>
      <c r="AA651" s="57"/>
      <c r="AB651" s="41"/>
      <c r="AC651" s="57"/>
      <c r="AD651" s="46"/>
      <c r="AE651" s="46"/>
      <c r="AF651" s="47"/>
      <c r="AG651" s="46"/>
      <c r="AH651" s="46"/>
      <c r="AI651" s="46"/>
      <c r="AJ651" s="46"/>
      <c r="AK651" s="46"/>
      <c r="AL651" s="46"/>
      <c r="AM651" s="46"/>
      <c r="AN651" s="46"/>
      <c r="AO651" s="46"/>
    </row>
    <row r="652" customFormat="false" ht="15.75" hidden="false" customHeight="true" outlineLevel="0" collapsed="false">
      <c r="A652" s="37"/>
      <c r="B652" s="37"/>
      <c r="C652" s="59"/>
      <c r="D652" s="39"/>
      <c r="E652" s="40"/>
      <c r="F652" s="41"/>
      <c r="G652" s="37"/>
      <c r="H652" s="37"/>
      <c r="I652" s="37"/>
      <c r="J652" s="37"/>
      <c r="K652" s="68"/>
      <c r="L652" s="68"/>
      <c r="M652" s="71"/>
      <c r="N652" s="63"/>
      <c r="O652" s="63"/>
      <c r="P652" s="63"/>
      <c r="Q652" s="63"/>
      <c r="R652" s="41"/>
      <c r="S652" s="41"/>
      <c r="T652" s="63"/>
      <c r="U652" s="63"/>
      <c r="V652" s="63"/>
      <c r="W652" s="39"/>
      <c r="X652" s="41"/>
      <c r="Y652" s="44"/>
      <c r="Z652" s="57"/>
      <c r="AA652" s="57"/>
      <c r="AB652" s="41"/>
      <c r="AC652" s="57"/>
      <c r="AD652" s="46"/>
      <c r="AE652" s="46"/>
      <c r="AF652" s="47"/>
      <c r="AG652" s="46"/>
      <c r="AH652" s="46"/>
      <c r="AI652" s="46"/>
      <c r="AJ652" s="46"/>
      <c r="AK652" s="46"/>
      <c r="AL652" s="46"/>
      <c r="AM652" s="46"/>
      <c r="AN652" s="46"/>
      <c r="AO652" s="46"/>
    </row>
    <row r="653" customFormat="false" ht="15.75" hidden="false" customHeight="true" outlineLevel="0" collapsed="false">
      <c r="A653" s="37"/>
      <c r="B653" s="37"/>
      <c r="C653" s="59"/>
      <c r="D653" s="39"/>
      <c r="E653" s="40"/>
      <c r="F653" s="41"/>
      <c r="G653" s="37"/>
      <c r="H653" s="37"/>
      <c r="I653" s="37"/>
      <c r="J653" s="37"/>
      <c r="K653" s="68"/>
      <c r="L653" s="68"/>
      <c r="M653" s="71"/>
      <c r="N653" s="63"/>
      <c r="O653" s="63"/>
      <c r="P653" s="63"/>
      <c r="Q653" s="63"/>
      <c r="R653" s="41"/>
      <c r="S653" s="41"/>
      <c r="T653" s="63"/>
      <c r="U653" s="63"/>
      <c r="V653" s="63"/>
      <c r="W653" s="39"/>
      <c r="X653" s="41"/>
      <c r="Y653" s="44"/>
      <c r="Z653" s="57"/>
      <c r="AA653" s="57"/>
      <c r="AB653" s="41"/>
      <c r="AC653" s="57"/>
      <c r="AD653" s="46"/>
      <c r="AE653" s="46"/>
      <c r="AF653" s="47"/>
      <c r="AG653" s="46"/>
      <c r="AH653" s="46"/>
      <c r="AI653" s="46"/>
      <c r="AJ653" s="46"/>
      <c r="AK653" s="46"/>
      <c r="AL653" s="46"/>
      <c r="AM653" s="46"/>
      <c r="AN653" s="46"/>
      <c r="AO653" s="46"/>
    </row>
    <row r="654" customFormat="false" ht="15.75" hidden="false" customHeight="true" outlineLevel="0" collapsed="false">
      <c r="A654" s="37"/>
      <c r="B654" s="37"/>
      <c r="C654" s="59"/>
      <c r="D654" s="39"/>
      <c r="E654" s="40"/>
      <c r="F654" s="41"/>
      <c r="G654" s="37"/>
      <c r="H654" s="37"/>
      <c r="I654" s="37"/>
      <c r="J654" s="37"/>
      <c r="K654" s="68"/>
      <c r="L654" s="68"/>
      <c r="M654" s="71"/>
      <c r="N654" s="63"/>
      <c r="O654" s="63"/>
      <c r="P654" s="63"/>
      <c r="Q654" s="63"/>
      <c r="R654" s="41"/>
      <c r="S654" s="41"/>
      <c r="T654" s="63"/>
      <c r="U654" s="63"/>
      <c r="V654" s="63"/>
      <c r="W654" s="39"/>
      <c r="X654" s="41"/>
      <c r="Y654" s="44"/>
      <c r="Z654" s="57"/>
      <c r="AA654" s="57"/>
      <c r="AB654" s="41"/>
      <c r="AC654" s="57"/>
      <c r="AD654" s="46"/>
      <c r="AE654" s="46"/>
      <c r="AF654" s="47"/>
      <c r="AG654" s="46"/>
      <c r="AH654" s="46"/>
      <c r="AI654" s="46"/>
      <c r="AJ654" s="46"/>
      <c r="AK654" s="46"/>
      <c r="AL654" s="46"/>
      <c r="AM654" s="46"/>
      <c r="AN654" s="46"/>
      <c r="AO654" s="46"/>
    </row>
    <row r="655" customFormat="false" ht="15.75" hidden="false" customHeight="true" outlineLevel="0" collapsed="false">
      <c r="A655" s="37"/>
      <c r="B655" s="37"/>
      <c r="C655" s="59"/>
      <c r="D655" s="39"/>
      <c r="E655" s="40"/>
      <c r="F655" s="41"/>
      <c r="G655" s="37"/>
      <c r="H655" s="37"/>
      <c r="I655" s="37"/>
      <c r="J655" s="37"/>
      <c r="K655" s="68"/>
      <c r="L655" s="68"/>
      <c r="M655" s="71"/>
      <c r="N655" s="63"/>
      <c r="O655" s="63"/>
      <c r="P655" s="63"/>
      <c r="Q655" s="63"/>
      <c r="R655" s="41"/>
      <c r="S655" s="41"/>
      <c r="T655" s="63"/>
      <c r="U655" s="63"/>
      <c r="V655" s="63"/>
      <c r="W655" s="39"/>
      <c r="X655" s="41"/>
      <c r="Y655" s="44"/>
      <c r="Z655" s="57"/>
      <c r="AA655" s="57"/>
      <c r="AB655" s="41"/>
      <c r="AC655" s="57"/>
      <c r="AD655" s="46"/>
      <c r="AE655" s="46"/>
      <c r="AF655" s="47"/>
      <c r="AG655" s="46"/>
      <c r="AH655" s="46"/>
      <c r="AI655" s="46"/>
      <c r="AJ655" s="46"/>
      <c r="AK655" s="46"/>
      <c r="AL655" s="46"/>
      <c r="AM655" s="46"/>
      <c r="AN655" s="46"/>
      <c r="AO655" s="46"/>
    </row>
    <row r="656" customFormat="false" ht="15.75" hidden="false" customHeight="true" outlineLevel="0" collapsed="false">
      <c r="A656" s="37"/>
      <c r="B656" s="37"/>
      <c r="C656" s="59"/>
      <c r="D656" s="39"/>
      <c r="E656" s="40"/>
      <c r="F656" s="41"/>
      <c r="G656" s="37"/>
      <c r="H656" s="37"/>
      <c r="I656" s="37"/>
      <c r="J656" s="37"/>
      <c r="K656" s="68"/>
      <c r="L656" s="68"/>
      <c r="M656" s="71"/>
      <c r="N656" s="63"/>
      <c r="O656" s="63"/>
      <c r="P656" s="63"/>
      <c r="Q656" s="63"/>
      <c r="R656" s="41"/>
      <c r="S656" s="41"/>
      <c r="T656" s="63"/>
      <c r="U656" s="63"/>
      <c r="V656" s="63"/>
      <c r="W656" s="39"/>
      <c r="X656" s="41"/>
      <c r="Y656" s="44"/>
      <c r="Z656" s="57"/>
      <c r="AA656" s="57"/>
      <c r="AB656" s="41"/>
      <c r="AC656" s="57"/>
      <c r="AD656" s="46"/>
      <c r="AE656" s="46"/>
      <c r="AF656" s="47"/>
      <c r="AG656" s="46"/>
      <c r="AH656" s="46"/>
      <c r="AI656" s="46"/>
      <c r="AJ656" s="46"/>
      <c r="AK656" s="46"/>
      <c r="AL656" s="46"/>
      <c r="AM656" s="46"/>
      <c r="AN656" s="46"/>
      <c r="AO656" s="46"/>
    </row>
    <row r="657" customFormat="false" ht="15.75" hidden="false" customHeight="true" outlineLevel="0" collapsed="false">
      <c r="A657" s="37"/>
      <c r="B657" s="37"/>
      <c r="C657" s="59"/>
      <c r="D657" s="39"/>
      <c r="E657" s="40"/>
      <c r="F657" s="41"/>
      <c r="G657" s="37"/>
      <c r="H657" s="37"/>
      <c r="I657" s="37"/>
      <c r="J657" s="37"/>
      <c r="K657" s="68"/>
      <c r="L657" s="68"/>
      <c r="M657" s="71"/>
      <c r="N657" s="63"/>
      <c r="O657" s="63"/>
      <c r="P657" s="63"/>
      <c r="Q657" s="63"/>
      <c r="R657" s="41"/>
      <c r="S657" s="41"/>
      <c r="T657" s="63"/>
      <c r="U657" s="63"/>
      <c r="V657" s="63"/>
      <c r="W657" s="39"/>
      <c r="X657" s="41"/>
      <c r="Y657" s="44"/>
      <c r="Z657" s="57"/>
      <c r="AA657" s="57"/>
      <c r="AB657" s="41"/>
      <c r="AC657" s="57"/>
      <c r="AD657" s="46"/>
      <c r="AE657" s="46"/>
      <c r="AF657" s="47"/>
      <c r="AG657" s="46"/>
      <c r="AH657" s="46"/>
      <c r="AI657" s="46"/>
      <c r="AJ657" s="46"/>
      <c r="AK657" s="46"/>
      <c r="AL657" s="46"/>
      <c r="AM657" s="46"/>
      <c r="AN657" s="46"/>
      <c r="AO657" s="46"/>
    </row>
    <row r="658" customFormat="false" ht="15.75" hidden="false" customHeight="true" outlineLevel="0" collapsed="false">
      <c r="A658" s="37"/>
      <c r="B658" s="37"/>
      <c r="C658" s="59"/>
      <c r="D658" s="39"/>
      <c r="E658" s="40"/>
      <c r="F658" s="41"/>
      <c r="G658" s="37"/>
      <c r="H658" s="37"/>
      <c r="I658" s="37"/>
      <c r="J658" s="37"/>
      <c r="K658" s="68"/>
      <c r="L658" s="68"/>
      <c r="M658" s="71"/>
      <c r="N658" s="63"/>
      <c r="O658" s="63"/>
      <c r="P658" s="63"/>
      <c r="Q658" s="63"/>
      <c r="R658" s="41"/>
      <c r="S658" s="41"/>
      <c r="T658" s="63"/>
      <c r="U658" s="63"/>
      <c r="V658" s="63"/>
      <c r="W658" s="39"/>
      <c r="X658" s="41"/>
      <c r="Y658" s="44"/>
      <c r="Z658" s="57"/>
      <c r="AA658" s="57"/>
      <c r="AB658" s="41"/>
      <c r="AC658" s="57"/>
      <c r="AD658" s="46"/>
      <c r="AE658" s="46"/>
      <c r="AF658" s="47"/>
      <c r="AG658" s="46"/>
      <c r="AH658" s="46"/>
      <c r="AI658" s="46"/>
      <c r="AJ658" s="46"/>
      <c r="AK658" s="46"/>
      <c r="AL658" s="46"/>
      <c r="AM658" s="46"/>
      <c r="AN658" s="46"/>
      <c r="AO658" s="46"/>
    </row>
    <row r="659" customFormat="false" ht="15.75" hidden="false" customHeight="true" outlineLevel="0" collapsed="false">
      <c r="A659" s="37"/>
      <c r="B659" s="37"/>
      <c r="C659" s="59"/>
      <c r="D659" s="39"/>
      <c r="E659" s="40"/>
      <c r="F659" s="41"/>
      <c r="G659" s="37"/>
      <c r="H659" s="37"/>
      <c r="I659" s="37"/>
      <c r="J659" s="37"/>
      <c r="K659" s="68"/>
      <c r="L659" s="68"/>
      <c r="M659" s="71"/>
      <c r="N659" s="63"/>
      <c r="O659" s="63"/>
      <c r="P659" s="63"/>
      <c r="Q659" s="63"/>
      <c r="R659" s="41"/>
      <c r="S659" s="41"/>
      <c r="T659" s="63"/>
      <c r="U659" s="63"/>
      <c r="V659" s="63"/>
      <c r="W659" s="39"/>
      <c r="X659" s="41"/>
      <c r="Y659" s="44"/>
      <c r="Z659" s="57"/>
      <c r="AA659" s="57"/>
      <c r="AB659" s="41"/>
      <c r="AC659" s="57"/>
      <c r="AD659" s="46"/>
      <c r="AE659" s="46"/>
      <c r="AF659" s="47"/>
      <c r="AG659" s="46"/>
      <c r="AH659" s="46"/>
      <c r="AI659" s="46"/>
      <c r="AJ659" s="46"/>
      <c r="AK659" s="46"/>
      <c r="AL659" s="46"/>
      <c r="AM659" s="46"/>
      <c r="AN659" s="46"/>
      <c r="AO659" s="46"/>
    </row>
    <row r="660" customFormat="false" ht="15.75" hidden="false" customHeight="true" outlineLevel="0" collapsed="false">
      <c r="A660" s="37"/>
      <c r="B660" s="37"/>
      <c r="C660" s="59"/>
      <c r="D660" s="39"/>
      <c r="E660" s="40"/>
      <c r="F660" s="41"/>
      <c r="G660" s="37"/>
      <c r="H660" s="37"/>
      <c r="I660" s="37"/>
      <c r="J660" s="37"/>
      <c r="K660" s="68"/>
      <c r="L660" s="68"/>
      <c r="M660" s="71"/>
      <c r="N660" s="63"/>
      <c r="O660" s="63"/>
      <c r="P660" s="63"/>
      <c r="Q660" s="63"/>
      <c r="R660" s="41"/>
      <c r="S660" s="41"/>
      <c r="T660" s="63"/>
      <c r="U660" s="63"/>
      <c r="V660" s="63"/>
      <c r="W660" s="39"/>
      <c r="X660" s="41"/>
      <c r="Y660" s="44"/>
      <c r="Z660" s="57"/>
      <c r="AA660" s="57"/>
      <c r="AB660" s="41"/>
      <c r="AC660" s="57"/>
      <c r="AD660" s="46"/>
      <c r="AE660" s="46"/>
      <c r="AF660" s="47"/>
      <c r="AG660" s="46"/>
      <c r="AH660" s="46"/>
      <c r="AI660" s="46"/>
      <c r="AJ660" s="46"/>
      <c r="AK660" s="46"/>
      <c r="AL660" s="46"/>
      <c r="AM660" s="46"/>
      <c r="AN660" s="46"/>
      <c r="AO660" s="46"/>
    </row>
    <row r="661" customFormat="false" ht="15.75" hidden="false" customHeight="true" outlineLevel="0" collapsed="false">
      <c r="A661" s="37"/>
      <c r="B661" s="37"/>
      <c r="C661" s="59"/>
      <c r="D661" s="39"/>
      <c r="E661" s="40"/>
      <c r="F661" s="41"/>
      <c r="G661" s="37"/>
      <c r="H661" s="37"/>
      <c r="I661" s="37"/>
      <c r="J661" s="37"/>
      <c r="K661" s="68"/>
      <c r="L661" s="68"/>
      <c r="M661" s="71"/>
      <c r="N661" s="63"/>
      <c r="O661" s="63"/>
      <c r="P661" s="63"/>
      <c r="Q661" s="63"/>
      <c r="R661" s="41"/>
      <c r="S661" s="41"/>
      <c r="T661" s="63"/>
      <c r="U661" s="63"/>
      <c r="V661" s="63"/>
      <c r="W661" s="39"/>
      <c r="X661" s="41"/>
      <c r="Y661" s="44"/>
      <c r="Z661" s="57"/>
      <c r="AA661" s="57"/>
      <c r="AB661" s="41"/>
      <c r="AC661" s="57"/>
      <c r="AD661" s="46"/>
      <c r="AE661" s="46"/>
      <c r="AF661" s="47"/>
      <c r="AG661" s="46"/>
      <c r="AH661" s="46"/>
      <c r="AI661" s="46"/>
      <c r="AJ661" s="46"/>
      <c r="AK661" s="46"/>
      <c r="AL661" s="46"/>
      <c r="AM661" s="46"/>
      <c r="AN661" s="46"/>
      <c r="AO661" s="46"/>
    </row>
    <row r="662" customFormat="false" ht="15.75" hidden="false" customHeight="true" outlineLevel="0" collapsed="false">
      <c r="A662" s="37"/>
      <c r="B662" s="37"/>
      <c r="C662" s="59"/>
      <c r="D662" s="39"/>
      <c r="E662" s="40"/>
      <c r="F662" s="41"/>
      <c r="G662" s="37"/>
      <c r="H662" s="37"/>
      <c r="I662" s="37"/>
      <c r="J662" s="37"/>
      <c r="K662" s="68"/>
      <c r="L662" s="68"/>
      <c r="M662" s="71"/>
      <c r="N662" s="63"/>
      <c r="O662" s="63"/>
      <c r="P662" s="63"/>
      <c r="Q662" s="63"/>
      <c r="R662" s="41"/>
      <c r="S662" s="41"/>
      <c r="T662" s="63"/>
      <c r="U662" s="63"/>
      <c r="V662" s="63"/>
      <c r="W662" s="39"/>
      <c r="X662" s="41"/>
      <c r="Y662" s="44"/>
      <c r="Z662" s="57"/>
      <c r="AA662" s="57"/>
      <c r="AB662" s="41"/>
      <c r="AC662" s="57"/>
      <c r="AD662" s="46"/>
      <c r="AE662" s="46"/>
      <c r="AF662" s="47"/>
      <c r="AG662" s="46"/>
      <c r="AH662" s="46"/>
      <c r="AI662" s="46"/>
      <c r="AJ662" s="46"/>
      <c r="AK662" s="46"/>
      <c r="AL662" s="46"/>
      <c r="AM662" s="46"/>
      <c r="AN662" s="46"/>
      <c r="AO662" s="46"/>
    </row>
    <row r="663" customFormat="false" ht="15.75" hidden="false" customHeight="true" outlineLevel="0" collapsed="false">
      <c r="A663" s="37"/>
      <c r="B663" s="37"/>
      <c r="C663" s="59"/>
      <c r="D663" s="39"/>
      <c r="E663" s="40"/>
      <c r="F663" s="41"/>
      <c r="G663" s="37"/>
      <c r="H663" s="37"/>
      <c r="I663" s="37"/>
      <c r="J663" s="37"/>
      <c r="K663" s="68"/>
      <c r="L663" s="68"/>
      <c r="M663" s="71"/>
      <c r="N663" s="63"/>
      <c r="O663" s="63"/>
      <c r="P663" s="63"/>
      <c r="Q663" s="63"/>
      <c r="R663" s="41"/>
      <c r="S663" s="41"/>
      <c r="T663" s="63"/>
      <c r="U663" s="63"/>
      <c r="V663" s="63"/>
      <c r="W663" s="39"/>
      <c r="X663" s="41"/>
      <c r="Y663" s="44"/>
      <c r="Z663" s="57"/>
      <c r="AA663" s="57"/>
      <c r="AB663" s="41"/>
      <c r="AC663" s="57"/>
      <c r="AD663" s="46"/>
      <c r="AE663" s="46"/>
      <c r="AF663" s="47"/>
      <c r="AG663" s="46"/>
      <c r="AH663" s="46"/>
      <c r="AI663" s="46"/>
      <c r="AJ663" s="46"/>
      <c r="AK663" s="46"/>
      <c r="AL663" s="46"/>
      <c r="AM663" s="46"/>
      <c r="AN663" s="46"/>
      <c r="AO663" s="46"/>
    </row>
    <row r="664" customFormat="false" ht="15.75" hidden="false" customHeight="true" outlineLevel="0" collapsed="false">
      <c r="A664" s="37"/>
      <c r="B664" s="37"/>
      <c r="C664" s="59"/>
      <c r="D664" s="39"/>
      <c r="E664" s="40"/>
      <c r="F664" s="41"/>
      <c r="G664" s="37"/>
      <c r="H664" s="37"/>
      <c r="I664" s="37"/>
      <c r="J664" s="37"/>
      <c r="K664" s="68"/>
      <c r="L664" s="68"/>
      <c r="M664" s="71"/>
      <c r="N664" s="63"/>
      <c r="O664" s="63"/>
      <c r="P664" s="63"/>
      <c r="Q664" s="63"/>
      <c r="R664" s="41"/>
      <c r="S664" s="41"/>
      <c r="T664" s="63"/>
      <c r="U664" s="63"/>
      <c r="V664" s="63"/>
      <c r="W664" s="39"/>
      <c r="X664" s="41"/>
      <c r="Y664" s="44"/>
      <c r="Z664" s="57"/>
      <c r="AA664" s="57"/>
      <c r="AB664" s="41"/>
      <c r="AC664" s="57"/>
      <c r="AD664" s="46"/>
      <c r="AE664" s="46"/>
      <c r="AF664" s="47"/>
      <c r="AG664" s="46"/>
      <c r="AH664" s="46"/>
      <c r="AI664" s="46"/>
      <c r="AJ664" s="46"/>
      <c r="AK664" s="46"/>
      <c r="AL664" s="46"/>
      <c r="AM664" s="46"/>
      <c r="AN664" s="46"/>
      <c r="AO664" s="46"/>
    </row>
    <row r="665" customFormat="false" ht="15.75" hidden="false" customHeight="true" outlineLevel="0" collapsed="false">
      <c r="A665" s="37"/>
      <c r="B665" s="37"/>
      <c r="C665" s="59"/>
      <c r="D665" s="39"/>
      <c r="E665" s="40"/>
      <c r="F665" s="41"/>
      <c r="G665" s="37"/>
      <c r="H665" s="37"/>
      <c r="I665" s="37"/>
      <c r="J665" s="37"/>
      <c r="K665" s="68"/>
      <c r="L665" s="68"/>
      <c r="M665" s="71"/>
      <c r="N665" s="63"/>
      <c r="O665" s="63"/>
      <c r="P665" s="63"/>
      <c r="Q665" s="63"/>
      <c r="R665" s="41"/>
      <c r="S665" s="41"/>
      <c r="T665" s="63"/>
      <c r="U665" s="63"/>
      <c r="V665" s="63"/>
      <c r="W665" s="39"/>
      <c r="X665" s="41"/>
      <c r="Y665" s="44"/>
      <c r="Z665" s="57"/>
      <c r="AA665" s="57"/>
      <c r="AB665" s="41"/>
      <c r="AC665" s="57"/>
      <c r="AD665" s="46"/>
      <c r="AE665" s="46"/>
      <c r="AF665" s="47"/>
      <c r="AG665" s="46"/>
      <c r="AH665" s="46"/>
      <c r="AI665" s="46"/>
      <c r="AJ665" s="46"/>
      <c r="AK665" s="46"/>
      <c r="AL665" s="46"/>
      <c r="AM665" s="46"/>
      <c r="AN665" s="46"/>
      <c r="AO665" s="46"/>
    </row>
    <row r="666" customFormat="false" ht="15.75" hidden="false" customHeight="true" outlineLevel="0" collapsed="false">
      <c r="A666" s="37"/>
      <c r="B666" s="37"/>
      <c r="C666" s="59"/>
      <c r="D666" s="39"/>
      <c r="E666" s="40"/>
      <c r="F666" s="41"/>
      <c r="G666" s="37"/>
      <c r="H666" s="37"/>
      <c r="I666" s="37"/>
      <c r="J666" s="37"/>
      <c r="K666" s="68"/>
      <c r="L666" s="68"/>
      <c r="M666" s="71"/>
      <c r="N666" s="63"/>
      <c r="O666" s="63"/>
      <c r="P666" s="63"/>
      <c r="Q666" s="63"/>
      <c r="R666" s="41"/>
      <c r="S666" s="41"/>
      <c r="T666" s="63"/>
      <c r="U666" s="63"/>
      <c r="V666" s="63"/>
      <c r="W666" s="39"/>
      <c r="X666" s="41"/>
      <c r="Y666" s="44"/>
      <c r="Z666" s="57"/>
      <c r="AA666" s="57"/>
      <c r="AB666" s="41"/>
      <c r="AC666" s="57"/>
      <c r="AD666" s="46"/>
      <c r="AE666" s="46"/>
      <c r="AF666" s="47"/>
      <c r="AG666" s="46"/>
      <c r="AH666" s="46"/>
      <c r="AI666" s="46"/>
      <c r="AJ666" s="46"/>
      <c r="AK666" s="46"/>
      <c r="AL666" s="46"/>
      <c r="AM666" s="46"/>
      <c r="AN666" s="46"/>
      <c r="AO666" s="46"/>
    </row>
    <row r="667" customFormat="false" ht="15.75" hidden="false" customHeight="true" outlineLevel="0" collapsed="false">
      <c r="A667" s="37"/>
      <c r="B667" s="37"/>
      <c r="C667" s="59"/>
      <c r="D667" s="39"/>
      <c r="E667" s="40"/>
      <c r="F667" s="41"/>
      <c r="G667" s="37"/>
      <c r="H667" s="37"/>
      <c r="I667" s="37"/>
      <c r="J667" s="37"/>
      <c r="K667" s="68"/>
      <c r="L667" s="68"/>
      <c r="M667" s="71"/>
      <c r="N667" s="63"/>
      <c r="O667" s="63"/>
      <c r="P667" s="63"/>
      <c r="Q667" s="63"/>
      <c r="R667" s="41"/>
      <c r="S667" s="41"/>
      <c r="T667" s="63"/>
      <c r="U667" s="63"/>
      <c r="V667" s="63"/>
      <c r="W667" s="39"/>
      <c r="X667" s="41"/>
      <c r="Y667" s="44"/>
      <c r="Z667" s="57"/>
      <c r="AA667" s="57"/>
      <c r="AB667" s="41"/>
      <c r="AC667" s="57"/>
      <c r="AD667" s="46"/>
      <c r="AE667" s="46"/>
      <c r="AF667" s="47"/>
      <c r="AG667" s="46"/>
      <c r="AH667" s="46"/>
      <c r="AI667" s="46"/>
      <c r="AJ667" s="46"/>
      <c r="AK667" s="46"/>
      <c r="AL667" s="46"/>
      <c r="AM667" s="46"/>
      <c r="AN667" s="46"/>
      <c r="AO667" s="46"/>
    </row>
    <row r="668" customFormat="false" ht="15.75" hidden="false" customHeight="true" outlineLevel="0" collapsed="false">
      <c r="A668" s="37"/>
      <c r="B668" s="37"/>
      <c r="C668" s="59"/>
      <c r="D668" s="39"/>
      <c r="E668" s="40"/>
      <c r="F668" s="41"/>
      <c r="G668" s="37"/>
      <c r="H668" s="37"/>
      <c r="I668" s="37"/>
      <c r="J668" s="37"/>
      <c r="K668" s="68"/>
      <c r="L668" s="68"/>
      <c r="M668" s="71"/>
      <c r="N668" s="63"/>
      <c r="O668" s="63"/>
      <c r="P668" s="63"/>
      <c r="Q668" s="63"/>
      <c r="R668" s="41"/>
      <c r="S668" s="41"/>
      <c r="T668" s="63"/>
      <c r="U668" s="63"/>
      <c r="V668" s="63"/>
      <c r="W668" s="39"/>
      <c r="X668" s="41"/>
      <c r="Y668" s="44"/>
      <c r="Z668" s="57"/>
      <c r="AA668" s="57"/>
      <c r="AB668" s="41"/>
      <c r="AC668" s="57"/>
      <c r="AD668" s="46"/>
      <c r="AE668" s="46"/>
      <c r="AF668" s="47"/>
      <c r="AG668" s="46"/>
      <c r="AH668" s="46"/>
      <c r="AI668" s="46"/>
      <c r="AJ668" s="46"/>
      <c r="AK668" s="46"/>
      <c r="AL668" s="46"/>
      <c r="AM668" s="46"/>
      <c r="AN668" s="46"/>
      <c r="AO668" s="46"/>
    </row>
    <row r="669" customFormat="false" ht="15.75" hidden="false" customHeight="true" outlineLevel="0" collapsed="false">
      <c r="A669" s="37"/>
      <c r="B669" s="37"/>
      <c r="C669" s="59"/>
      <c r="D669" s="39"/>
      <c r="E669" s="40"/>
      <c r="F669" s="41"/>
      <c r="G669" s="37"/>
      <c r="H669" s="37"/>
      <c r="I669" s="37"/>
      <c r="J669" s="37"/>
      <c r="K669" s="68"/>
      <c r="L669" s="68"/>
      <c r="M669" s="71"/>
      <c r="N669" s="63"/>
      <c r="O669" s="63"/>
      <c r="P669" s="63"/>
      <c r="Q669" s="63"/>
      <c r="R669" s="41"/>
      <c r="S669" s="41"/>
      <c r="T669" s="63"/>
      <c r="U669" s="63"/>
      <c r="V669" s="63"/>
      <c r="W669" s="39"/>
      <c r="X669" s="41"/>
      <c r="Y669" s="44"/>
      <c r="Z669" s="57"/>
      <c r="AA669" s="57"/>
      <c r="AB669" s="41"/>
      <c r="AC669" s="57"/>
      <c r="AD669" s="46"/>
      <c r="AE669" s="46"/>
      <c r="AF669" s="47"/>
      <c r="AG669" s="46"/>
      <c r="AH669" s="46"/>
      <c r="AI669" s="46"/>
      <c r="AJ669" s="46"/>
      <c r="AK669" s="46"/>
      <c r="AL669" s="46"/>
      <c r="AM669" s="46"/>
      <c r="AN669" s="46"/>
      <c r="AO669" s="46"/>
    </row>
    <row r="670" customFormat="false" ht="15.75" hidden="false" customHeight="true" outlineLevel="0" collapsed="false">
      <c r="A670" s="37"/>
      <c r="B670" s="37"/>
      <c r="C670" s="59"/>
      <c r="D670" s="39"/>
      <c r="E670" s="40"/>
      <c r="F670" s="41"/>
      <c r="G670" s="37"/>
      <c r="H670" s="37"/>
      <c r="I670" s="37"/>
      <c r="J670" s="37"/>
      <c r="K670" s="68"/>
      <c r="L670" s="68"/>
      <c r="M670" s="71"/>
      <c r="N670" s="63"/>
      <c r="O670" s="63"/>
      <c r="P670" s="63"/>
      <c r="Q670" s="63"/>
      <c r="R670" s="41"/>
      <c r="S670" s="41"/>
      <c r="T670" s="63"/>
      <c r="U670" s="63"/>
      <c r="V670" s="63"/>
      <c r="W670" s="39"/>
      <c r="X670" s="41"/>
      <c r="Y670" s="44"/>
      <c r="Z670" s="57"/>
      <c r="AA670" s="57"/>
      <c r="AB670" s="41"/>
      <c r="AC670" s="57"/>
      <c r="AD670" s="46"/>
      <c r="AE670" s="46"/>
      <c r="AF670" s="47"/>
      <c r="AG670" s="46"/>
      <c r="AH670" s="46"/>
      <c r="AI670" s="46"/>
      <c r="AJ670" s="46"/>
      <c r="AK670" s="46"/>
      <c r="AL670" s="46"/>
      <c r="AM670" s="46"/>
      <c r="AN670" s="46"/>
      <c r="AO670" s="46"/>
    </row>
    <row r="671" customFormat="false" ht="15.75" hidden="false" customHeight="true" outlineLevel="0" collapsed="false">
      <c r="A671" s="37"/>
      <c r="B671" s="37"/>
      <c r="C671" s="59"/>
      <c r="D671" s="39"/>
      <c r="E671" s="40"/>
      <c r="F671" s="41"/>
      <c r="G671" s="37"/>
      <c r="H671" s="37"/>
      <c r="I671" s="37"/>
      <c r="J671" s="37"/>
      <c r="K671" s="68"/>
      <c r="L671" s="68"/>
      <c r="M671" s="71"/>
      <c r="N671" s="63"/>
      <c r="O671" s="63"/>
      <c r="P671" s="63"/>
      <c r="Q671" s="63"/>
      <c r="R671" s="41"/>
      <c r="S671" s="41"/>
      <c r="T671" s="63"/>
      <c r="U671" s="63"/>
      <c r="V671" s="63"/>
      <c r="W671" s="39"/>
      <c r="X671" s="41"/>
      <c r="Y671" s="44"/>
      <c r="Z671" s="57"/>
      <c r="AA671" s="57"/>
      <c r="AB671" s="41"/>
      <c r="AC671" s="57"/>
      <c r="AD671" s="46"/>
      <c r="AE671" s="46"/>
      <c r="AF671" s="47"/>
      <c r="AG671" s="46"/>
      <c r="AH671" s="46"/>
      <c r="AI671" s="46"/>
      <c r="AJ671" s="46"/>
      <c r="AK671" s="46"/>
      <c r="AL671" s="46"/>
      <c r="AM671" s="46"/>
      <c r="AN671" s="46"/>
      <c r="AO671" s="46"/>
    </row>
    <row r="672" customFormat="false" ht="15.75" hidden="false" customHeight="true" outlineLevel="0" collapsed="false">
      <c r="A672" s="37"/>
      <c r="B672" s="37"/>
      <c r="C672" s="59"/>
      <c r="D672" s="39"/>
      <c r="E672" s="40"/>
      <c r="F672" s="41"/>
      <c r="G672" s="37"/>
      <c r="H672" s="37"/>
      <c r="I672" s="37"/>
      <c r="J672" s="37"/>
      <c r="K672" s="68"/>
      <c r="L672" s="68"/>
      <c r="M672" s="71"/>
      <c r="N672" s="63"/>
      <c r="O672" s="63"/>
      <c r="P672" s="63"/>
      <c r="Q672" s="63"/>
      <c r="R672" s="41"/>
      <c r="S672" s="41"/>
      <c r="T672" s="63"/>
      <c r="U672" s="63"/>
      <c r="V672" s="63"/>
      <c r="W672" s="39"/>
      <c r="X672" s="41"/>
      <c r="Y672" s="44"/>
      <c r="Z672" s="57"/>
      <c r="AA672" s="57"/>
      <c r="AB672" s="41"/>
      <c r="AC672" s="57"/>
      <c r="AD672" s="46"/>
      <c r="AE672" s="46"/>
      <c r="AF672" s="47"/>
      <c r="AG672" s="46"/>
      <c r="AH672" s="46"/>
      <c r="AI672" s="46"/>
      <c r="AJ672" s="46"/>
      <c r="AK672" s="46"/>
      <c r="AL672" s="46"/>
      <c r="AM672" s="46"/>
      <c r="AN672" s="46"/>
      <c r="AO672" s="46"/>
    </row>
    <row r="673" customFormat="false" ht="15.75" hidden="false" customHeight="true" outlineLevel="0" collapsed="false">
      <c r="A673" s="37"/>
      <c r="B673" s="37"/>
      <c r="C673" s="59"/>
      <c r="D673" s="39"/>
      <c r="E673" s="40"/>
      <c r="F673" s="41"/>
      <c r="G673" s="37"/>
      <c r="H673" s="37"/>
      <c r="I673" s="37"/>
      <c r="J673" s="37"/>
      <c r="K673" s="68"/>
      <c r="L673" s="68"/>
      <c r="M673" s="71"/>
      <c r="N673" s="63"/>
      <c r="O673" s="63"/>
      <c r="P673" s="63"/>
      <c r="Q673" s="63"/>
      <c r="R673" s="41"/>
      <c r="S673" s="41"/>
      <c r="T673" s="63"/>
      <c r="U673" s="63"/>
      <c r="V673" s="63"/>
      <c r="W673" s="39"/>
      <c r="X673" s="41"/>
      <c r="Y673" s="44"/>
      <c r="Z673" s="57"/>
      <c r="AA673" s="57"/>
      <c r="AB673" s="41"/>
      <c r="AC673" s="57"/>
      <c r="AD673" s="46"/>
      <c r="AE673" s="46"/>
      <c r="AF673" s="47"/>
      <c r="AG673" s="46"/>
      <c r="AH673" s="46"/>
      <c r="AI673" s="46"/>
      <c r="AJ673" s="46"/>
      <c r="AK673" s="46"/>
      <c r="AL673" s="46"/>
      <c r="AM673" s="46"/>
      <c r="AN673" s="46"/>
      <c r="AO673" s="46"/>
    </row>
    <row r="674" customFormat="false" ht="15.75" hidden="false" customHeight="true" outlineLevel="0" collapsed="false">
      <c r="A674" s="37"/>
      <c r="B674" s="37"/>
      <c r="C674" s="59"/>
      <c r="D674" s="39"/>
      <c r="E674" s="40"/>
      <c r="F674" s="41"/>
      <c r="G674" s="37"/>
      <c r="H674" s="37"/>
      <c r="I674" s="37"/>
      <c r="J674" s="37"/>
      <c r="K674" s="68"/>
      <c r="L674" s="68"/>
      <c r="M674" s="71"/>
      <c r="N674" s="63"/>
      <c r="O674" s="63"/>
      <c r="P674" s="63"/>
      <c r="Q674" s="63"/>
      <c r="R674" s="41"/>
      <c r="S674" s="41"/>
      <c r="T674" s="63"/>
      <c r="U674" s="63"/>
      <c r="V674" s="63"/>
      <c r="W674" s="39"/>
      <c r="X674" s="41"/>
      <c r="Y674" s="44"/>
      <c r="Z674" s="57"/>
      <c r="AA674" s="57"/>
      <c r="AB674" s="41"/>
      <c r="AC674" s="57"/>
      <c r="AD674" s="46"/>
      <c r="AE674" s="46"/>
      <c r="AF674" s="47"/>
      <c r="AG674" s="46"/>
      <c r="AH674" s="46"/>
      <c r="AI674" s="46"/>
      <c r="AJ674" s="46"/>
      <c r="AK674" s="46"/>
      <c r="AL674" s="46"/>
      <c r="AM674" s="46"/>
      <c r="AN674" s="46"/>
      <c r="AO674" s="46"/>
    </row>
    <row r="675" customFormat="false" ht="15.75" hidden="false" customHeight="true" outlineLevel="0" collapsed="false">
      <c r="A675" s="37"/>
      <c r="B675" s="37"/>
      <c r="C675" s="59"/>
      <c r="D675" s="39"/>
      <c r="E675" s="40"/>
      <c r="F675" s="41"/>
      <c r="G675" s="37"/>
      <c r="H675" s="37"/>
      <c r="I675" s="37"/>
      <c r="J675" s="37"/>
      <c r="K675" s="68"/>
      <c r="L675" s="68"/>
      <c r="M675" s="71"/>
      <c r="N675" s="63"/>
      <c r="O675" s="63"/>
      <c r="P675" s="63"/>
      <c r="Q675" s="63"/>
      <c r="R675" s="41"/>
      <c r="S675" s="41"/>
      <c r="T675" s="63"/>
      <c r="U675" s="63"/>
      <c r="V675" s="63"/>
      <c r="W675" s="39"/>
      <c r="X675" s="41"/>
      <c r="Y675" s="44"/>
      <c r="Z675" s="57"/>
      <c r="AA675" s="57"/>
      <c r="AB675" s="41"/>
      <c r="AC675" s="57"/>
      <c r="AD675" s="46"/>
      <c r="AE675" s="46"/>
      <c r="AF675" s="47"/>
      <c r="AG675" s="46"/>
      <c r="AH675" s="46"/>
      <c r="AI675" s="46"/>
      <c r="AJ675" s="46"/>
      <c r="AK675" s="46"/>
      <c r="AL675" s="46"/>
      <c r="AM675" s="46"/>
      <c r="AN675" s="46"/>
      <c r="AO675" s="46"/>
    </row>
    <row r="676" customFormat="false" ht="15.75" hidden="false" customHeight="true" outlineLevel="0" collapsed="false">
      <c r="A676" s="37"/>
      <c r="B676" s="37"/>
      <c r="C676" s="59"/>
      <c r="D676" s="39"/>
      <c r="E676" s="40"/>
      <c r="F676" s="41"/>
      <c r="G676" s="37"/>
      <c r="H676" s="37"/>
      <c r="I676" s="37"/>
      <c r="J676" s="37"/>
      <c r="K676" s="68"/>
      <c r="L676" s="68"/>
      <c r="M676" s="71"/>
      <c r="N676" s="63"/>
      <c r="O676" s="63"/>
      <c r="P676" s="63"/>
      <c r="Q676" s="63"/>
      <c r="R676" s="41"/>
      <c r="S676" s="41"/>
      <c r="T676" s="63"/>
      <c r="U676" s="63"/>
      <c r="V676" s="63"/>
      <c r="W676" s="39"/>
      <c r="X676" s="41"/>
      <c r="Y676" s="44"/>
      <c r="Z676" s="57"/>
      <c r="AA676" s="57"/>
      <c r="AB676" s="41"/>
      <c r="AC676" s="57"/>
      <c r="AD676" s="46"/>
      <c r="AE676" s="46"/>
      <c r="AF676" s="47"/>
      <c r="AG676" s="46"/>
      <c r="AH676" s="46"/>
      <c r="AI676" s="46"/>
      <c r="AJ676" s="46"/>
      <c r="AK676" s="46"/>
      <c r="AL676" s="46"/>
      <c r="AM676" s="46"/>
      <c r="AN676" s="46"/>
      <c r="AO676" s="46"/>
    </row>
    <row r="677" customFormat="false" ht="15.75" hidden="false" customHeight="true" outlineLevel="0" collapsed="false">
      <c r="A677" s="37"/>
      <c r="B677" s="37"/>
      <c r="C677" s="59"/>
      <c r="D677" s="39"/>
      <c r="E677" s="40"/>
      <c r="F677" s="41"/>
      <c r="G677" s="37"/>
      <c r="H677" s="37"/>
      <c r="I677" s="37"/>
      <c r="J677" s="37"/>
      <c r="K677" s="68"/>
      <c r="L677" s="68"/>
      <c r="M677" s="71"/>
      <c r="N677" s="63"/>
      <c r="O677" s="63"/>
      <c r="P677" s="63"/>
      <c r="Q677" s="63"/>
      <c r="R677" s="41"/>
      <c r="S677" s="41"/>
      <c r="T677" s="63"/>
      <c r="U677" s="63"/>
      <c r="V677" s="63"/>
      <c r="W677" s="39"/>
      <c r="X677" s="41"/>
      <c r="Y677" s="44"/>
      <c r="Z677" s="57"/>
      <c r="AA677" s="57"/>
      <c r="AB677" s="41"/>
      <c r="AC677" s="57"/>
      <c r="AD677" s="46"/>
      <c r="AE677" s="46"/>
      <c r="AF677" s="47"/>
      <c r="AG677" s="46"/>
      <c r="AH677" s="46"/>
      <c r="AI677" s="46"/>
      <c r="AJ677" s="46"/>
      <c r="AK677" s="46"/>
      <c r="AL677" s="46"/>
      <c r="AM677" s="46"/>
      <c r="AN677" s="46"/>
      <c r="AO677" s="46"/>
    </row>
    <row r="678" customFormat="false" ht="15.75" hidden="false" customHeight="true" outlineLevel="0" collapsed="false">
      <c r="A678" s="37"/>
      <c r="B678" s="37"/>
      <c r="C678" s="59"/>
      <c r="D678" s="39"/>
      <c r="E678" s="40"/>
      <c r="F678" s="41"/>
      <c r="G678" s="37"/>
      <c r="H678" s="37"/>
      <c r="I678" s="37"/>
      <c r="J678" s="37"/>
      <c r="K678" s="68"/>
      <c r="L678" s="68"/>
      <c r="M678" s="71"/>
      <c r="N678" s="63"/>
      <c r="O678" s="63"/>
      <c r="P678" s="63"/>
      <c r="Q678" s="63"/>
      <c r="R678" s="41"/>
      <c r="S678" s="41"/>
      <c r="T678" s="63"/>
      <c r="U678" s="63"/>
      <c r="V678" s="63"/>
      <c r="W678" s="39"/>
      <c r="X678" s="41"/>
      <c r="Y678" s="44"/>
      <c r="Z678" s="57"/>
      <c r="AA678" s="57"/>
      <c r="AB678" s="41"/>
      <c r="AC678" s="57"/>
      <c r="AD678" s="46"/>
      <c r="AE678" s="46"/>
      <c r="AF678" s="47"/>
      <c r="AG678" s="46"/>
      <c r="AH678" s="46"/>
      <c r="AI678" s="46"/>
      <c r="AJ678" s="46"/>
      <c r="AK678" s="46"/>
      <c r="AL678" s="46"/>
      <c r="AM678" s="46"/>
      <c r="AN678" s="46"/>
      <c r="AO678" s="46"/>
    </row>
    <row r="679" customFormat="false" ht="15.75" hidden="false" customHeight="true" outlineLevel="0" collapsed="false">
      <c r="A679" s="37"/>
      <c r="B679" s="37"/>
      <c r="C679" s="59"/>
      <c r="D679" s="39"/>
      <c r="E679" s="40"/>
      <c r="F679" s="41"/>
      <c r="G679" s="37"/>
      <c r="H679" s="37"/>
      <c r="I679" s="37"/>
      <c r="J679" s="37"/>
      <c r="K679" s="68"/>
      <c r="L679" s="68"/>
      <c r="M679" s="71"/>
      <c r="N679" s="63"/>
      <c r="O679" s="63"/>
      <c r="P679" s="63"/>
      <c r="Q679" s="63"/>
      <c r="R679" s="41"/>
      <c r="S679" s="41"/>
      <c r="T679" s="63"/>
      <c r="U679" s="63"/>
      <c r="V679" s="63"/>
      <c r="W679" s="39"/>
      <c r="X679" s="41"/>
      <c r="Y679" s="44"/>
      <c r="Z679" s="57"/>
      <c r="AA679" s="57"/>
      <c r="AB679" s="41"/>
      <c r="AC679" s="57"/>
      <c r="AD679" s="46"/>
      <c r="AE679" s="46"/>
      <c r="AF679" s="47"/>
      <c r="AG679" s="46"/>
      <c r="AH679" s="46"/>
      <c r="AI679" s="46"/>
      <c r="AJ679" s="46"/>
      <c r="AK679" s="46"/>
      <c r="AL679" s="46"/>
      <c r="AM679" s="46"/>
      <c r="AN679" s="46"/>
      <c r="AO679" s="46"/>
    </row>
    <row r="680" customFormat="false" ht="15.75" hidden="false" customHeight="true" outlineLevel="0" collapsed="false">
      <c r="A680" s="37"/>
      <c r="B680" s="37"/>
      <c r="C680" s="59"/>
      <c r="D680" s="39"/>
      <c r="E680" s="40"/>
      <c r="F680" s="41"/>
      <c r="G680" s="37"/>
      <c r="H680" s="37"/>
      <c r="I680" s="37"/>
      <c r="J680" s="37"/>
      <c r="K680" s="68"/>
      <c r="L680" s="68"/>
      <c r="M680" s="71"/>
      <c r="N680" s="63"/>
      <c r="O680" s="63"/>
      <c r="P680" s="63"/>
      <c r="Q680" s="63"/>
      <c r="R680" s="41"/>
      <c r="S680" s="41"/>
      <c r="T680" s="63"/>
      <c r="U680" s="63"/>
      <c r="V680" s="63"/>
      <c r="W680" s="39"/>
      <c r="X680" s="41"/>
      <c r="Y680" s="44"/>
      <c r="Z680" s="57"/>
      <c r="AA680" s="57"/>
      <c r="AB680" s="41"/>
      <c r="AC680" s="57"/>
      <c r="AD680" s="46"/>
      <c r="AE680" s="46"/>
      <c r="AF680" s="47"/>
      <c r="AG680" s="46"/>
      <c r="AH680" s="46"/>
      <c r="AI680" s="46"/>
      <c r="AJ680" s="46"/>
      <c r="AK680" s="46"/>
      <c r="AL680" s="46"/>
      <c r="AM680" s="46"/>
      <c r="AN680" s="46"/>
      <c r="AO680" s="46"/>
    </row>
    <row r="681" customFormat="false" ht="15.75" hidden="false" customHeight="true" outlineLevel="0" collapsed="false">
      <c r="A681" s="37"/>
      <c r="B681" s="37"/>
      <c r="C681" s="59"/>
      <c r="D681" s="39"/>
      <c r="E681" s="40"/>
      <c r="F681" s="41"/>
      <c r="G681" s="37"/>
      <c r="H681" s="37"/>
      <c r="I681" s="37"/>
      <c r="J681" s="37"/>
      <c r="K681" s="68"/>
      <c r="L681" s="68"/>
      <c r="M681" s="71"/>
      <c r="N681" s="63"/>
      <c r="O681" s="63"/>
      <c r="P681" s="63"/>
      <c r="Q681" s="63"/>
      <c r="R681" s="41"/>
      <c r="S681" s="41"/>
      <c r="T681" s="63"/>
      <c r="U681" s="63"/>
      <c r="V681" s="63"/>
      <c r="W681" s="39"/>
      <c r="X681" s="41"/>
      <c r="Y681" s="44"/>
      <c r="Z681" s="57"/>
      <c r="AA681" s="57"/>
      <c r="AB681" s="41"/>
      <c r="AC681" s="57"/>
      <c r="AD681" s="46"/>
      <c r="AE681" s="46"/>
      <c r="AF681" s="47"/>
      <c r="AG681" s="46"/>
      <c r="AH681" s="46"/>
      <c r="AI681" s="46"/>
      <c r="AJ681" s="46"/>
      <c r="AK681" s="46"/>
      <c r="AL681" s="46"/>
      <c r="AM681" s="46"/>
      <c r="AN681" s="46"/>
      <c r="AO681" s="46"/>
    </row>
    <row r="682" customFormat="false" ht="15.75" hidden="false" customHeight="true" outlineLevel="0" collapsed="false">
      <c r="A682" s="37"/>
      <c r="B682" s="37"/>
      <c r="C682" s="59"/>
      <c r="D682" s="39"/>
      <c r="E682" s="40"/>
      <c r="F682" s="41"/>
      <c r="G682" s="37"/>
      <c r="H682" s="37"/>
      <c r="I682" s="37"/>
      <c r="J682" s="37"/>
      <c r="K682" s="68"/>
      <c r="L682" s="68"/>
      <c r="M682" s="71"/>
      <c r="N682" s="63"/>
      <c r="O682" s="63"/>
      <c r="P682" s="63"/>
      <c r="Q682" s="63"/>
      <c r="R682" s="41"/>
      <c r="S682" s="41"/>
      <c r="T682" s="63"/>
      <c r="U682" s="63"/>
      <c r="V682" s="63"/>
      <c r="W682" s="39"/>
      <c r="X682" s="41"/>
      <c r="Y682" s="44"/>
      <c r="Z682" s="57"/>
      <c r="AA682" s="57"/>
      <c r="AB682" s="41"/>
      <c r="AC682" s="57"/>
      <c r="AD682" s="46"/>
      <c r="AE682" s="46"/>
      <c r="AF682" s="47"/>
      <c r="AG682" s="46"/>
      <c r="AH682" s="46"/>
      <c r="AI682" s="46"/>
      <c r="AJ682" s="46"/>
      <c r="AK682" s="46"/>
      <c r="AL682" s="46"/>
      <c r="AM682" s="46"/>
      <c r="AN682" s="46"/>
      <c r="AO682" s="46"/>
    </row>
    <row r="683" customFormat="false" ht="15.75" hidden="false" customHeight="true" outlineLevel="0" collapsed="false">
      <c r="A683" s="37"/>
      <c r="B683" s="37"/>
      <c r="C683" s="59"/>
      <c r="D683" s="39"/>
      <c r="E683" s="40"/>
      <c r="F683" s="41"/>
      <c r="G683" s="37"/>
      <c r="H683" s="37"/>
      <c r="I683" s="37"/>
      <c r="J683" s="37"/>
      <c r="K683" s="68"/>
      <c r="L683" s="68"/>
      <c r="M683" s="71"/>
      <c r="N683" s="63"/>
      <c r="O683" s="63"/>
      <c r="P683" s="63"/>
      <c r="Q683" s="63"/>
      <c r="R683" s="41"/>
      <c r="S683" s="41"/>
      <c r="T683" s="63"/>
      <c r="U683" s="63"/>
      <c r="V683" s="63"/>
      <c r="W683" s="39"/>
      <c r="X683" s="41"/>
      <c r="Y683" s="44"/>
      <c r="Z683" s="57"/>
      <c r="AA683" s="57"/>
      <c r="AB683" s="41"/>
      <c r="AC683" s="57"/>
      <c r="AD683" s="46"/>
      <c r="AE683" s="46"/>
      <c r="AF683" s="47"/>
      <c r="AG683" s="46"/>
      <c r="AH683" s="46"/>
      <c r="AI683" s="46"/>
      <c r="AJ683" s="46"/>
      <c r="AK683" s="46"/>
      <c r="AL683" s="46"/>
      <c r="AM683" s="46"/>
      <c r="AN683" s="46"/>
      <c r="AO683" s="46"/>
    </row>
    <row r="684" customFormat="false" ht="15.75" hidden="false" customHeight="true" outlineLevel="0" collapsed="false">
      <c r="A684" s="37"/>
      <c r="B684" s="37"/>
      <c r="C684" s="59"/>
      <c r="D684" s="39"/>
      <c r="E684" s="40"/>
      <c r="F684" s="41"/>
      <c r="G684" s="37"/>
      <c r="H684" s="37"/>
      <c r="I684" s="37"/>
      <c r="J684" s="37"/>
      <c r="K684" s="68"/>
      <c r="L684" s="68"/>
      <c r="M684" s="71"/>
      <c r="N684" s="63"/>
      <c r="O684" s="63"/>
      <c r="P684" s="63"/>
      <c r="Q684" s="63"/>
      <c r="R684" s="41"/>
      <c r="S684" s="41"/>
      <c r="T684" s="63"/>
      <c r="U684" s="63"/>
      <c r="V684" s="63"/>
      <c r="W684" s="39"/>
      <c r="X684" s="41"/>
      <c r="Y684" s="44"/>
      <c r="Z684" s="57"/>
      <c r="AA684" s="57"/>
      <c r="AB684" s="41"/>
      <c r="AC684" s="57"/>
      <c r="AD684" s="46"/>
      <c r="AE684" s="46"/>
      <c r="AF684" s="47"/>
      <c r="AG684" s="46"/>
      <c r="AH684" s="46"/>
      <c r="AI684" s="46"/>
      <c r="AJ684" s="46"/>
      <c r="AK684" s="46"/>
      <c r="AL684" s="46"/>
      <c r="AM684" s="46"/>
      <c r="AN684" s="46"/>
      <c r="AO684" s="46"/>
    </row>
    <row r="685" customFormat="false" ht="15.75" hidden="false" customHeight="true" outlineLevel="0" collapsed="false">
      <c r="A685" s="37"/>
      <c r="B685" s="37"/>
      <c r="C685" s="59"/>
      <c r="D685" s="39"/>
      <c r="E685" s="40"/>
      <c r="F685" s="41"/>
      <c r="G685" s="37"/>
      <c r="H685" s="37"/>
      <c r="I685" s="37"/>
      <c r="J685" s="37"/>
      <c r="K685" s="68"/>
      <c r="L685" s="68"/>
      <c r="M685" s="71"/>
      <c r="N685" s="63"/>
      <c r="O685" s="63"/>
      <c r="P685" s="63"/>
      <c r="Q685" s="63"/>
      <c r="R685" s="41"/>
      <c r="S685" s="41"/>
      <c r="T685" s="63"/>
      <c r="U685" s="63"/>
      <c r="V685" s="63"/>
      <c r="W685" s="39"/>
      <c r="X685" s="41"/>
      <c r="Y685" s="44"/>
      <c r="Z685" s="57"/>
      <c r="AA685" s="57"/>
      <c r="AB685" s="41"/>
      <c r="AC685" s="57"/>
      <c r="AD685" s="46"/>
      <c r="AE685" s="46"/>
      <c r="AF685" s="47"/>
      <c r="AG685" s="46"/>
      <c r="AH685" s="46"/>
      <c r="AI685" s="46"/>
      <c r="AJ685" s="46"/>
      <c r="AK685" s="46"/>
      <c r="AL685" s="46"/>
      <c r="AM685" s="46"/>
      <c r="AN685" s="46"/>
      <c r="AO685" s="46"/>
    </row>
    <row r="686" customFormat="false" ht="15.75" hidden="false" customHeight="true" outlineLevel="0" collapsed="false">
      <c r="A686" s="37"/>
      <c r="B686" s="37"/>
      <c r="C686" s="59"/>
      <c r="D686" s="39"/>
      <c r="E686" s="40"/>
      <c r="F686" s="41"/>
      <c r="G686" s="37"/>
      <c r="H686" s="37"/>
      <c r="I686" s="37"/>
      <c r="J686" s="37"/>
      <c r="K686" s="68"/>
      <c r="L686" s="68"/>
      <c r="M686" s="71"/>
      <c r="N686" s="63"/>
      <c r="O686" s="63"/>
      <c r="P686" s="63"/>
      <c r="Q686" s="63"/>
      <c r="R686" s="41"/>
      <c r="S686" s="41"/>
      <c r="T686" s="63"/>
      <c r="U686" s="63"/>
      <c r="V686" s="63"/>
      <c r="W686" s="39"/>
      <c r="X686" s="41"/>
      <c r="Y686" s="44"/>
      <c r="Z686" s="57"/>
      <c r="AA686" s="57"/>
      <c r="AB686" s="41"/>
      <c r="AC686" s="57"/>
      <c r="AD686" s="46"/>
      <c r="AE686" s="46"/>
      <c r="AF686" s="47"/>
      <c r="AG686" s="46"/>
      <c r="AH686" s="46"/>
      <c r="AI686" s="46"/>
      <c r="AJ686" s="46"/>
      <c r="AK686" s="46"/>
      <c r="AL686" s="46"/>
      <c r="AM686" s="46"/>
      <c r="AN686" s="46"/>
      <c r="AO686" s="46"/>
    </row>
    <row r="687" customFormat="false" ht="15.75" hidden="false" customHeight="true" outlineLevel="0" collapsed="false">
      <c r="A687" s="37"/>
      <c r="B687" s="37"/>
      <c r="C687" s="59"/>
      <c r="D687" s="39"/>
      <c r="E687" s="40"/>
      <c r="F687" s="41"/>
      <c r="G687" s="37"/>
      <c r="H687" s="37"/>
      <c r="I687" s="37"/>
      <c r="J687" s="37"/>
      <c r="K687" s="68"/>
      <c r="L687" s="68"/>
      <c r="M687" s="71"/>
      <c r="N687" s="63"/>
      <c r="O687" s="63"/>
      <c r="P687" s="63"/>
      <c r="Q687" s="63"/>
      <c r="R687" s="41"/>
      <c r="S687" s="41"/>
      <c r="T687" s="63"/>
      <c r="U687" s="63"/>
      <c r="V687" s="63"/>
      <c r="W687" s="39"/>
      <c r="X687" s="41"/>
      <c r="Y687" s="44"/>
      <c r="Z687" s="57"/>
      <c r="AA687" s="57"/>
      <c r="AB687" s="41"/>
      <c r="AC687" s="57"/>
      <c r="AD687" s="46"/>
      <c r="AE687" s="46"/>
      <c r="AF687" s="47"/>
      <c r="AG687" s="46"/>
      <c r="AH687" s="46"/>
      <c r="AI687" s="46"/>
      <c r="AJ687" s="46"/>
      <c r="AK687" s="46"/>
      <c r="AL687" s="46"/>
      <c r="AM687" s="46"/>
      <c r="AN687" s="46"/>
      <c r="AO687" s="46"/>
    </row>
    <row r="688" customFormat="false" ht="15.75" hidden="false" customHeight="true" outlineLevel="0" collapsed="false">
      <c r="A688" s="37"/>
      <c r="B688" s="37"/>
      <c r="C688" s="59"/>
      <c r="D688" s="39"/>
      <c r="E688" s="40"/>
      <c r="F688" s="41"/>
      <c r="G688" s="37"/>
      <c r="H688" s="37"/>
      <c r="I688" s="37"/>
      <c r="J688" s="37"/>
      <c r="K688" s="68"/>
      <c r="L688" s="68"/>
      <c r="M688" s="71"/>
      <c r="N688" s="63"/>
      <c r="O688" s="63"/>
      <c r="P688" s="63"/>
      <c r="Q688" s="63"/>
      <c r="R688" s="41"/>
      <c r="S688" s="41"/>
      <c r="T688" s="63"/>
      <c r="U688" s="63"/>
      <c r="V688" s="63"/>
      <c r="W688" s="39"/>
      <c r="X688" s="41"/>
      <c r="Y688" s="44"/>
      <c r="Z688" s="57"/>
      <c r="AA688" s="57"/>
      <c r="AB688" s="41"/>
      <c r="AC688" s="57"/>
      <c r="AD688" s="46"/>
      <c r="AE688" s="46"/>
      <c r="AF688" s="47"/>
      <c r="AG688" s="46"/>
      <c r="AH688" s="46"/>
      <c r="AI688" s="46"/>
      <c r="AJ688" s="46"/>
      <c r="AK688" s="46"/>
      <c r="AL688" s="46"/>
      <c r="AM688" s="46"/>
      <c r="AN688" s="46"/>
      <c r="AO688" s="46"/>
    </row>
    <row r="689" customFormat="false" ht="15.75" hidden="false" customHeight="true" outlineLevel="0" collapsed="false">
      <c r="A689" s="37"/>
      <c r="B689" s="37"/>
      <c r="C689" s="59"/>
      <c r="D689" s="39"/>
      <c r="E689" s="40"/>
      <c r="F689" s="41"/>
      <c r="G689" s="37"/>
      <c r="H689" s="37"/>
      <c r="I689" s="37"/>
      <c r="J689" s="37"/>
      <c r="K689" s="68"/>
      <c r="L689" s="68"/>
      <c r="M689" s="71"/>
      <c r="N689" s="63"/>
      <c r="O689" s="63"/>
      <c r="P689" s="63"/>
      <c r="Q689" s="63"/>
      <c r="R689" s="41"/>
      <c r="S689" s="41"/>
      <c r="T689" s="63"/>
      <c r="U689" s="63"/>
      <c r="V689" s="63"/>
      <c r="W689" s="39"/>
      <c r="X689" s="41"/>
      <c r="Y689" s="44"/>
      <c r="Z689" s="57"/>
      <c r="AA689" s="57"/>
      <c r="AB689" s="41"/>
      <c r="AC689" s="57"/>
      <c r="AD689" s="46"/>
      <c r="AE689" s="46"/>
      <c r="AF689" s="47"/>
      <c r="AG689" s="46"/>
      <c r="AH689" s="46"/>
      <c r="AI689" s="46"/>
      <c r="AJ689" s="46"/>
      <c r="AK689" s="46"/>
      <c r="AL689" s="46"/>
      <c r="AM689" s="46"/>
      <c r="AN689" s="46"/>
      <c r="AO689" s="46"/>
    </row>
    <row r="690" customFormat="false" ht="15.75" hidden="false" customHeight="true" outlineLevel="0" collapsed="false">
      <c r="A690" s="37"/>
      <c r="B690" s="37"/>
      <c r="C690" s="59"/>
      <c r="D690" s="39"/>
      <c r="E690" s="40"/>
      <c r="F690" s="41"/>
      <c r="G690" s="37"/>
      <c r="H690" s="37"/>
      <c r="I690" s="37"/>
      <c r="J690" s="37"/>
      <c r="K690" s="68"/>
      <c r="L690" s="68"/>
      <c r="M690" s="71"/>
      <c r="N690" s="63"/>
      <c r="O690" s="63"/>
      <c r="P690" s="63"/>
      <c r="Q690" s="63"/>
      <c r="R690" s="41"/>
      <c r="S690" s="41"/>
      <c r="T690" s="63"/>
      <c r="U690" s="63"/>
      <c r="V690" s="63"/>
      <c r="W690" s="39"/>
      <c r="X690" s="41"/>
      <c r="Y690" s="44"/>
      <c r="Z690" s="57"/>
      <c r="AA690" s="57"/>
      <c r="AB690" s="41"/>
      <c r="AC690" s="57"/>
      <c r="AD690" s="46"/>
      <c r="AE690" s="46"/>
      <c r="AF690" s="47"/>
      <c r="AG690" s="46"/>
      <c r="AH690" s="46"/>
      <c r="AI690" s="46"/>
      <c r="AJ690" s="46"/>
      <c r="AK690" s="46"/>
      <c r="AL690" s="46"/>
      <c r="AM690" s="46"/>
      <c r="AN690" s="46"/>
      <c r="AO690" s="46"/>
    </row>
    <row r="691" customFormat="false" ht="15.75" hidden="false" customHeight="true" outlineLevel="0" collapsed="false">
      <c r="A691" s="37"/>
      <c r="B691" s="37"/>
      <c r="C691" s="59"/>
      <c r="D691" s="39"/>
      <c r="E691" s="40"/>
      <c r="F691" s="41"/>
      <c r="G691" s="37"/>
      <c r="H691" s="37"/>
      <c r="I691" s="37"/>
      <c r="J691" s="37"/>
      <c r="K691" s="68"/>
      <c r="L691" s="68"/>
      <c r="M691" s="71"/>
      <c r="N691" s="63"/>
      <c r="O691" s="63"/>
      <c r="P691" s="63"/>
      <c r="Q691" s="63"/>
      <c r="R691" s="41"/>
      <c r="S691" s="41"/>
      <c r="T691" s="63"/>
      <c r="U691" s="63"/>
      <c r="V691" s="63"/>
      <c r="W691" s="39"/>
      <c r="X691" s="41"/>
      <c r="Y691" s="44"/>
      <c r="Z691" s="57"/>
      <c r="AA691" s="57"/>
      <c r="AB691" s="41"/>
      <c r="AC691" s="57"/>
      <c r="AD691" s="46"/>
      <c r="AE691" s="46"/>
      <c r="AF691" s="47"/>
      <c r="AG691" s="46"/>
      <c r="AH691" s="46"/>
      <c r="AI691" s="46"/>
      <c r="AJ691" s="46"/>
      <c r="AK691" s="46"/>
      <c r="AL691" s="46"/>
      <c r="AM691" s="46"/>
      <c r="AN691" s="46"/>
      <c r="AO691" s="46"/>
    </row>
    <row r="692" customFormat="false" ht="15.75" hidden="false" customHeight="true" outlineLevel="0" collapsed="false">
      <c r="A692" s="37"/>
      <c r="B692" s="37"/>
      <c r="C692" s="59"/>
      <c r="D692" s="39"/>
      <c r="E692" s="40"/>
      <c r="F692" s="41"/>
      <c r="G692" s="37"/>
      <c r="H692" s="37"/>
      <c r="I692" s="37"/>
      <c r="J692" s="37"/>
      <c r="K692" s="68"/>
      <c r="L692" s="68"/>
      <c r="M692" s="71"/>
      <c r="N692" s="63"/>
      <c r="O692" s="63"/>
      <c r="P692" s="63"/>
      <c r="Q692" s="63"/>
      <c r="R692" s="41"/>
      <c r="S692" s="41"/>
      <c r="T692" s="63"/>
      <c r="U692" s="63"/>
      <c r="V692" s="63"/>
      <c r="W692" s="39"/>
      <c r="X692" s="41"/>
      <c r="Y692" s="44"/>
      <c r="Z692" s="57"/>
      <c r="AA692" s="57"/>
      <c r="AB692" s="41"/>
      <c r="AC692" s="57"/>
      <c r="AD692" s="46"/>
      <c r="AE692" s="46"/>
      <c r="AF692" s="47"/>
      <c r="AG692" s="46"/>
      <c r="AH692" s="46"/>
      <c r="AI692" s="46"/>
      <c r="AJ692" s="46"/>
      <c r="AK692" s="46"/>
      <c r="AL692" s="46"/>
      <c r="AM692" s="46"/>
      <c r="AN692" s="46"/>
      <c r="AO692" s="46"/>
    </row>
    <row r="693" customFormat="false" ht="15.75" hidden="false" customHeight="true" outlineLevel="0" collapsed="false">
      <c r="A693" s="37"/>
      <c r="B693" s="37"/>
      <c r="C693" s="59"/>
      <c r="D693" s="39"/>
      <c r="E693" s="40"/>
      <c r="F693" s="41"/>
      <c r="G693" s="37"/>
      <c r="H693" s="37"/>
      <c r="I693" s="37"/>
      <c r="J693" s="37"/>
      <c r="K693" s="68"/>
      <c r="L693" s="68"/>
      <c r="M693" s="71"/>
      <c r="N693" s="63"/>
      <c r="O693" s="63"/>
      <c r="P693" s="63"/>
      <c r="Q693" s="63"/>
      <c r="R693" s="41"/>
      <c r="S693" s="41"/>
      <c r="T693" s="63"/>
      <c r="U693" s="63"/>
      <c r="V693" s="63"/>
      <c r="W693" s="39"/>
      <c r="X693" s="41"/>
      <c r="Y693" s="44"/>
      <c r="Z693" s="57"/>
      <c r="AA693" s="57"/>
      <c r="AB693" s="41"/>
      <c r="AC693" s="57"/>
      <c r="AD693" s="46"/>
      <c r="AE693" s="46"/>
      <c r="AF693" s="47"/>
      <c r="AG693" s="46"/>
      <c r="AH693" s="46"/>
      <c r="AI693" s="46"/>
      <c r="AJ693" s="46"/>
      <c r="AK693" s="46"/>
      <c r="AL693" s="46"/>
      <c r="AM693" s="46"/>
      <c r="AN693" s="46"/>
      <c r="AO693" s="46"/>
    </row>
    <row r="694" customFormat="false" ht="15.75" hidden="false" customHeight="true" outlineLevel="0" collapsed="false">
      <c r="A694" s="37"/>
      <c r="B694" s="37"/>
      <c r="C694" s="59"/>
      <c r="D694" s="39"/>
      <c r="E694" s="40"/>
      <c r="F694" s="41"/>
      <c r="G694" s="37"/>
      <c r="H694" s="37"/>
      <c r="I694" s="37"/>
      <c r="J694" s="37"/>
      <c r="K694" s="68"/>
      <c r="L694" s="68"/>
      <c r="M694" s="71"/>
      <c r="N694" s="63"/>
      <c r="O694" s="63"/>
      <c r="P694" s="63"/>
      <c r="Q694" s="63"/>
      <c r="R694" s="41"/>
      <c r="S694" s="41"/>
      <c r="T694" s="63"/>
      <c r="U694" s="63"/>
      <c r="V694" s="63"/>
      <c r="W694" s="39"/>
      <c r="X694" s="41"/>
      <c r="Y694" s="44"/>
      <c r="Z694" s="57"/>
      <c r="AA694" s="57"/>
      <c r="AB694" s="41"/>
      <c r="AC694" s="57"/>
      <c r="AD694" s="46"/>
      <c r="AE694" s="46"/>
      <c r="AF694" s="47"/>
      <c r="AG694" s="46"/>
      <c r="AH694" s="46"/>
      <c r="AI694" s="46"/>
      <c r="AJ694" s="46"/>
      <c r="AK694" s="46"/>
      <c r="AL694" s="46"/>
      <c r="AM694" s="46"/>
      <c r="AN694" s="46"/>
      <c r="AO694" s="46"/>
    </row>
    <row r="695" customFormat="false" ht="15.75" hidden="false" customHeight="true" outlineLevel="0" collapsed="false">
      <c r="A695" s="37"/>
      <c r="B695" s="37"/>
      <c r="C695" s="59"/>
      <c r="D695" s="39"/>
      <c r="E695" s="40"/>
      <c r="F695" s="41"/>
      <c r="G695" s="37"/>
      <c r="H695" s="37"/>
      <c r="I695" s="37"/>
      <c r="J695" s="37"/>
      <c r="K695" s="68"/>
      <c r="L695" s="68"/>
      <c r="M695" s="71"/>
      <c r="N695" s="63"/>
      <c r="O695" s="63"/>
      <c r="P695" s="63"/>
      <c r="Q695" s="63"/>
      <c r="R695" s="41"/>
      <c r="S695" s="41"/>
      <c r="T695" s="63"/>
      <c r="U695" s="63"/>
      <c r="V695" s="63"/>
      <c r="W695" s="39"/>
      <c r="X695" s="41"/>
      <c r="Y695" s="44"/>
      <c r="Z695" s="57"/>
      <c r="AA695" s="57"/>
      <c r="AB695" s="41"/>
      <c r="AC695" s="57"/>
      <c r="AD695" s="46"/>
      <c r="AE695" s="46"/>
      <c r="AF695" s="47"/>
      <c r="AG695" s="46"/>
      <c r="AH695" s="46"/>
      <c r="AI695" s="46"/>
      <c r="AJ695" s="46"/>
      <c r="AK695" s="46"/>
      <c r="AL695" s="46"/>
      <c r="AM695" s="46"/>
      <c r="AN695" s="46"/>
      <c r="AO695" s="46"/>
    </row>
    <row r="696" customFormat="false" ht="15.75" hidden="false" customHeight="true" outlineLevel="0" collapsed="false">
      <c r="A696" s="37"/>
      <c r="B696" s="37"/>
      <c r="C696" s="59"/>
      <c r="D696" s="39"/>
      <c r="E696" s="40"/>
      <c r="F696" s="41"/>
      <c r="G696" s="37"/>
      <c r="H696" s="37"/>
      <c r="I696" s="37"/>
      <c r="J696" s="37"/>
      <c r="K696" s="68"/>
      <c r="L696" s="68"/>
      <c r="M696" s="71"/>
      <c r="N696" s="63"/>
      <c r="O696" s="63"/>
      <c r="P696" s="63"/>
      <c r="Q696" s="63"/>
      <c r="R696" s="41"/>
      <c r="S696" s="41"/>
      <c r="T696" s="63"/>
      <c r="U696" s="63"/>
      <c r="V696" s="63"/>
      <c r="W696" s="39"/>
      <c r="X696" s="41"/>
      <c r="Y696" s="44"/>
      <c r="Z696" s="57"/>
      <c r="AA696" s="57"/>
      <c r="AB696" s="41"/>
      <c r="AC696" s="57"/>
      <c r="AD696" s="46"/>
      <c r="AE696" s="46"/>
      <c r="AF696" s="47"/>
      <c r="AG696" s="46"/>
      <c r="AH696" s="46"/>
      <c r="AI696" s="46"/>
      <c r="AJ696" s="46"/>
      <c r="AK696" s="46"/>
      <c r="AL696" s="46"/>
      <c r="AM696" s="46"/>
      <c r="AN696" s="46"/>
      <c r="AO696" s="46"/>
    </row>
    <row r="697" customFormat="false" ht="15.75" hidden="false" customHeight="true" outlineLevel="0" collapsed="false">
      <c r="A697" s="37"/>
      <c r="B697" s="37"/>
      <c r="C697" s="59"/>
      <c r="D697" s="39"/>
      <c r="E697" s="40"/>
      <c r="F697" s="41"/>
      <c r="G697" s="37"/>
      <c r="H697" s="37"/>
      <c r="I697" s="37"/>
      <c r="J697" s="37"/>
      <c r="K697" s="68"/>
      <c r="L697" s="68"/>
      <c r="M697" s="71"/>
      <c r="N697" s="63"/>
      <c r="O697" s="63"/>
      <c r="P697" s="63"/>
      <c r="Q697" s="63"/>
      <c r="R697" s="41"/>
      <c r="S697" s="41"/>
      <c r="T697" s="63"/>
      <c r="U697" s="63"/>
      <c r="V697" s="63"/>
      <c r="W697" s="39"/>
      <c r="X697" s="41"/>
      <c r="Y697" s="44"/>
      <c r="Z697" s="57"/>
      <c r="AA697" s="57"/>
      <c r="AB697" s="41"/>
      <c r="AC697" s="57"/>
      <c r="AD697" s="46"/>
      <c r="AE697" s="46"/>
      <c r="AF697" s="47"/>
      <c r="AG697" s="46"/>
      <c r="AH697" s="46"/>
      <c r="AI697" s="46"/>
      <c r="AJ697" s="46"/>
      <c r="AK697" s="46"/>
      <c r="AL697" s="46"/>
      <c r="AM697" s="46"/>
      <c r="AN697" s="46"/>
      <c r="AO697" s="46"/>
    </row>
    <row r="698" customFormat="false" ht="15.75" hidden="false" customHeight="true" outlineLevel="0" collapsed="false">
      <c r="A698" s="37"/>
      <c r="B698" s="37"/>
      <c r="C698" s="59"/>
      <c r="D698" s="39"/>
      <c r="E698" s="40"/>
      <c r="F698" s="41"/>
      <c r="G698" s="37"/>
      <c r="H698" s="37"/>
      <c r="I698" s="37"/>
      <c r="J698" s="37"/>
      <c r="K698" s="68"/>
      <c r="L698" s="68"/>
      <c r="M698" s="71"/>
      <c r="N698" s="63"/>
      <c r="O698" s="63"/>
      <c r="P698" s="63"/>
      <c r="Q698" s="63"/>
      <c r="R698" s="41"/>
      <c r="S698" s="41"/>
      <c r="T698" s="63"/>
      <c r="U698" s="63"/>
      <c r="V698" s="63"/>
      <c r="W698" s="39"/>
      <c r="X698" s="41"/>
      <c r="Y698" s="44"/>
      <c r="Z698" s="57"/>
      <c r="AA698" s="57"/>
      <c r="AB698" s="41"/>
      <c r="AC698" s="57"/>
      <c r="AD698" s="46"/>
      <c r="AE698" s="46"/>
      <c r="AF698" s="47"/>
      <c r="AG698" s="46"/>
      <c r="AH698" s="46"/>
      <c r="AI698" s="46"/>
      <c r="AJ698" s="46"/>
      <c r="AK698" s="46"/>
      <c r="AL698" s="46"/>
      <c r="AM698" s="46"/>
      <c r="AN698" s="46"/>
      <c r="AO698" s="46"/>
    </row>
    <row r="699" customFormat="false" ht="15.75" hidden="false" customHeight="true" outlineLevel="0" collapsed="false">
      <c r="A699" s="37"/>
      <c r="B699" s="37"/>
      <c r="C699" s="59"/>
      <c r="D699" s="39"/>
      <c r="E699" s="40"/>
      <c r="F699" s="41"/>
      <c r="G699" s="37"/>
      <c r="H699" s="37"/>
      <c r="I699" s="37"/>
      <c r="J699" s="37"/>
      <c r="K699" s="68"/>
      <c r="L699" s="68"/>
      <c r="M699" s="71"/>
      <c r="N699" s="63"/>
      <c r="O699" s="63"/>
      <c r="P699" s="63"/>
      <c r="Q699" s="63"/>
      <c r="R699" s="41"/>
      <c r="S699" s="41"/>
      <c r="T699" s="63"/>
      <c r="U699" s="63"/>
      <c r="V699" s="63"/>
      <c r="W699" s="39"/>
      <c r="X699" s="41"/>
      <c r="Y699" s="44"/>
      <c r="Z699" s="57"/>
      <c r="AA699" s="57"/>
      <c r="AB699" s="41"/>
      <c r="AC699" s="57"/>
      <c r="AD699" s="46"/>
      <c r="AE699" s="46"/>
      <c r="AF699" s="47"/>
      <c r="AG699" s="46"/>
      <c r="AH699" s="46"/>
      <c r="AI699" s="46"/>
      <c r="AJ699" s="46"/>
      <c r="AK699" s="46"/>
      <c r="AL699" s="46"/>
      <c r="AM699" s="46"/>
      <c r="AN699" s="46"/>
      <c r="AO699" s="46"/>
    </row>
    <row r="700" customFormat="false" ht="15.75" hidden="false" customHeight="true" outlineLevel="0" collapsed="false">
      <c r="A700" s="37"/>
      <c r="B700" s="37"/>
      <c r="C700" s="59"/>
      <c r="D700" s="39"/>
      <c r="E700" s="40"/>
      <c r="F700" s="41"/>
      <c r="G700" s="37"/>
      <c r="H700" s="37"/>
      <c r="I700" s="37"/>
      <c r="J700" s="37"/>
      <c r="K700" s="68"/>
      <c r="L700" s="68"/>
      <c r="M700" s="71"/>
      <c r="N700" s="63"/>
      <c r="O700" s="63"/>
      <c r="P700" s="63"/>
      <c r="Q700" s="63"/>
      <c r="R700" s="41"/>
      <c r="S700" s="41"/>
      <c r="T700" s="63"/>
      <c r="U700" s="63"/>
      <c r="V700" s="63"/>
      <c r="W700" s="39"/>
      <c r="X700" s="41"/>
      <c r="Y700" s="44"/>
      <c r="Z700" s="57"/>
      <c r="AA700" s="57"/>
      <c r="AB700" s="41"/>
      <c r="AC700" s="57"/>
      <c r="AD700" s="46"/>
      <c r="AE700" s="46"/>
      <c r="AF700" s="47"/>
      <c r="AG700" s="46"/>
      <c r="AH700" s="46"/>
      <c r="AI700" s="46"/>
      <c r="AJ700" s="46"/>
      <c r="AK700" s="46"/>
      <c r="AL700" s="46"/>
      <c r="AM700" s="46"/>
      <c r="AN700" s="46"/>
      <c r="AO700" s="46"/>
    </row>
    <row r="701" customFormat="false" ht="15.75" hidden="false" customHeight="true" outlineLevel="0" collapsed="false">
      <c r="A701" s="37"/>
      <c r="B701" s="37"/>
      <c r="C701" s="59"/>
      <c r="D701" s="39"/>
      <c r="E701" s="40"/>
      <c r="F701" s="41"/>
      <c r="G701" s="37"/>
      <c r="H701" s="37"/>
      <c r="I701" s="37"/>
      <c r="J701" s="37"/>
      <c r="K701" s="68"/>
      <c r="L701" s="68"/>
      <c r="M701" s="71"/>
      <c r="N701" s="63"/>
      <c r="O701" s="63"/>
      <c r="P701" s="63"/>
      <c r="Q701" s="63"/>
      <c r="R701" s="41"/>
      <c r="S701" s="41"/>
      <c r="T701" s="63"/>
      <c r="U701" s="63"/>
      <c r="V701" s="63"/>
      <c r="W701" s="39"/>
      <c r="X701" s="41"/>
      <c r="Y701" s="44"/>
      <c r="Z701" s="57"/>
      <c r="AA701" s="57"/>
      <c r="AB701" s="41"/>
      <c r="AC701" s="57"/>
      <c r="AD701" s="46"/>
      <c r="AE701" s="46"/>
      <c r="AF701" s="47"/>
      <c r="AG701" s="46"/>
      <c r="AH701" s="46"/>
      <c r="AI701" s="46"/>
      <c r="AJ701" s="46"/>
      <c r="AK701" s="46"/>
      <c r="AL701" s="46"/>
      <c r="AM701" s="46"/>
      <c r="AN701" s="46"/>
      <c r="AO701" s="46"/>
    </row>
    <row r="702" customFormat="false" ht="15.75" hidden="false" customHeight="true" outlineLevel="0" collapsed="false">
      <c r="A702" s="37"/>
      <c r="B702" s="37"/>
      <c r="C702" s="59"/>
      <c r="D702" s="39"/>
      <c r="E702" s="40"/>
      <c r="F702" s="41"/>
      <c r="G702" s="37"/>
      <c r="H702" s="37"/>
      <c r="I702" s="37"/>
      <c r="J702" s="37"/>
      <c r="K702" s="68"/>
      <c r="L702" s="68"/>
      <c r="M702" s="71"/>
      <c r="N702" s="63"/>
      <c r="O702" s="63"/>
      <c r="P702" s="63"/>
      <c r="Q702" s="63"/>
      <c r="R702" s="41"/>
      <c r="S702" s="41"/>
      <c r="T702" s="63"/>
      <c r="U702" s="63"/>
      <c r="V702" s="63"/>
      <c r="W702" s="39"/>
      <c r="X702" s="41"/>
      <c r="Y702" s="44"/>
      <c r="Z702" s="57"/>
      <c r="AA702" s="57"/>
      <c r="AB702" s="41"/>
      <c r="AC702" s="57"/>
      <c r="AD702" s="46"/>
      <c r="AE702" s="46"/>
      <c r="AF702" s="47"/>
      <c r="AG702" s="46"/>
      <c r="AH702" s="46"/>
      <c r="AI702" s="46"/>
      <c r="AJ702" s="46"/>
      <c r="AK702" s="46"/>
      <c r="AL702" s="46"/>
      <c r="AM702" s="46"/>
      <c r="AN702" s="46"/>
      <c r="AO702" s="46"/>
    </row>
    <row r="703" customFormat="false" ht="15.75" hidden="false" customHeight="true" outlineLevel="0" collapsed="false">
      <c r="A703" s="37"/>
      <c r="B703" s="37"/>
      <c r="C703" s="59"/>
      <c r="D703" s="39"/>
      <c r="E703" s="40"/>
      <c r="F703" s="41"/>
      <c r="G703" s="37"/>
      <c r="H703" s="37"/>
      <c r="I703" s="37"/>
      <c r="J703" s="37"/>
      <c r="K703" s="68"/>
      <c r="L703" s="68"/>
      <c r="M703" s="71"/>
      <c r="N703" s="63"/>
      <c r="O703" s="63"/>
      <c r="P703" s="63"/>
      <c r="Q703" s="63"/>
      <c r="R703" s="41"/>
      <c r="S703" s="41"/>
      <c r="T703" s="63"/>
      <c r="U703" s="63"/>
      <c r="V703" s="63"/>
      <c r="W703" s="39"/>
      <c r="X703" s="41"/>
      <c r="Y703" s="44"/>
      <c r="Z703" s="57"/>
      <c r="AA703" s="57"/>
      <c r="AB703" s="41"/>
      <c r="AC703" s="57"/>
      <c r="AD703" s="46"/>
      <c r="AE703" s="46"/>
      <c r="AF703" s="47"/>
      <c r="AG703" s="46"/>
      <c r="AH703" s="46"/>
      <c r="AI703" s="46"/>
      <c r="AJ703" s="46"/>
      <c r="AK703" s="46"/>
      <c r="AL703" s="46"/>
      <c r="AM703" s="46"/>
      <c r="AN703" s="46"/>
      <c r="AO703" s="46"/>
    </row>
    <row r="704" customFormat="false" ht="15.75" hidden="false" customHeight="true" outlineLevel="0" collapsed="false">
      <c r="A704" s="37"/>
      <c r="B704" s="37"/>
      <c r="C704" s="59"/>
      <c r="D704" s="39"/>
      <c r="E704" s="40"/>
      <c r="F704" s="41"/>
      <c r="G704" s="37"/>
      <c r="H704" s="37"/>
      <c r="I704" s="37"/>
      <c r="J704" s="37"/>
      <c r="K704" s="68"/>
      <c r="L704" s="68"/>
      <c r="M704" s="71"/>
      <c r="N704" s="63"/>
      <c r="O704" s="63"/>
      <c r="P704" s="63"/>
      <c r="Q704" s="63"/>
      <c r="R704" s="41"/>
      <c r="S704" s="41"/>
      <c r="T704" s="63"/>
      <c r="U704" s="63"/>
      <c r="V704" s="63"/>
      <c r="W704" s="39"/>
      <c r="X704" s="41"/>
      <c r="Y704" s="44"/>
      <c r="Z704" s="57"/>
      <c r="AA704" s="57"/>
      <c r="AB704" s="41"/>
      <c r="AC704" s="57"/>
      <c r="AD704" s="46"/>
      <c r="AE704" s="46"/>
      <c r="AF704" s="47"/>
      <c r="AG704" s="46"/>
      <c r="AH704" s="46"/>
      <c r="AI704" s="46"/>
      <c r="AJ704" s="46"/>
      <c r="AK704" s="46"/>
      <c r="AL704" s="46"/>
      <c r="AM704" s="46"/>
      <c r="AN704" s="46"/>
      <c r="AO704" s="46"/>
    </row>
    <row r="705" customFormat="false" ht="15.75" hidden="false" customHeight="true" outlineLevel="0" collapsed="false">
      <c r="A705" s="37"/>
      <c r="B705" s="37"/>
      <c r="C705" s="59"/>
      <c r="D705" s="39"/>
      <c r="E705" s="40"/>
      <c r="F705" s="41"/>
      <c r="G705" s="37"/>
      <c r="H705" s="37"/>
      <c r="I705" s="37"/>
      <c r="J705" s="37"/>
      <c r="K705" s="68"/>
      <c r="L705" s="68"/>
      <c r="M705" s="71"/>
      <c r="N705" s="63"/>
      <c r="O705" s="63"/>
      <c r="P705" s="63"/>
      <c r="Q705" s="63"/>
      <c r="R705" s="41"/>
      <c r="S705" s="41"/>
      <c r="T705" s="63"/>
      <c r="U705" s="63"/>
      <c r="V705" s="63"/>
      <c r="W705" s="39"/>
      <c r="X705" s="41"/>
      <c r="Y705" s="44"/>
      <c r="Z705" s="57"/>
      <c r="AA705" s="57"/>
      <c r="AB705" s="41"/>
      <c r="AC705" s="57"/>
      <c r="AD705" s="46"/>
      <c r="AE705" s="46"/>
      <c r="AF705" s="47"/>
      <c r="AG705" s="46"/>
      <c r="AH705" s="46"/>
      <c r="AI705" s="46"/>
      <c r="AJ705" s="46"/>
      <c r="AK705" s="46"/>
      <c r="AL705" s="46"/>
      <c r="AM705" s="46"/>
      <c r="AN705" s="46"/>
      <c r="AO705" s="46"/>
    </row>
    <row r="706" customFormat="false" ht="15.75" hidden="false" customHeight="true" outlineLevel="0" collapsed="false">
      <c r="A706" s="37"/>
      <c r="B706" s="37"/>
      <c r="C706" s="59"/>
      <c r="D706" s="39"/>
      <c r="E706" s="40"/>
      <c r="F706" s="41"/>
      <c r="G706" s="37"/>
      <c r="H706" s="37"/>
      <c r="I706" s="37"/>
      <c r="J706" s="37"/>
      <c r="K706" s="68"/>
      <c r="L706" s="68"/>
      <c r="M706" s="71"/>
      <c r="N706" s="63"/>
      <c r="O706" s="63"/>
      <c r="P706" s="63"/>
      <c r="Q706" s="63"/>
      <c r="R706" s="41"/>
      <c r="S706" s="41"/>
      <c r="T706" s="63"/>
      <c r="U706" s="63"/>
      <c r="V706" s="63"/>
      <c r="W706" s="39"/>
      <c r="X706" s="41"/>
      <c r="Y706" s="44"/>
      <c r="Z706" s="57"/>
      <c r="AA706" s="57"/>
      <c r="AB706" s="41"/>
      <c r="AC706" s="57"/>
      <c r="AD706" s="46"/>
      <c r="AE706" s="46"/>
      <c r="AF706" s="47"/>
      <c r="AG706" s="46"/>
      <c r="AH706" s="46"/>
      <c r="AI706" s="46"/>
      <c r="AJ706" s="46"/>
      <c r="AK706" s="46"/>
      <c r="AL706" s="46"/>
      <c r="AM706" s="46"/>
      <c r="AN706" s="46"/>
      <c r="AO706" s="46"/>
    </row>
    <row r="707" customFormat="false" ht="15.75" hidden="false" customHeight="true" outlineLevel="0" collapsed="false">
      <c r="A707" s="37"/>
      <c r="B707" s="37"/>
      <c r="C707" s="59"/>
      <c r="D707" s="39"/>
      <c r="E707" s="40"/>
      <c r="F707" s="41"/>
      <c r="G707" s="37"/>
      <c r="H707" s="37"/>
      <c r="I707" s="37"/>
      <c r="J707" s="37"/>
      <c r="K707" s="68"/>
      <c r="L707" s="68"/>
      <c r="M707" s="71"/>
      <c r="N707" s="63"/>
      <c r="O707" s="63"/>
      <c r="P707" s="63"/>
      <c r="Q707" s="63"/>
      <c r="R707" s="41"/>
      <c r="S707" s="41"/>
      <c r="T707" s="63"/>
      <c r="U707" s="63"/>
      <c r="V707" s="63"/>
      <c r="W707" s="39"/>
      <c r="X707" s="41"/>
      <c r="Y707" s="44"/>
      <c r="Z707" s="57"/>
      <c r="AA707" s="57"/>
      <c r="AB707" s="41"/>
      <c r="AC707" s="57"/>
      <c r="AD707" s="46"/>
      <c r="AE707" s="46"/>
      <c r="AF707" s="47"/>
      <c r="AG707" s="46"/>
      <c r="AH707" s="46"/>
      <c r="AI707" s="46"/>
      <c r="AJ707" s="46"/>
      <c r="AK707" s="46"/>
      <c r="AL707" s="46"/>
      <c r="AM707" s="46"/>
      <c r="AN707" s="46"/>
      <c r="AO707" s="46"/>
    </row>
    <row r="708" customFormat="false" ht="15.75" hidden="false" customHeight="true" outlineLevel="0" collapsed="false">
      <c r="A708" s="37"/>
      <c r="B708" s="37"/>
      <c r="C708" s="59"/>
      <c r="D708" s="39"/>
      <c r="E708" s="40"/>
      <c r="F708" s="41"/>
      <c r="G708" s="37"/>
      <c r="H708" s="37"/>
      <c r="I708" s="37"/>
      <c r="J708" s="37"/>
      <c r="K708" s="68"/>
      <c r="L708" s="68"/>
      <c r="M708" s="71"/>
      <c r="N708" s="63"/>
      <c r="O708" s="63"/>
      <c r="P708" s="63"/>
      <c r="Q708" s="63"/>
      <c r="R708" s="41"/>
      <c r="S708" s="41"/>
      <c r="T708" s="63"/>
      <c r="U708" s="63"/>
      <c r="V708" s="63"/>
      <c r="W708" s="39"/>
      <c r="X708" s="41"/>
      <c r="Y708" s="44"/>
      <c r="Z708" s="57"/>
      <c r="AA708" s="57"/>
      <c r="AB708" s="41"/>
      <c r="AC708" s="57"/>
      <c r="AD708" s="46"/>
      <c r="AE708" s="46"/>
      <c r="AF708" s="47"/>
      <c r="AG708" s="46"/>
      <c r="AH708" s="46"/>
      <c r="AI708" s="46"/>
      <c r="AJ708" s="46"/>
      <c r="AK708" s="46"/>
      <c r="AL708" s="46"/>
      <c r="AM708" s="46"/>
      <c r="AN708" s="46"/>
      <c r="AO708" s="46"/>
    </row>
    <row r="709" customFormat="false" ht="15.75" hidden="false" customHeight="true" outlineLevel="0" collapsed="false">
      <c r="A709" s="37"/>
      <c r="B709" s="37"/>
      <c r="C709" s="59"/>
      <c r="D709" s="39"/>
      <c r="E709" s="40"/>
      <c r="F709" s="41"/>
      <c r="G709" s="37"/>
      <c r="H709" s="37"/>
      <c r="I709" s="37"/>
      <c r="J709" s="37"/>
      <c r="K709" s="68"/>
      <c r="L709" s="68"/>
      <c r="M709" s="71"/>
      <c r="N709" s="63"/>
      <c r="O709" s="63"/>
      <c r="P709" s="63"/>
      <c r="Q709" s="63"/>
      <c r="R709" s="41"/>
      <c r="S709" s="41"/>
      <c r="T709" s="63"/>
      <c r="U709" s="63"/>
      <c r="V709" s="63"/>
      <c r="W709" s="39"/>
      <c r="X709" s="41"/>
      <c r="Y709" s="44"/>
      <c r="Z709" s="57"/>
      <c r="AA709" s="57"/>
      <c r="AB709" s="41"/>
      <c r="AC709" s="57"/>
      <c r="AD709" s="46"/>
      <c r="AE709" s="46"/>
      <c r="AF709" s="47"/>
      <c r="AG709" s="46"/>
      <c r="AH709" s="46"/>
      <c r="AI709" s="46"/>
      <c r="AJ709" s="46"/>
      <c r="AK709" s="46"/>
      <c r="AL709" s="46"/>
      <c r="AM709" s="46"/>
      <c r="AN709" s="46"/>
      <c r="AO709" s="46"/>
    </row>
    <row r="710" customFormat="false" ht="15.75" hidden="false" customHeight="true" outlineLevel="0" collapsed="false">
      <c r="A710" s="37"/>
      <c r="B710" s="37"/>
      <c r="C710" s="59"/>
      <c r="D710" s="39"/>
      <c r="E710" s="40"/>
      <c r="F710" s="41"/>
      <c r="G710" s="37"/>
      <c r="H710" s="37"/>
      <c r="I710" s="37"/>
      <c r="J710" s="37"/>
      <c r="K710" s="68"/>
      <c r="L710" s="68"/>
      <c r="M710" s="71"/>
      <c r="N710" s="63"/>
      <c r="O710" s="63"/>
      <c r="P710" s="63"/>
      <c r="Q710" s="63"/>
      <c r="R710" s="41"/>
      <c r="S710" s="41"/>
      <c r="T710" s="63"/>
      <c r="U710" s="63"/>
      <c r="V710" s="63"/>
      <c r="W710" s="39"/>
      <c r="X710" s="41"/>
      <c r="Y710" s="44"/>
      <c r="Z710" s="57"/>
      <c r="AA710" s="57"/>
      <c r="AB710" s="41"/>
      <c r="AC710" s="57"/>
      <c r="AD710" s="46"/>
      <c r="AE710" s="46"/>
      <c r="AF710" s="47"/>
      <c r="AG710" s="46"/>
      <c r="AH710" s="46"/>
      <c r="AI710" s="46"/>
      <c r="AJ710" s="46"/>
      <c r="AK710" s="46"/>
      <c r="AL710" s="46"/>
      <c r="AM710" s="46"/>
      <c r="AN710" s="46"/>
      <c r="AO710" s="46"/>
    </row>
    <row r="711" customFormat="false" ht="15.75" hidden="false" customHeight="true" outlineLevel="0" collapsed="false">
      <c r="A711" s="37"/>
      <c r="B711" s="37"/>
      <c r="C711" s="59"/>
      <c r="D711" s="39"/>
      <c r="E711" s="40"/>
      <c r="F711" s="41"/>
      <c r="G711" s="37"/>
      <c r="H711" s="37"/>
      <c r="I711" s="37"/>
      <c r="J711" s="37"/>
      <c r="K711" s="68"/>
      <c r="L711" s="68"/>
      <c r="M711" s="71"/>
      <c r="N711" s="63"/>
      <c r="O711" s="63"/>
      <c r="P711" s="63"/>
      <c r="Q711" s="63"/>
      <c r="R711" s="41"/>
      <c r="S711" s="41"/>
      <c r="T711" s="63"/>
      <c r="U711" s="63"/>
      <c r="V711" s="63"/>
      <c r="W711" s="39"/>
      <c r="X711" s="41"/>
      <c r="Y711" s="44"/>
      <c r="Z711" s="57"/>
      <c r="AA711" s="57"/>
      <c r="AB711" s="41"/>
      <c r="AC711" s="57"/>
      <c r="AD711" s="46"/>
      <c r="AE711" s="46"/>
      <c r="AF711" s="47"/>
      <c r="AG711" s="46"/>
      <c r="AH711" s="46"/>
      <c r="AI711" s="46"/>
      <c r="AJ711" s="46"/>
      <c r="AK711" s="46"/>
      <c r="AL711" s="46"/>
      <c r="AM711" s="46"/>
      <c r="AN711" s="46"/>
      <c r="AO711" s="46"/>
    </row>
    <row r="712" customFormat="false" ht="15.75" hidden="false" customHeight="true" outlineLevel="0" collapsed="false">
      <c r="A712" s="37"/>
      <c r="B712" s="37"/>
      <c r="C712" s="59"/>
      <c r="D712" s="39"/>
      <c r="E712" s="40"/>
      <c r="F712" s="41"/>
      <c r="G712" s="37"/>
      <c r="H712" s="37"/>
      <c r="I712" s="37"/>
      <c r="J712" s="37"/>
      <c r="K712" s="68"/>
      <c r="L712" s="68"/>
      <c r="M712" s="71"/>
      <c r="N712" s="63"/>
      <c r="O712" s="63"/>
      <c r="P712" s="63"/>
      <c r="Q712" s="63"/>
      <c r="R712" s="41"/>
      <c r="S712" s="41"/>
      <c r="T712" s="63"/>
      <c r="U712" s="63"/>
      <c r="V712" s="63"/>
      <c r="W712" s="39"/>
      <c r="X712" s="41"/>
      <c r="Y712" s="44"/>
      <c r="Z712" s="57"/>
      <c r="AA712" s="57"/>
      <c r="AB712" s="41"/>
      <c r="AC712" s="57"/>
      <c r="AD712" s="46"/>
      <c r="AE712" s="46"/>
      <c r="AF712" s="47"/>
      <c r="AG712" s="46"/>
      <c r="AH712" s="46"/>
      <c r="AI712" s="46"/>
      <c r="AJ712" s="46"/>
      <c r="AK712" s="46"/>
      <c r="AL712" s="46"/>
      <c r="AM712" s="46"/>
      <c r="AN712" s="46"/>
      <c r="AO712" s="46"/>
    </row>
    <row r="713" customFormat="false" ht="15.75" hidden="false" customHeight="true" outlineLevel="0" collapsed="false">
      <c r="A713" s="37"/>
      <c r="B713" s="37"/>
      <c r="C713" s="59"/>
      <c r="D713" s="39"/>
      <c r="E713" s="40"/>
      <c r="F713" s="41"/>
      <c r="G713" s="37"/>
      <c r="H713" s="37"/>
      <c r="I713" s="37"/>
      <c r="J713" s="37"/>
      <c r="K713" s="68"/>
      <c r="L713" s="68"/>
      <c r="M713" s="71"/>
      <c r="N713" s="63"/>
      <c r="O713" s="63"/>
      <c r="P713" s="63"/>
      <c r="Q713" s="63"/>
      <c r="R713" s="41"/>
      <c r="S713" s="41"/>
      <c r="T713" s="63"/>
      <c r="U713" s="63"/>
      <c r="V713" s="63"/>
      <c r="W713" s="39"/>
      <c r="X713" s="41"/>
      <c r="Y713" s="44"/>
      <c r="Z713" s="57"/>
      <c r="AA713" s="57"/>
      <c r="AB713" s="41"/>
      <c r="AC713" s="57"/>
      <c r="AD713" s="46"/>
      <c r="AE713" s="46"/>
      <c r="AF713" s="47"/>
      <c r="AG713" s="46"/>
      <c r="AH713" s="46"/>
      <c r="AI713" s="46"/>
      <c r="AJ713" s="46"/>
      <c r="AK713" s="46"/>
      <c r="AL713" s="46"/>
      <c r="AM713" s="46"/>
      <c r="AN713" s="46"/>
      <c r="AO713" s="46"/>
    </row>
    <row r="714" customFormat="false" ht="15.75" hidden="false" customHeight="true" outlineLevel="0" collapsed="false">
      <c r="A714" s="37"/>
      <c r="B714" s="37"/>
      <c r="C714" s="59"/>
      <c r="D714" s="39"/>
      <c r="E714" s="40"/>
      <c r="F714" s="41"/>
      <c r="G714" s="37"/>
      <c r="H714" s="37"/>
      <c r="I714" s="37"/>
      <c r="J714" s="37"/>
      <c r="K714" s="68"/>
      <c r="L714" s="68"/>
      <c r="M714" s="71"/>
      <c r="N714" s="63"/>
      <c r="O714" s="63"/>
      <c r="P714" s="63"/>
      <c r="Q714" s="63"/>
      <c r="R714" s="41"/>
      <c r="S714" s="41"/>
      <c r="T714" s="63"/>
      <c r="U714" s="63"/>
      <c r="V714" s="63"/>
      <c r="W714" s="39"/>
      <c r="X714" s="41"/>
      <c r="Y714" s="44"/>
      <c r="Z714" s="57"/>
      <c r="AA714" s="57"/>
      <c r="AB714" s="41"/>
      <c r="AC714" s="57"/>
      <c r="AD714" s="46"/>
      <c r="AE714" s="46"/>
      <c r="AF714" s="47"/>
      <c r="AG714" s="46"/>
      <c r="AH714" s="46"/>
      <c r="AI714" s="46"/>
      <c r="AJ714" s="46"/>
      <c r="AK714" s="46"/>
      <c r="AL714" s="46"/>
      <c r="AM714" s="46"/>
      <c r="AN714" s="46"/>
      <c r="AO714" s="46"/>
    </row>
    <row r="715" customFormat="false" ht="15.75" hidden="false" customHeight="true" outlineLevel="0" collapsed="false">
      <c r="A715" s="37"/>
      <c r="B715" s="37"/>
      <c r="C715" s="59"/>
      <c r="D715" s="39"/>
      <c r="E715" s="40"/>
      <c r="F715" s="41"/>
      <c r="G715" s="37"/>
      <c r="H715" s="37"/>
      <c r="I715" s="37"/>
      <c r="J715" s="37"/>
      <c r="K715" s="68"/>
      <c r="L715" s="68"/>
      <c r="M715" s="71"/>
      <c r="N715" s="63"/>
      <c r="O715" s="63"/>
      <c r="P715" s="63"/>
      <c r="Q715" s="63"/>
      <c r="R715" s="41"/>
      <c r="S715" s="41"/>
      <c r="T715" s="63"/>
      <c r="U715" s="63"/>
      <c r="V715" s="63"/>
      <c r="W715" s="39"/>
      <c r="X715" s="41"/>
      <c r="Y715" s="44"/>
      <c r="Z715" s="57"/>
      <c r="AA715" s="57"/>
      <c r="AB715" s="41"/>
      <c r="AC715" s="57"/>
      <c r="AD715" s="46"/>
      <c r="AE715" s="46"/>
      <c r="AF715" s="47"/>
      <c r="AG715" s="46"/>
      <c r="AH715" s="46"/>
      <c r="AI715" s="46"/>
      <c r="AJ715" s="46"/>
      <c r="AK715" s="46"/>
      <c r="AL715" s="46"/>
      <c r="AM715" s="46"/>
      <c r="AN715" s="46"/>
      <c r="AO715" s="46"/>
    </row>
    <row r="716" customFormat="false" ht="15.75" hidden="false" customHeight="true" outlineLevel="0" collapsed="false">
      <c r="A716" s="37"/>
      <c r="B716" s="37"/>
      <c r="C716" s="59"/>
      <c r="D716" s="39"/>
      <c r="E716" s="40"/>
      <c r="F716" s="41"/>
      <c r="G716" s="37"/>
      <c r="H716" s="37"/>
      <c r="I716" s="37"/>
      <c r="J716" s="37"/>
      <c r="K716" s="68"/>
      <c r="L716" s="68"/>
      <c r="M716" s="71"/>
      <c r="N716" s="63"/>
      <c r="O716" s="63"/>
      <c r="P716" s="63"/>
      <c r="Q716" s="63"/>
      <c r="R716" s="41"/>
      <c r="S716" s="41"/>
      <c r="T716" s="63"/>
      <c r="U716" s="63"/>
      <c r="V716" s="63"/>
      <c r="W716" s="39"/>
      <c r="X716" s="41"/>
      <c r="Y716" s="44"/>
      <c r="Z716" s="57"/>
      <c r="AA716" s="57"/>
      <c r="AB716" s="41"/>
      <c r="AC716" s="57"/>
      <c r="AD716" s="46"/>
      <c r="AE716" s="46"/>
      <c r="AF716" s="47"/>
      <c r="AG716" s="46"/>
      <c r="AH716" s="46"/>
      <c r="AI716" s="46"/>
      <c r="AJ716" s="46"/>
      <c r="AK716" s="46"/>
      <c r="AL716" s="46"/>
      <c r="AM716" s="46"/>
      <c r="AN716" s="46"/>
      <c r="AO716" s="46"/>
    </row>
    <row r="717" customFormat="false" ht="15.75" hidden="false" customHeight="true" outlineLevel="0" collapsed="false">
      <c r="A717" s="37"/>
      <c r="B717" s="37"/>
      <c r="C717" s="59"/>
      <c r="D717" s="39"/>
      <c r="E717" s="40"/>
      <c r="F717" s="41"/>
      <c r="G717" s="37"/>
      <c r="H717" s="37"/>
      <c r="I717" s="37"/>
      <c r="J717" s="37"/>
      <c r="K717" s="68"/>
      <c r="L717" s="68"/>
      <c r="M717" s="71"/>
      <c r="N717" s="63"/>
      <c r="O717" s="63"/>
      <c r="P717" s="63"/>
      <c r="Q717" s="63"/>
      <c r="R717" s="41"/>
      <c r="S717" s="41"/>
      <c r="T717" s="63"/>
      <c r="U717" s="63"/>
      <c r="V717" s="63"/>
      <c r="W717" s="39"/>
      <c r="X717" s="41"/>
      <c r="Y717" s="44"/>
      <c r="Z717" s="57"/>
      <c r="AA717" s="57"/>
      <c r="AB717" s="41"/>
      <c r="AC717" s="57"/>
      <c r="AD717" s="46"/>
      <c r="AE717" s="46"/>
      <c r="AF717" s="47"/>
      <c r="AG717" s="46"/>
      <c r="AH717" s="46"/>
      <c r="AI717" s="46"/>
      <c r="AJ717" s="46"/>
      <c r="AK717" s="46"/>
      <c r="AL717" s="46"/>
      <c r="AM717" s="46"/>
      <c r="AN717" s="46"/>
      <c r="AO717" s="46"/>
    </row>
    <row r="718" customFormat="false" ht="15.75" hidden="false" customHeight="true" outlineLevel="0" collapsed="false">
      <c r="A718" s="37"/>
      <c r="B718" s="37"/>
      <c r="C718" s="59"/>
      <c r="D718" s="39"/>
      <c r="E718" s="40"/>
      <c r="F718" s="41"/>
      <c r="G718" s="37"/>
      <c r="H718" s="37"/>
      <c r="I718" s="37"/>
      <c r="J718" s="37"/>
      <c r="K718" s="68"/>
      <c r="L718" s="68"/>
      <c r="M718" s="71"/>
      <c r="N718" s="63"/>
      <c r="O718" s="63"/>
      <c r="P718" s="63"/>
      <c r="Q718" s="63"/>
      <c r="R718" s="41"/>
      <c r="S718" s="41"/>
      <c r="T718" s="63"/>
      <c r="U718" s="63"/>
      <c r="V718" s="63"/>
      <c r="W718" s="39"/>
      <c r="X718" s="41"/>
      <c r="Y718" s="44"/>
      <c r="Z718" s="57"/>
      <c r="AA718" s="57"/>
      <c r="AB718" s="41"/>
      <c r="AC718" s="57"/>
      <c r="AD718" s="46"/>
      <c r="AE718" s="46"/>
      <c r="AF718" s="47"/>
      <c r="AG718" s="46"/>
      <c r="AH718" s="46"/>
      <c r="AI718" s="46"/>
      <c r="AJ718" s="46"/>
      <c r="AK718" s="46"/>
      <c r="AL718" s="46"/>
      <c r="AM718" s="46"/>
      <c r="AN718" s="46"/>
      <c r="AO718" s="46"/>
    </row>
    <row r="719" customFormat="false" ht="15.75" hidden="false" customHeight="true" outlineLevel="0" collapsed="false">
      <c r="A719" s="37"/>
      <c r="B719" s="37"/>
      <c r="C719" s="59"/>
      <c r="D719" s="39"/>
      <c r="E719" s="40"/>
      <c r="F719" s="41"/>
      <c r="G719" s="37"/>
      <c r="H719" s="37"/>
      <c r="I719" s="37"/>
      <c r="J719" s="37"/>
      <c r="K719" s="68"/>
      <c r="L719" s="68"/>
      <c r="M719" s="71"/>
      <c r="N719" s="63"/>
      <c r="O719" s="63"/>
      <c r="P719" s="63"/>
      <c r="Q719" s="63"/>
      <c r="R719" s="41"/>
      <c r="S719" s="41"/>
      <c r="T719" s="63"/>
      <c r="U719" s="63"/>
      <c r="V719" s="63"/>
      <c r="W719" s="39"/>
      <c r="X719" s="41"/>
      <c r="Y719" s="44"/>
      <c r="Z719" s="57"/>
      <c r="AA719" s="57"/>
      <c r="AB719" s="41"/>
      <c r="AC719" s="57"/>
      <c r="AD719" s="46"/>
      <c r="AE719" s="46"/>
      <c r="AF719" s="47"/>
      <c r="AG719" s="46"/>
      <c r="AH719" s="46"/>
      <c r="AI719" s="46"/>
      <c r="AJ719" s="46"/>
      <c r="AK719" s="46"/>
      <c r="AL719" s="46"/>
      <c r="AM719" s="46"/>
      <c r="AN719" s="46"/>
      <c r="AO719" s="46"/>
    </row>
    <row r="720" customFormat="false" ht="15.75" hidden="false" customHeight="true" outlineLevel="0" collapsed="false">
      <c r="A720" s="37"/>
      <c r="B720" s="37"/>
      <c r="C720" s="59"/>
      <c r="D720" s="39"/>
      <c r="E720" s="40"/>
      <c r="F720" s="41"/>
      <c r="G720" s="37"/>
      <c r="H720" s="37"/>
      <c r="I720" s="37"/>
      <c r="J720" s="37"/>
      <c r="K720" s="68"/>
      <c r="L720" s="68"/>
      <c r="M720" s="71"/>
      <c r="N720" s="63"/>
      <c r="O720" s="63"/>
      <c r="P720" s="63"/>
      <c r="Q720" s="63"/>
      <c r="R720" s="41"/>
      <c r="S720" s="41"/>
      <c r="T720" s="63"/>
      <c r="U720" s="63"/>
      <c r="V720" s="63"/>
      <c r="W720" s="39"/>
      <c r="X720" s="41"/>
      <c r="Y720" s="44"/>
      <c r="Z720" s="57"/>
      <c r="AA720" s="57"/>
      <c r="AB720" s="41"/>
      <c r="AC720" s="57"/>
      <c r="AD720" s="46"/>
      <c r="AE720" s="46"/>
      <c r="AF720" s="47"/>
      <c r="AG720" s="46"/>
      <c r="AH720" s="46"/>
      <c r="AI720" s="46"/>
      <c r="AJ720" s="46"/>
      <c r="AK720" s="46"/>
      <c r="AL720" s="46"/>
      <c r="AM720" s="46"/>
      <c r="AN720" s="46"/>
      <c r="AO720" s="46"/>
    </row>
    <row r="721" customFormat="false" ht="15.75" hidden="false" customHeight="true" outlineLevel="0" collapsed="false">
      <c r="A721" s="37"/>
      <c r="B721" s="37"/>
      <c r="C721" s="59"/>
      <c r="D721" s="39"/>
      <c r="E721" s="40"/>
      <c r="F721" s="41"/>
      <c r="G721" s="37"/>
      <c r="H721" s="37"/>
      <c r="I721" s="37"/>
      <c r="J721" s="37"/>
      <c r="K721" s="68"/>
      <c r="L721" s="68"/>
      <c r="M721" s="71"/>
      <c r="N721" s="63"/>
      <c r="O721" s="63"/>
      <c r="P721" s="63"/>
      <c r="Q721" s="63"/>
      <c r="R721" s="41"/>
      <c r="S721" s="41"/>
      <c r="T721" s="63"/>
      <c r="U721" s="63"/>
      <c r="V721" s="63"/>
      <c r="W721" s="39"/>
      <c r="X721" s="41"/>
      <c r="Y721" s="44"/>
      <c r="Z721" s="57"/>
      <c r="AA721" s="57"/>
      <c r="AB721" s="41"/>
      <c r="AC721" s="57"/>
      <c r="AD721" s="46"/>
      <c r="AE721" s="46"/>
      <c r="AF721" s="47"/>
      <c r="AG721" s="46"/>
      <c r="AH721" s="46"/>
      <c r="AI721" s="46"/>
      <c r="AJ721" s="46"/>
      <c r="AK721" s="46"/>
      <c r="AL721" s="46"/>
      <c r="AM721" s="46"/>
      <c r="AN721" s="46"/>
      <c r="AO721" s="46"/>
    </row>
    <row r="722" customFormat="false" ht="15.75" hidden="false" customHeight="true" outlineLevel="0" collapsed="false">
      <c r="A722" s="37"/>
      <c r="B722" s="37"/>
      <c r="C722" s="59"/>
      <c r="D722" s="39"/>
      <c r="E722" s="40"/>
      <c r="F722" s="41"/>
      <c r="G722" s="37"/>
      <c r="H722" s="37"/>
      <c r="I722" s="37"/>
      <c r="J722" s="37"/>
      <c r="K722" s="68"/>
      <c r="L722" s="68"/>
      <c r="M722" s="71"/>
      <c r="N722" s="63"/>
      <c r="O722" s="63"/>
      <c r="P722" s="63"/>
      <c r="Q722" s="63"/>
      <c r="R722" s="41"/>
      <c r="S722" s="41"/>
      <c r="T722" s="63"/>
      <c r="U722" s="63"/>
      <c r="V722" s="63"/>
      <c r="W722" s="39"/>
      <c r="X722" s="41"/>
      <c r="Y722" s="44"/>
      <c r="Z722" s="57"/>
      <c r="AA722" s="57"/>
      <c r="AB722" s="41"/>
      <c r="AC722" s="57"/>
      <c r="AD722" s="46"/>
      <c r="AE722" s="46"/>
      <c r="AF722" s="47"/>
      <c r="AG722" s="46"/>
      <c r="AH722" s="46"/>
      <c r="AI722" s="46"/>
      <c r="AJ722" s="46"/>
      <c r="AK722" s="46"/>
      <c r="AL722" s="46"/>
      <c r="AM722" s="46"/>
      <c r="AN722" s="46"/>
      <c r="AO722" s="46"/>
    </row>
    <row r="723" customFormat="false" ht="15.75" hidden="false" customHeight="true" outlineLevel="0" collapsed="false">
      <c r="A723" s="37"/>
      <c r="B723" s="37"/>
      <c r="C723" s="59"/>
      <c r="D723" s="39"/>
      <c r="E723" s="40"/>
      <c r="F723" s="41"/>
      <c r="G723" s="37"/>
      <c r="H723" s="37"/>
      <c r="I723" s="37"/>
      <c r="J723" s="37"/>
      <c r="K723" s="68"/>
      <c r="L723" s="68"/>
      <c r="M723" s="71"/>
      <c r="N723" s="63"/>
      <c r="O723" s="63"/>
      <c r="P723" s="63"/>
      <c r="Q723" s="63"/>
      <c r="R723" s="41"/>
      <c r="S723" s="41"/>
      <c r="T723" s="63"/>
      <c r="U723" s="63"/>
      <c r="V723" s="63"/>
      <c r="W723" s="39"/>
      <c r="X723" s="41"/>
      <c r="Y723" s="44"/>
      <c r="Z723" s="57"/>
      <c r="AA723" s="57"/>
      <c r="AB723" s="41"/>
      <c r="AC723" s="57"/>
      <c r="AD723" s="46"/>
      <c r="AE723" s="46"/>
      <c r="AF723" s="47"/>
      <c r="AG723" s="46"/>
      <c r="AH723" s="46"/>
      <c r="AI723" s="46"/>
      <c r="AJ723" s="46"/>
      <c r="AK723" s="46"/>
      <c r="AL723" s="46"/>
      <c r="AM723" s="46"/>
      <c r="AN723" s="46"/>
      <c r="AO723" s="46"/>
    </row>
    <row r="724" customFormat="false" ht="15.75" hidden="false" customHeight="true" outlineLevel="0" collapsed="false">
      <c r="A724" s="37"/>
      <c r="B724" s="37"/>
      <c r="C724" s="59"/>
      <c r="D724" s="39"/>
      <c r="E724" s="40"/>
      <c r="F724" s="41"/>
      <c r="G724" s="37"/>
      <c r="H724" s="37"/>
      <c r="I724" s="37"/>
      <c r="J724" s="37"/>
      <c r="K724" s="68"/>
      <c r="L724" s="68"/>
      <c r="M724" s="71"/>
      <c r="N724" s="63"/>
      <c r="O724" s="63"/>
      <c r="P724" s="63"/>
      <c r="Q724" s="63"/>
      <c r="R724" s="41"/>
      <c r="S724" s="41"/>
      <c r="T724" s="63"/>
      <c r="U724" s="63"/>
      <c r="V724" s="63"/>
      <c r="W724" s="39"/>
      <c r="X724" s="41"/>
      <c r="Y724" s="44"/>
      <c r="Z724" s="57"/>
      <c r="AA724" s="57"/>
      <c r="AB724" s="41"/>
      <c r="AC724" s="57"/>
      <c r="AD724" s="46"/>
      <c r="AE724" s="46"/>
      <c r="AF724" s="47"/>
      <c r="AG724" s="46"/>
      <c r="AH724" s="46"/>
      <c r="AI724" s="46"/>
      <c r="AJ724" s="46"/>
      <c r="AK724" s="46"/>
      <c r="AL724" s="46"/>
      <c r="AM724" s="46"/>
      <c r="AN724" s="46"/>
      <c r="AO724" s="46"/>
    </row>
    <row r="725" customFormat="false" ht="15.75" hidden="false" customHeight="true" outlineLevel="0" collapsed="false">
      <c r="A725" s="37"/>
      <c r="B725" s="37"/>
      <c r="C725" s="59"/>
      <c r="D725" s="39"/>
      <c r="E725" s="40"/>
      <c r="F725" s="41"/>
      <c r="G725" s="37"/>
      <c r="H725" s="37"/>
      <c r="I725" s="37"/>
      <c r="J725" s="37"/>
      <c r="K725" s="68"/>
      <c r="L725" s="68"/>
      <c r="M725" s="71"/>
      <c r="N725" s="63"/>
      <c r="O725" s="63"/>
      <c r="P725" s="63"/>
      <c r="Q725" s="63"/>
      <c r="R725" s="41"/>
      <c r="S725" s="41"/>
      <c r="T725" s="63"/>
      <c r="U725" s="63"/>
      <c r="V725" s="63"/>
      <c r="W725" s="39"/>
      <c r="X725" s="41"/>
      <c r="Y725" s="44"/>
      <c r="Z725" s="57"/>
      <c r="AA725" s="57"/>
      <c r="AB725" s="41"/>
      <c r="AC725" s="57"/>
      <c r="AD725" s="46"/>
      <c r="AE725" s="46"/>
      <c r="AF725" s="47"/>
      <c r="AG725" s="46"/>
      <c r="AH725" s="46"/>
      <c r="AI725" s="46"/>
      <c r="AJ725" s="46"/>
      <c r="AK725" s="46"/>
      <c r="AL725" s="46"/>
      <c r="AM725" s="46"/>
      <c r="AN725" s="46"/>
      <c r="AO725" s="46"/>
    </row>
    <row r="726" customFormat="false" ht="15.75" hidden="false" customHeight="true" outlineLevel="0" collapsed="false">
      <c r="A726" s="37"/>
      <c r="B726" s="37"/>
      <c r="C726" s="59"/>
      <c r="D726" s="39"/>
      <c r="E726" s="40"/>
      <c r="F726" s="41"/>
      <c r="G726" s="37"/>
      <c r="H726" s="37"/>
      <c r="I726" s="37"/>
      <c r="J726" s="37"/>
      <c r="K726" s="68"/>
      <c r="L726" s="68"/>
      <c r="M726" s="71"/>
      <c r="N726" s="63"/>
      <c r="O726" s="63"/>
      <c r="P726" s="63"/>
      <c r="Q726" s="63"/>
      <c r="R726" s="41"/>
      <c r="S726" s="41"/>
      <c r="T726" s="63"/>
      <c r="U726" s="63"/>
      <c r="V726" s="63"/>
      <c r="W726" s="39"/>
      <c r="X726" s="41"/>
      <c r="Y726" s="44"/>
      <c r="Z726" s="57"/>
      <c r="AA726" s="57"/>
      <c r="AB726" s="41"/>
      <c r="AC726" s="57"/>
      <c r="AD726" s="46"/>
      <c r="AE726" s="46"/>
      <c r="AF726" s="47"/>
      <c r="AG726" s="46"/>
      <c r="AH726" s="46"/>
      <c r="AI726" s="46"/>
      <c r="AJ726" s="46"/>
      <c r="AK726" s="46"/>
      <c r="AL726" s="46"/>
      <c r="AM726" s="46"/>
      <c r="AN726" s="46"/>
      <c r="AO726" s="46"/>
    </row>
    <row r="727" customFormat="false" ht="15.75" hidden="false" customHeight="true" outlineLevel="0" collapsed="false">
      <c r="A727" s="37"/>
      <c r="B727" s="37"/>
      <c r="C727" s="59"/>
      <c r="D727" s="39"/>
      <c r="E727" s="40"/>
      <c r="F727" s="41"/>
      <c r="G727" s="37"/>
      <c r="H727" s="37"/>
      <c r="I727" s="37"/>
      <c r="J727" s="37"/>
      <c r="K727" s="68"/>
      <c r="L727" s="68"/>
      <c r="M727" s="71"/>
      <c r="N727" s="63"/>
      <c r="O727" s="63"/>
      <c r="P727" s="63"/>
      <c r="Q727" s="63"/>
      <c r="R727" s="41"/>
      <c r="S727" s="41"/>
      <c r="T727" s="63"/>
      <c r="U727" s="63"/>
      <c r="V727" s="63"/>
      <c r="W727" s="39"/>
      <c r="X727" s="41"/>
      <c r="Y727" s="44"/>
      <c r="Z727" s="57"/>
      <c r="AA727" s="57"/>
      <c r="AB727" s="41"/>
      <c r="AC727" s="57"/>
      <c r="AD727" s="46"/>
      <c r="AE727" s="46"/>
      <c r="AF727" s="47"/>
      <c r="AG727" s="46"/>
      <c r="AH727" s="46"/>
      <c r="AI727" s="46"/>
      <c r="AJ727" s="46"/>
      <c r="AK727" s="46"/>
      <c r="AL727" s="46"/>
      <c r="AM727" s="46"/>
      <c r="AN727" s="46"/>
      <c r="AO727" s="46"/>
    </row>
    <row r="728" customFormat="false" ht="15.75" hidden="false" customHeight="true" outlineLevel="0" collapsed="false">
      <c r="A728" s="37"/>
      <c r="B728" s="37"/>
      <c r="C728" s="59"/>
      <c r="D728" s="39"/>
      <c r="E728" s="40"/>
      <c r="F728" s="41"/>
      <c r="G728" s="37"/>
      <c r="H728" s="37"/>
      <c r="I728" s="37"/>
      <c r="J728" s="37"/>
      <c r="K728" s="68"/>
      <c r="L728" s="68"/>
      <c r="M728" s="71"/>
      <c r="N728" s="63"/>
      <c r="O728" s="63"/>
      <c r="P728" s="63"/>
      <c r="Q728" s="63"/>
      <c r="R728" s="41"/>
      <c r="S728" s="41"/>
      <c r="T728" s="63"/>
      <c r="U728" s="63"/>
      <c r="V728" s="63"/>
      <c r="W728" s="39"/>
      <c r="X728" s="41"/>
      <c r="Y728" s="44"/>
      <c r="Z728" s="57"/>
      <c r="AA728" s="57"/>
      <c r="AB728" s="41"/>
      <c r="AC728" s="57"/>
      <c r="AD728" s="46"/>
      <c r="AE728" s="46"/>
      <c r="AF728" s="47"/>
      <c r="AG728" s="46"/>
      <c r="AH728" s="46"/>
      <c r="AI728" s="46"/>
      <c r="AJ728" s="46"/>
      <c r="AK728" s="46"/>
      <c r="AL728" s="46"/>
      <c r="AM728" s="46"/>
      <c r="AN728" s="46"/>
      <c r="AO728" s="46"/>
    </row>
    <row r="729" customFormat="false" ht="15.75" hidden="false" customHeight="true" outlineLevel="0" collapsed="false">
      <c r="A729" s="37"/>
      <c r="B729" s="37"/>
      <c r="C729" s="59"/>
      <c r="D729" s="39"/>
      <c r="E729" s="40"/>
      <c r="F729" s="41"/>
      <c r="G729" s="37"/>
      <c r="H729" s="37"/>
      <c r="I729" s="37"/>
      <c r="J729" s="37"/>
      <c r="K729" s="68"/>
      <c r="L729" s="68"/>
      <c r="M729" s="71"/>
      <c r="N729" s="63"/>
      <c r="O729" s="63"/>
      <c r="P729" s="63"/>
      <c r="Q729" s="63"/>
      <c r="R729" s="41"/>
      <c r="S729" s="41"/>
      <c r="T729" s="63"/>
      <c r="U729" s="63"/>
      <c r="V729" s="63"/>
      <c r="W729" s="39"/>
      <c r="X729" s="41"/>
      <c r="Y729" s="44"/>
      <c r="Z729" s="57"/>
      <c r="AA729" s="57"/>
      <c r="AB729" s="41"/>
      <c r="AC729" s="57"/>
      <c r="AD729" s="46"/>
      <c r="AE729" s="46"/>
      <c r="AF729" s="47"/>
      <c r="AG729" s="46"/>
      <c r="AH729" s="46"/>
      <c r="AI729" s="46"/>
      <c r="AJ729" s="46"/>
      <c r="AK729" s="46"/>
      <c r="AL729" s="46"/>
      <c r="AM729" s="46"/>
      <c r="AN729" s="46"/>
      <c r="AO729" s="46"/>
    </row>
    <row r="730" customFormat="false" ht="15.75" hidden="false" customHeight="true" outlineLevel="0" collapsed="false">
      <c r="A730" s="37"/>
      <c r="B730" s="37"/>
      <c r="C730" s="59"/>
      <c r="D730" s="39"/>
      <c r="E730" s="40"/>
      <c r="F730" s="41"/>
      <c r="G730" s="37"/>
      <c r="H730" s="37"/>
      <c r="I730" s="37"/>
      <c r="J730" s="37"/>
      <c r="K730" s="68"/>
      <c r="L730" s="68"/>
      <c r="M730" s="71"/>
      <c r="N730" s="63"/>
      <c r="O730" s="63"/>
      <c r="P730" s="63"/>
      <c r="Q730" s="63"/>
      <c r="R730" s="41"/>
      <c r="S730" s="41"/>
      <c r="T730" s="63"/>
      <c r="U730" s="63"/>
      <c r="V730" s="63"/>
      <c r="W730" s="39"/>
      <c r="X730" s="41"/>
      <c r="Y730" s="44"/>
      <c r="Z730" s="57"/>
      <c r="AA730" s="57"/>
      <c r="AB730" s="41"/>
      <c r="AC730" s="57"/>
      <c r="AD730" s="46"/>
      <c r="AE730" s="46"/>
      <c r="AF730" s="47"/>
      <c r="AG730" s="46"/>
      <c r="AH730" s="46"/>
      <c r="AI730" s="46"/>
      <c r="AJ730" s="46"/>
      <c r="AK730" s="46"/>
      <c r="AL730" s="46"/>
      <c r="AM730" s="46"/>
      <c r="AN730" s="46"/>
      <c r="AO730" s="46"/>
    </row>
    <row r="731" customFormat="false" ht="15.75" hidden="false" customHeight="true" outlineLevel="0" collapsed="false">
      <c r="A731" s="37"/>
      <c r="B731" s="37"/>
      <c r="C731" s="59"/>
      <c r="D731" s="39"/>
      <c r="E731" s="40"/>
      <c r="F731" s="41"/>
      <c r="G731" s="37"/>
      <c r="H731" s="37"/>
      <c r="I731" s="37"/>
      <c r="J731" s="37"/>
      <c r="K731" s="68"/>
      <c r="L731" s="68"/>
      <c r="M731" s="71"/>
      <c r="N731" s="63"/>
      <c r="O731" s="63"/>
      <c r="P731" s="63"/>
      <c r="Q731" s="63"/>
      <c r="R731" s="41"/>
      <c r="S731" s="41"/>
      <c r="T731" s="63"/>
      <c r="U731" s="63"/>
      <c r="V731" s="63"/>
      <c r="W731" s="39"/>
      <c r="X731" s="41"/>
      <c r="Y731" s="44"/>
      <c r="Z731" s="57"/>
      <c r="AA731" s="57"/>
      <c r="AB731" s="41"/>
      <c r="AC731" s="57"/>
      <c r="AD731" s="46"/>
      <c r="AE731" s="46"/>
      <c r="AF731" s="47"/>
      <c r="AG731" s="46"/>
      <c r="AH731" s="46"/>
      <c r="AI731" s="46"/>
      <c r="AJ731" s="46"/>
      <c r="AK731" s="46"/>
      <c r="AL731" s="46"/>
      <c r="AM731" s="46"/>
      <c r="AN731" s="46"/>
      <c r="AO731" s="46"/>
    </row>
    <row r="732" customFormat="false" ht="15.75" hidden="false" customHeight="true" outlineLevel="0" collapsed="false">
      <c r="A732" s="37"/>
      <c r="B732" s="37"/>
      <c r="C732" s="59"/>
      <c r="D732" s="39"/>
      <c r="E732" s="40"/>
      <c r="F732" s="41"/>
      <c r="G732" s="37"/>
      <c r="H732" s="37"/>
      <c r="I732" s="37"/>
      <c r="J732" s="37"/>
      <c r="K732" s="68"/>
      <c r="L732" s="68"/>
      <c r="M732" s="71"/>
      <c r="N732" s="63"/>
      <c r="O732" s="63"/>
      <c r="P732" s="63"/>
      <c r="Q732" s="63"/>
      <c r="R732" s="41"/>
      <c r="S732" s="41"/>
      <c r="T732" s="63"/>
      <c r="U732" s="63"/>
      <c r="V732" s="63"/>
      <c r="W732" s="39"/>
      <c r="X732" s="41"/>
      <c r="Y732" s="44"/>
      <c r="Z732" s="57"/>
      <c r="AA732" s="57"/>
      <c r="AB732" s="41"/>
      <c r="AC732" s="57"/>
      <c r="AD732" s="46"/>
      <c r="AE732" s="46"/>
      <c r="AF732" s="47"/>
      <c r="AG732" s="46"/>
      <c r="AH732" s="46"/>
      <c r="AI732" s="46"/>
      <c r="AJ732" s="46"/>
      <c r="AK732" s="46"/>
      <c r="AL732" s="46"/>
      <c r="AM732" s="46"/>
      <c r="AN732" s="46"/>
      <c r="AO732" s="46"/>
    </row>
    <row r="733" customFormat="false" ht="15.75" hidden="false" customHeight="true" outlineLevel="0" collapsed="false">
      <c r="A733" s="37"/>
      <c r="B733" s="37"/>
      <c r="C733" s="59"/>
      <c r="D733" s="39"/>
      <c r="E733" s="40"/>
      <c r="F733" s="41"/>
      <c r="G733" s="37"/>
      <c r="H733" s="37"/>
      <c r="I733" s="37"/>
      <c r="J733" s="37"/>
      <c r="K733" s="68"/>
      <c r="L733" s="68"/>
      <c r="M733" s="71"/>
      <c r="N733" s="63"/>
      <c r="O733" s="63"/>
      <c r="P733" s="63"/>
      <c r="Q733" s="63"/>
      <c r="R733" s="41"/>
      <c r="S733" s="41"/>
      <c r="T733" s="63"/>
      <c r="U733" s="63"/>
      <c r="V733" s="63"/>
      <c r="W733" s="39"/>
      <c r="X733" s="41"/>
      <c r="Y733" s="44"/>
      <c r="Z733" s="57"/>
      <c r="AA733" s="57"/>
      <c r="AB733" s="41"/>
      <c r="AC733" s="57"/>
      <c r="AD733" s="46"/>
      <c r="AE733" s="46"/>
      <c r="AF733" s="47"/>
      <c r="AG733" s="46"/>
      <c r="AH733" s="46"/>
      <c r="AI733" s="46"/>
      <c r="AJ733" s="46"/>
      <c r="AK733" s="46"/>
      <c r="AL733" s="46"/>
      <c r="AM733" s="46"/>
      <c r="AN733" s="46"/>
      <c r="AO733" s="46"/>
    </row>
    <row r="734" customFormat="false" ht="15.75" hidden="false" customHeight="true" outlineLevel="0" collapsed="false">
      <c r="A734" s="37"/>
      <c r="B734" s="37"/>
      <c r="C734" s="59"/>
      <c r="D734" s="39"/>
      <c r="E734" s="40"/>
      <c r="F734" s="41"/>
      <c r="G734" s="37"/>
      <c r="H734" s="37"/>
      <c r="I734" s="37"/>
      <c r="J734" s="37"/>
      <c r="K734" s="68"/>
      <c r="L734" s="68"/>
      <c r="M734" s="71"/>
      <c r="N734" s="63"/>
      <c r="O734" s="63"/>
      <c r="P734" s="63"/>
      <c r="Q734" s="63"/>
      <c r="R734" s="41"/>
      <c r="S734" s="41"/>
      <c r="T734" s="63"/>
      <c r="U734" s="63"/>
      <c r="V734" s="63"/>
      <c r="W734" s="39"/>
      <c r="X734" s="41"/>
      <c r="Y734" s="44"/>
      <c r="Z734" s="57"/>
      <c r="AA734" s="57"/>
      <c r="AB734" s="41"/>
      <c r="AC734" s="57"/>
      <c r="AD734" s="46"/>
      <c r="AE734" s="46"/>
      <c r="AF734" s="47"/>
      <c r="AG734" s="46"/>
      <c r="AH734" s="46"/>
      <c r="AI734" s="46"/>
      <c r="AJ734" s="46"/>
      <c r="AK734" s="46"/>
      <c r="AL734" s="46"/>
      <c r="AM734" s="46"/>
      <c r="AN734" s="46"/>
      <c r="AO734" s="46"/>
    </row>
    <row r="735" customFormat="false" ht="15.75" hidden="false" customHeight="true" outlineLevel="0" collapsed="false">
      <c r="A735" s="37"/>
      <c r="B735" s="37"/>
      <c r="C735" s="59"/>
      <c r="D735" s="39"/>
      <c r="E735" s="40"/>
      <c r="F735" s="41"/>
      <c r="G735" s="37"/>
      <c r="H735" s="37"/>
      <c r="I735" s="37"/>
      <c r="J735" s="37"/>
      <c r="K735" s="68"/>
      <c r="L735" s="68"/>
      <c r="M735" s="71"/>
      <c r="N735" s="63"/>
      <c r="O735" s="63"/>
      <c r="P735" s="63"/>
      <c r="Q735" s="63"/>
      <c r="R735" s="41"/>
      <c r="S735" s="41"/>
      <c r="T735" s="63"/>
      <c r="U735" s="63"/>
      <c r="V735" s="63"/>
      <c r="W735" s="39"/>
      <c r="X735" s="41"/>
      <c r="Y735" s="44"/>
      <c r="Z735" s="57"/>
      <c r="AA735" s="57"/>
      <c r="AB735" s="41"/>
      <c r="AC735" s="57"/>
      <c r="AD735" s="46"/>
      <c r="AE735" s="46"/>
      <c r="AF735" s="47"/>
      <c r="AG735" s="46"/>
      <c r="AH735" s="46"/>
      <c r="AI735" s="46"/>
      <c r="AJ735" s="46"/>
      <c r="AK735" s="46"/>
      <c r="AL735" s="46"/>
      <c r="AM735" s="46"/>
      <c r="AN735" s="46"/>
      <c r="AO735" s="46"/>
    </row>
    <row r="736" customFormat="false" ht="15.75" hidden="false" customHeight="true" outlineLevel="0" collapsed="false">
      <c r="A736" s="37"/>
      <c r="B736" s="37"/>
      <c r="C736" s="59"/>
      <c r="D736" s="39"/>
      <c r="E736" s="40"/>
      <c r="F736" s="41"/>
      <c r="G736" s="37"/>
      <c r="H736" s="37"/>
      <c r="I736" s="37"/>
      <c r="J736" s="37"/>
      <c r="K736" s="68"/>
      <c r="L736" s="68"/>
      <c r="M736" s="71"/>
      <c r="N736" s="63"/>
      <c r="O736" s="63"/>
      <c r="P736" s="63"/>
      <c r="Q736" s="63"/>
      <c r="R736" s="41"/>
      <c r="S736" s="41"/>
      <c r="T736" s="63"/>
      <c r="U736" s="63"/>
      <c r="V736" s="63"/>
      <c r="W736" s="39"/>
      <c r="X736" s="41"/>
      <c r="Y736" s="44"/>
      <c r="Z736" s="57"/>
      <c r="AA736" s="57"/>
      <c r="AB736" s="41"/>
      <c r="AC736" s="57"/>
      <c r="AD736" s="46"/>
      <c r="AE736" s="46"/>
      <c r="AF736" s="47"/>
      <c r="AG736" s="46"/>
      <c r="AH736" s="46"/>
      <c r="AI736" s="46"/>
      <c r="AJ736" s="46"/>
      <c r="AK736" s="46"/>
      <c r="AL736" s="46"/>
      <c r="AM736" s="46"/>
      <c r="AN736" s="46"/>
      <c r="AO736" s="46"/>
    </row>
    <row r="737" customFormat="false" ht="15.75" hidden="false" customHeight="true" outlineLevel="0" collapsed="false">
      <c r="A737" s="37"/>
      <c r="B737" s="37"/>
      <c r="C737" s="59"/>
      <c r="D737" s="39"/>
      <c r="E737" s="40"/>
      <c r="F737" s="41"/>
      <c r="G737" s="37"/>
      <c r="H737" s="37"/>
      <c r="I737" s="37"/>
      <c r="J737" s="37"/>
      <c r="K737" s="68"/>
      <c r="L737" s="68"/>
      <c r="M737" s="71"/>
      <c r="N737" s="63"/>
      <c r="O737" s="63"/>
      <c r="P737" s="63"/>
      <c r="Q737" s="63"/>
      <c r="R737" s="41"/>
      <c r="S737" s="41"/>
      <c r="T737" s="63"/>
      <c r="U737" s="63"/>
      <c r="V737" s="63"/>
      <c r="W737" s="39"/>
      <c r="X737" s="41"/>
      <c r="Y737" s="44"/>
      <c r="Z737" s="57"/>
      <c r="AA737" s="57"/>
      <c r="AB737" s="41"/>
      <c r="AC737" s="57"/>
      <c r="AD737" s="46"/>
      <c r="AE737" s="46"/>
      <c r="AF737" s="47"/>
      <c r="AG737" s="46"/>
      <c r="AH737" s="46"/>
      <c r="AI737" s="46"/>
      <c r="AJ737" s="46"/>
      <c r="AK737" s="46"/>
      <c r="AL737" s="46"/>
      <c r="AM737" s="46"/>
      <c r="AN737" s="46"/>
      <c r="AO737" s="46"/>
    </row>
    <row r="738" customFormat="false" ht="15.75" hidden="false" customHeight="true" outlineLevel="0" collapsed="false">
      <c r="A738" s="37"/>
      <c r="B738" s="37"/>
      <c r="C738" s="59"/>
      <c r="D738" s="39"/>
      <c r="E738" s="40"/>
      <c r="F738" s="41"/>
      <c r="G738" s="37"/>
      <c r="H738" s="37"/>
      <c r="I738" s="37"/>
      <c r="J738" s="37"/>
      <c r="K738" s="68"/>
      <c r="L738" s="68"/>
      <c r="M738" s="71"/>
      <c r="N738" s="63"/>
      <c r="O738" s="63"/>
      <c r="P738" s="63"/>
      <c r="Q738" s="63"/>
      <c r="R738" s="41"/>
      <c r="S738" s="41"/>
      <c r="T738" s="63"/>
      <c r="U738" s="63"/>
      <c r="V738" s="63"/>
      <c r="W738" s="39"/>
      <c r="X738" s="41"/>
      <c r="Y738" s="44"/>
      <c r="Z738" s="57"/>
      <c r="AA738" s="57"/>
      <c r="AB738" s="41"/>
      <c r="AC738" s="57"/>
      <c r="AD738" s="46"/>
      <c r="AE738" s="46"/>
      <c r="AF738" s="47"/>
      <c r="AG738" s="46"/>
      <c r="AH738" s="46"/>
      <c r="AI738" s="46"/>
      <c r="AJ738" s="46"/>
      <c r="AK738" s="46"/>
      <c r="AL738" s="46"/>
      <c r="AM738" s="46"/>
      <c r="AN738" s="46"/>
      <c r="AO738" s="46"/>
    </row>
    <row r="739" customFormat="false" ht="15.75" hidden="false" customHeight="true" outlineLevel="0" collapsed="false">
      <c r="A739" s="37"/>
      <c r="B739" s="37"/>
      <c r="C739" s="59"/>
      <c r="D739" s="39"/>
      <c r="E739" s="40"/>
      <c r="F739" s="41"/>
      <c r="G739" s="37"/>
      <c r="H739" s="37"/>
      <c r="I739" s="37"/>
      <c r="J739" s="37"/>
      <c r="K739" s="68"/>
      <c r="L739" s="68"/>
      <c r="M739" s="71"/>
      <c r="N739" s="63"/>
      <c r="O739" s="63"/>
      <c r="P739" s="63"/>
      <c r="Q739" s="63"/>
      <c r="R739" s="41"/>
      <c r="S739" s="41"/>
      <c r="T739" s="63"/>
      <c r="U739" s="63"/>
      <c r="V739" s="63"/>
      <c r="W739" s="39"/>
      <c r="X739" s="41"/>
      <c r="Y739" s="44"/>
      <c r="Z739" s="57"/>
      <c r="AA739" s="57"/>
      <c r="AB739" s="41"/>
      <c r="AC739" s="57"/>
      <c r="AD739" s="46"/>
      <c r="AE739" s="46"/>
      <c r="AF739" s="47"/>
      <c r="AG739" s="46"/>
      <c r="AH739" s="46"/>
      <c r="AI739" s="46"/>
      <c r="AJ739" s="46"/>
      <c r="AK739" s="46"/>
      <c r="AL739" s="46"/>
      <c r="AM739" s="46"/>
      <c r="AN739" s="46"/>
      <c r="AO739" s="46"/>
    </row>
    <row r="740" customFormat="false" ht="15.75" hidden="false" customHeight="true" outlineLevel="0" collapsed="false">
      <c r="A740" s="37"/>
      <c r="B740" s="37"/>
      <c r="C740" s="59"/>
      <c r="D740" s="39"/>
      <c r="E740" s="40"/>
      <c r="F740" s="41"/>
      <c r="G740" s="37"/>
      <c r="H740" s="37"/>
      <c r="I740" s="37"/>
      <c r="J740" s="37"/>
      <c r="K740" s="68"/>
      <c r="L740" s="68"/>
      <c r="M740" s="71"/>
      <c r="N740" s="63"/>
      <c r="O740" s="63"/>
      <c r="P740" s="63"/>
      <c r="Q740" s="63"/>
      <c r="R740" s="41"/>
      <c r="S740" s="41"/>
      <c r="T740" s="63"/>
      <c r="U740" s="63"/>
      <c r="V740" s="63"/>
      <c r="W740" s="39"/>
      <c r="X740" s="41"/>
      <c r="Y740" s="44"/>
      <c r="Z740" s="57"/>
      <c r="AA740" s="57"/>
      <c r="AB740" s="41"/>
      <c r="AC740" s="57"/>
      <c r="AD740" s="46"/>
      <c r="AE740" s="46"/>
      <c r="AF740" s="47"/>
      <c r="AG740" s="46"/>
      <c r="AH740" s="46"/>
      <c r="AI740" s="46"/>
      <c r="AJ740" s="46"/>
      <c r="AK740" s="46"/>
      <c r="AL740" s="46"/>
      <c r="AM740" s="46"/>
      <c r="AN740" s="46"/>
      <c r="AO740" s="46"/>
    </row>
    <row r="741" customFormat="false" ht="15.75" hidden="false" customHeight="true" outlineLevel="0" collapsed="false">
      <c r="A741" s="37"/>
      <c r="B741" s="37"/>
      <c r="C741" s="59"/>
      <c r="D741" s="39"/>
      <c r="E741" s="40"/>
      <c r="F741" s="41"/>
      <c r="G741" s="37"/>
      <c r="H741" s="37"/>
      <c r="I741" s="37"/>
      <c r="J741" s="37"/>
      <c r="K741" s="68"/>
      <c r="L741" s="68"/>
      <c r="M741" s="71"/>
      <c r="N741" s="63"/>
      <c r="O741" s="63"/>
      <c r="P741" s="63"/>
      <c r="Q741" s="63"/>
      <c r="R741" s="41"/>
      <c r="S741" s="41"/>
      <c r="T741" s="63"/>
      <c r="U741" s="63"/>
      <c r="V741" s="63"/>
      <c r="W741" s="39"/>
      <c r="X741" s="41"/>
      <c r="Y741" s="44"/>
      <c r="Z741" s="57"/>
      <c r="AA741" s="57"/>
      <c r="AB741" s="41"/>
      <c r="AC741" s="57"/>
      <c r="AD741" s="46"/>
      <c r="AE741" s="46"/>
      <c r="AF741" s="47"/>
      <c r="AG741" s="46"/>
      <c r="AH741" s="46"/>
      <c r="AI741" s="46"/>
      <c r="AJ741" s="46"/>
      <c r="AK741" s="46"/>
      <c r="AL741" s="46"/>
      <c r="AM741" s="46"/>
      <c r="AN741" s="46"/>
      <c r="AO741" s="46"/>
    </row>
    <row r="742" customFormat="false" ht="15.75" hidden="false" customHeight="true" outlineLevel="0" collapsed="false">
      <c r="A742" s="37"/>
      <c r="B742" s="37"/>
      <c r="C742" s="59"/>
      <c r="D742" s="39"/>
      <c r="E742" s="40"/>
      <c r="F742" s="41"/>
      <c r="G742" s="37"/>
      <c r="H742" s="37"/>
      <c r="I742" s="37"/>
      <c r="J742" s="37"/>
      <c r="K742" s="68"/>
      <c r="L742" s="68"/>
      <c r="M742" s="71"/>
      <c r="N742" s="63"/>
      <c r="O742" s="63"/>
      <c r="P742" s="63"/>
      <c r="Q742" s="63"/>
      <c r="R742" s="41"/>
      <c r="S742" s="41"/>
      <c r="T742" s="63"/>
      <c r="U742" s="63"/>
      <c r="V742" s="63"/>
      <c r="W742" s="39"/>
      <c r="X742" s="41"/>
      <c r="Y742" s="44"/>
      <c r="Z742" s="57"/>
      <c r="AA742" s="57"/>
      <c r="AB742" s="41"/>
      <c r="AC742" s="57"/>
      <c r="AD742" s="46"/>
      <c r="AE742" s="46"/>
      <c r="AF742" s="47"/>
      <c r="AG742" s="46"/>
      <c r="AH742" s="46"/>
      <c r="AI742" s="46"/>
      <c r="AJ742" s="46"/>
      <c r="AK742" s="46"/>
      <c r="AL742" s="46"/>
      <c r="AM742" s="46"/>
      <c r="AN742" s="46"/>
      <c r="AO742" s="46"/>
    </row>
    <row r="743" customFormat="false" ht="15.75" hidden="false" customHeight="true" outlineLevel="0" collapsed="false">
      <c r="A743" s="37"/>
      <c r="B743" s="37"/>
      <c r="C743" s="59"/>
      <c r="D743" s="39"/>
      <c r="E743" s="40"/>
      <c r="F743" s="41"/>
      <c r="G743" s="37"/>
      <c r="H743" s="37"/>
      <c r="I743" s="37"/>
      <c r="J743" s="37"/>
      <c r="K743" s="68"/>
      <c r="L743" s="68"/>
      <c r="M743" s="71"/>
      <c r="N743" s="63"/>
      <c r="O743" s="63"/>
      <c r="P743" s="63"/>
      <c r="Q743" s="63"/>
      <c r="R743" s="41"/>
      <c r="S743" s="41"/>
      <c r="T743" s="63"/>
      <c r="U743" s="63"/>
      <c r="V743" s="63"/>
      <c r="W743" s="39"/>
      <c r="X743" s="41"/>
      <c r="Y743" s="44"/>
      <c r="Z743" s="57"/>
      <c r="AA743" s="57"/>
      <c r="AB743" s="41"/>
      <c r="AC743" s="57"/>
      <c r="AD743" s="46"/>
      <c r="AE743" s="46"/>
      <c r="AF743" s="47"/>
      <c r="AG743" s="46"/>
      <c r="AH743" s="46"/>
      <c r="AI743" s="46"/>
      <c r="AJ743" s="46"/>
      <c r="AK743" s="46"/>
      <c r="AL743" s="46"/>
      <c r="AM743" s="46"/>
      <c r="AN743" s="46"/>
      <c r="AO743" s="46"/>
    </row>
    <row r="744" customFormat="false" ht="15.75" hidden="false" customHeight="true" outlineLevel="0" collapsed="false">
      <c r="A744" s="37"/>
      <c r="B744" s="37"/>
      <c r="C744" s="59"/>
      <c r="D744" s="39"/>
      <c r="E744" s="40"/>
      <c r="F744" s="41"/>
      <c r="G744" s="37"/>
      <c r="H744" s="37"/>
      <c r="I744" s="37"/>
      <c r="J744" s="37"/>
      <c r="K744" s="68"/>
      <c r="L744" s="68"/>
      <c r="M744" s="71"/>
      <c r="N744" s="63"/>
      <c r="O744" s="63"/>
      <c r="P744" s="63"/>
      <c r="Q744" s="63"/>
      <c r="R744" s="41"/>
      <c r="S744" s="41"/>
      <c r="T744" s="63"/>
      <c r="U744" s="63"/>
      <c r="V744" s="63"/>
      <c r="W744" s="39"/>
      <c r="X744" s="41"/>
      <c r="Y744" s="44"/>
      <c r="Z744" s="57"/>
      <c r="AA744" s="57"/>
      <c r="AB744" s="41"/>
      <c r="AC744" s="57"/>
      <c r="AD744" s="46"/>
      <c r="AE744" s="46"/>
      <c r="AF744" s="47"/>
      <c r="AG744" s="46"/>
      <c r="AH744" s="46"/>
      <c r="AI744" s="46"/>
      <c r="AJ744" s="46"/>
      <c r="AK744" s="46"/>
      <c r="AL744" s="46"/>
      <c r="AM744" s="46"/>
      <c r="AN744" s="46"/>
      <c r="AO744" s="46"/>
    </row>
    <row r="745" customFormat="false" ht="15.75" hidden="false" customHeight="true" outlineLevel="0" collapsed="false">
      <c r="A745" s="37"/>
      <c r="B745" s="37"/>
      <c r="C745" s="59"/>
      <c r="D745" s="39"/>
      <c r="E745" s="40"/>
      <c r="F745" s="41"/>
      <c r="G745" s="37"/>
      <c r="H745" s="37"/>
      <c r="I745" s="37"/>
      <c r="J745" s="37"/>
      <c r="K745" s="68"/>
      <c r="L745" s="68"/>
      <c r="M745" s="71"/>
      <c r="N745" s="63"/>
      <c r="O745" s="63"/>
      <c r="P745" s="63"/>
      <c r="Q745" s="63"/>
      <c r="R745" s="41"/>
      <c r="S745" s="41"/>
      <c r="T745" s="63"/>
      <c r="U745" s="63"/>
      <c r="V745" s="63"/>
      <c r="W745" s="39"/>
      <c r="X745" s="41"/>
      <c r="Y745" s="44"/>
      <c r="Z745" s="57"/>
      <c r="AA745" s="57"/>
      <c r="AB745" s="41"/>
      <c r="AC745" s="57"/>
      <c r="AD745" s="46"/>
      <c r="AE745" s="46"/>
      <c r="AF745" s="47"/>
      <c r="AG745" s="46"/>
      <c r="AH745" s="46"/>
      <c r="AI745" s="46"/>
      <c r="AJ745" s="46"/>
      <c r="AK745" s="46"/>
      <c r="AL745" s="46"/>
      <c r="AM745" s="46"/>
      <c r="AN745" s="46"/>
      <c r="AO745" s="46"/>
    </row>
    <row r="746" customFormat="false" ht="15.75" hidden="false" customHeight="true" outlineLevel="0" collapsed="false">
      <c r="A746" s="37"/>
      <c r="B746" s="37"/>
      <c r="C746" s="59"/>
      <c r="D746" s="39"/>
      <c r="E746" s="40"/>
      <c r="F746" s="41"/>
      <c r="G746" s="37"/>
      <c r="H746" s="37"/>
      <c r="I746" s="37"/>
      <c r="J746" s="37"/>
      <c r="K746" s="68"/>
      <c r="L746" s="68"/>
      <c r="M746" s="71"/>
      <c r="N746" s="63"/>
      <c r="O746" s="63"/>
      <c r="P746" s="63"/>
      <c r="Q746" s="63"/>
      <c r="R746" s="41"/>
      <c r="S746" s="41"/>
      <c r="T746" s="63"/>
      <c r="U746" s="63"/>
      <c r="V746" s="63"/>
      <c r="W746" s="39"/>
      <c r="X746" s="41"/>
      <c r="Y746" s="44"/>
      <c r="Z746" s="57"/>
      <c r="AA746" s="57"/>
      <c r="AB746" s="41"/>
      <c r="AC746" s="57"/>
      <c r="AD746" s="46"/>
      <c r="AE746" s="46"/>
      <c r="AF746" s="47"/>
      <c r="AG746" s="46"/>
      <c r="AH746" s="46"/>
      <c r="AI746" s="46"/>
      <c r="AJ746" s="46"/>
      <c r="AK746" s="46"/>
      <c r="AL746" s="46"/>
      <c r="AM746" s="46"/>
      <c r="AN746" s="46"/>
      <c r="AO746" s="46"/>
    </row>
    <row r="747" customFormat="false" ht="15.75" hidden="false" customHeight="true" outlineLevel="0" collapsed="false">
      <c r="A747" s="37"/>
      <c r="B747" s="37"/>
      <c r="C747" s="59"/>
      <c r="D747" s="39"/>
      <c r="E747" s="40"/>
      <c r="F747" s="41"/>
      <c r="G747" s="37"/>
      <c r="H747" s="37"/>
      <c r="I747" s="37"/>
      <c r="J747" s="37"/>
      <c r="K747" s="68"/>
      <c r="L747" s="68"/>
      <c r="M747" s="71"/>
      <c r="N747" s="63"/>
      <c r="O747" s="63"/>
      <c r="P747" s="63"/>
      <c r="Q747" s="63"/>
      <c r="R747" s="41"/>
      <c r="S747" s="41"/>
      <c r="T747" s="63"/>
      <c r="U747" s="63"/>
      <c r="V747" s="63"/>
      <c r="W747" s="39"/>
      <c r="X747" s="41"/>
      <c r="Y747" s="44"/>
      <c r="Z747" s="57"/>
      <c r="AA747" s="57"/>
      <c r="AB747" s="41"/>
      <c r="AC747" s="57"/>
      <c r="AD747" s="46"/>
      <c r="AE747" s="46"/>
      <c r="AF747" s="47"/>
      <c r="AG747" s="46"/>
      <c r="AH747" s="46"/>
      <c r="AI747" s="46"/>
      <c r="AJ747" s="46"/>
      <c r="AK747" s="46"/>
      <c r="AL747" s="46"/>
      <c r="AM747" s="46"/>
      <c r="AN747" s="46"/>
      <c r="AO747" s="46"/>
    </row>
    <row r="748" customFormat="false" ht="15.75" hidden="false" customHeight="true" outlineLevel="0" collapsed="false">
      <c r="A748" s="37"/>
      <c r="B748" s="37"/>
      <c r="C748" s="59"/>
      <c r="D748" s="39"/>
      <c r="E748" s="40"/>
      <c r="F748" s="41"/>
      <c r="G748" s="37"/>
      <c r="H748" s="37"/>
      <c r="I748" s="37"/>
      <c r="J748" s="37"/>
      <c r="K748" s="68"/>
      <c r="L748" s="68"/>
      <c r="M748" s="71"/>
      <c r="N748" s="63"/>
      <c r="O748" s="63"/>
      <c r="P748" s="63"/>
      <c r="Q748" s="63"/>
      <c r="R748" s="41"/>
      <c r="S748" s="41"/>
      <c r="T748" s="63"/>
      <c r="U748" s="63"/>
      <c r="V748" s="63"/>
      <c r="W748" s="39"/>
      <c r="X748" s="41"/>
      <c r="Y748" s="44"/>
      <c r="Z748" s="57"/>
      <c r="AA748" s="57"/>
      <c r="AB748" s="41"/>
      <c r="AC748" s="57"/>
      <c r="AD748" s="46"/>
      <c r="AE748" s="46"/>
      <c r="AF748" s="47"/>
      <c r="AG748" s="46"/>
      <c r="AH748" s="46"/>
      <c r="AI748" s="46"/>
      <c r="AJ748" s="46"/>
      <c r="AK748" s="46"/>
      <c r="AL748" s="46"/>
      <c r="AM748" s="46"/>
      <c r="AN748" s="46"/>
      <c r="AO748" s="46"/>
    </row>
    <row r="749" customFormat="false" ht="15.75" hidden="false" customHeight="true" outlineLevel="0" collapsed="false">
      <c r="A749" s="37"/>
      <c r="B749" s="37"/>
      <c r="C749" s="59"/>
      <c r="D749" s="39"/>
      <c r="E749" s="40"/>
      <c r="F749" s="41"/>
      <c r="G749" s="37"/>
      <c r="H749" s="37"/>
      <c r="I749" s="37"/>
      <c r="J749" s="37"/>
      <c r="K749" s="68"/>
      <c r="L749" s="68"/>
      <c r="M749" s="71"/>
      <c r="N749" s="63"/>
      <c r="O749" s="63"/>
      <c r="P749" s="63"/>
      <c r="Q749" s="63"/>
      <c r="R749" s="41"/>
      <c r="S749" s="41"/>
      <c r="T749" s="63"/>
      <c r="U749" s="63"/>
      <c r="V749" s="63"/>
      <c r="W749" s="39"/>
      <c r="X749" s="41"/>
      <c r="Y749" s="44"/>
      <c r="Z749" s="57"/>
      <c r="AA749" s="57"/>
      <c r="AB749" s="41"/>
      <c r="AC749" s="57"/>
      <c r="AD749" s="46"/>
      <c r="AE749" s="46"/>
      <c r="AF749" s="47"/>
      <c r="AG749" s="46"/>
      <c r="AH749" s="46"/>
      <c r="AI749" s="46"/>
      <c r="AJ749" s="46"/>
      <c r="AK749" s="46"/>
      <c r="AL749" s="46"/>
      <c r="AM749" s="46"/>
      <c r="AN749" s="46"/>
      <c r="AO749" s="46"/>
    </row>
    <row r="750" customFormat="false" ht="15.75" hidden="false" customHeight="true" outlineLevel="0" collapsed="false">
      <c r="A750" s="37"/>
      <c r="B750" s="37"/>
      <c r="C750" s="59"/>
      <c r="D750" s="39"/>
      <c r="E750" s="40"/>
      <c r="F750" s="41"/>
      <c r="G750" s="37"/>
      <c r="H750" s="37"/>
      <c r="I750" s="37"/>
      <c r="J750" s="37"/>
      <c r="K750" s="68"/>
      <c r="L750" s="68"/>
      <c r="M750" s="71"/>
      <c r="N750" s="63"/>
      <c r="O750" s="63"/>
      <c r="P750" s="63"/>
      <c r="Q750" s="63"/>
      <c r="R750" s="41"/>
      <c r="S750" s="41"/>
      <c r="T750" s="63"/>
      <c r="U750" s="63"/>
      <c r="V750" s="63"/>
      <c r="W750" s="39"/>
      <c r="X750" s="41"/>
      <c r="Y750" s="44"/>
      <c r="Z750" s="57"/>
      <c r="AA750" s="57"/>
      <c r="AB750" s="41"/>
      <c r="AC750" s="57"/>
      <c r="AD750" s="46"/>
      <c r="AE750" s="46"/>
      <c r="AF750" s="47"/>
      <c r="AG750" s="46"/>
      <c r="AH750" s="46"/>
      <c r="AI750" s="46"/>
      <c r="AJ750" s="46"/>
      <c r="AK750" s="46"/>
      <c r="AL750" s="46"/>
      <c r="AM750" s="46"/>
      <c r="AN750" s="46"/>
      <c r="AO750" s="46"/>
    </row>
    <row r="751" customFormat="false" ht="15.75" hidden="false" customHeight="true" outlineLevel="0" collapsed="false">
      <c r="A751" s="37"/>
      <c r="B751" s="37"/>
      <c r="C751" s="59"/>
      <c r="D751" s="39"/>
      <c r="E751" s="40"/>
      <c r="F751" s="41"/>
      <c r="G751" s="37"/>
      <c r="H751" s="37"/>
      <c r="I751" s="37"/>
      <c r="J751" s="37"/>
      <c r="K751" s="68"/>
      <c r="L751" s="68"/>
      <c r="M751" s="71"/>
      <c r="N751" s="63"/>
      <c r="O751" s="63"/>
      <c r="P751" s="63"/>
      <c r="Q751" s="63"/>
      <c r="R751" s="41"/>
      <c r="S751" s="41"/>
      <c r="T751" s="63"/>
      <c r="U751" s="63"/>
      <c r="V751" s="63"/>
      <c r="W751" s="39"/>
      <c r="X751" s="41"/>
      <c r="Y751" s="44"/>
      <c r="Z751" s="57"/>
      <c r="AA751" s="57"/>
      <c r="AB751" s="41"/>
      <c r="AC751" s="57"/>
      <c r="AD751" s="46"/>
      <c r="AE751" s="46"/>
      <c r="AF751" s="47"/>
      <c r="AG751" s="46"/>
      <c r="AH751" s="46"/>
      <c r="AI751" s="46"/>
      <c r="AJ751" s="46"/>
      <c r="AK751" s="46"/>
      <c r="AL751" s="46"/>
      <c r="AM751" s="46"/>
      <c r="AN751" s="46"/>
      <c r="AO751" s="46"/>
    </row>
    <row r="752" customFormat="false" ht="15.75" hidden="false" customHeight="true" outlineLevel="0" collapsed="false">
      <c r="A752" s="37"/>
      <c r="B752" s="37"/>
      <c r="C752" s="59"/>
      <c r="D752" s="39"/>
      <c r="E752" s="40"/>
      <c r="F752" s="41"/>
      <c r="G752" s="37"/>
      <c r="H752" s="37"/>
      <c r="I752" s="37"/>
      <c r="J752" s="37"/>
      <c r="K752" s="68"/>
      <c r="L752" s="68"/>
      <c r="M752" s="71"/>
      <c r="N752" s="63"/>
      <c r="O752" s="63"/>
      <c r="P752" s="63"/>
      <c r="Q752" s="63"/>
      <c r="R752" s="41"/>
      <c r="S752" s="41"/>
      <c r="T752" s="63"/>
      <c r="U752" s="63"/>
      <c r="V752" s="63"/>
      <c r="W752" s="39"/>
      <c r="X752" s="41"/>
      <c r="Y752" s="44"/>
      <c r="Z752" s="57"/>
      <c r="AA752" s="57"/>
      <c r="AB752" s="41"/>
      <c r="AC752" s="57"/>
      <c r="AD752" s="46"/>
      <c r="AE752" s="46"/>
      <c r="AF752" s="47"/>
      <c r="AG752" s="46"/>
      <c r="AH752" s="46"/>
      <c r="AI752" s="46"/>
      <c r="AJ752" s="46"/>
      <c r="AK752" s="46"/>
      <c r="AL752" s="46"/>
      <c r="AM752" s="46"/>
      <c r="AN752" s="46"/>
      <c r="AO752" s="46"/>
    </row>
    <row r="753" customFormat="false" ht="15.75" hidden="false" customHeight="true" outlineLevel="0" collapsed="false">
      <c r="A753" s="37"/>
      <c r="B753" s="37"/>
      <c r="C753" s="59"/>
      <c r="D753" s="39"/>
      <c r="E753" s="40"/>
      <c r="F753" s="41"/>
      <c r="G753" s="37"/>
      <c r="H753" s="37"/>
      <c r="I753" s="37"/>
      <c r="J753" s="37"/>
      <c r="K753" s="68"/>
      <c r="L753" s="68"/>
      <c r="M753" s="71"/>
      <c r="N753" s="63"/>
      <c r="O753" s="63"/>
      <c r="P753" s="63"/>
      <c r="Q753" s="63"/>
      <c r="R753" s="41"/>
      <c r="S753" s="41"/>
      <c r="T753" s="63"/>
      <c r="U753" s="63"/>
      <c r="V753" s="63"/>
      <c r="W753" s="39"/>
      <c r="X753" s="41"/>
      <c r="Y753" s="44"/>
      <c r="Z753" s="57"/>
      <c r="AA753" s="57"/>
      <c r="AB753" s="41"/>
      <c r="AC753" s="57"/>
      <c r="AD753" s="46"/>
      <c r="AE753" s="46"/>
      <c r="AF753" s="47"/>
      <c r="AG753" s="46"/>
      <c r="AH753" s="46"/>
      <c r="AI753" s="46"/>
      <c r="AJ753" s="46"/>
      <c r="AK753" s="46"/>
      <c r="AL753" s="46"/>
      <c r="AM753" s="46"/>
      <c r="AN753" s="46"/>
      <c r="AO753" s="46"/>
    </row>
    <row r="754" customFormat="false" ht="15.75" hidden="false" customHeight="true" outlineLevel="0" collapsed="false">
      <c r="A754" s="37"/>
      <c r="B754" s="37"/>
      <c r="C754" s="59"/>
      <c r="D754" s="39"/>
      <c r="E754" s="40"/>
      <c r="F754" s="41"/>
      <c r="G754" s="37"/>
      <c r="H754" s="37"/>
      <c r="I754" s="37"/>
      <c r="J754" s="37"/>
      <c r="K754" s="68"/>
      <c r="L754" s="68"/>
      <c r="M754" s="71"/>
      <c r="N754" s="63"/>
      <c r="O754" s="63"/>
      <c r="P754" s="63"/>
      <c r="Q754" s="63"/>
      <c r="R754" s="41"/>
      <c r="S754" s="41"/>
      <c r="T754" s="63"/>
      <c r="U754" s="63"/>
      <c r="V754" s="63"/>
      <c r="W754" s="39"/>
      <c r="X754" s="41"/>
      <c r="Y754" s="44"/>
      <c r="Z754" s="57"/>
      <c r="AA754" s="57"/>
      <c r="AB754" s="41"/>
      <c r="AC754" s="57"/>
      <c r="AD754" s="46"/>
      <c r="AE754" s="46"/>
      <c r="AF754" s="47"/>
      <c r="AG754" s="46"/>
      <c r="AH754" s="46"/>
      <c r="AI754" s="46"/>
      <c r="AJ754" s="46"/>
      <c r="AK754" s="46"/>
      <c r="AL754" s="46"/>
      <c r="AM754" s="46"/>
      <c r="AN754" s="46"/>
      <c r="AO754" s="46"/>
    </row>
    <row r="755" customFormat="false" ht="15.75" hidden="false" customHeight="true" outlineLevel="0" collapsed="false">
      <c r="A755" s="37"/>
      <c r="B755" s="37"/>
      <c r="C755" s="59"/>
      <c r="D755" s="39"/>
      <c r="E755" s="40"/>
      <c r="F755" s="41"/>
      <c r="G755" s="37"/>
      <c r="H755" s="37"/>
      <c r="I755" s="37"/>
      <c r="J755" s="37"/>
      <c r="K755" s="68"/>
      <c r="L755" s="68"/>
      <c r="M755" s="71"/>
      <c r="N755" s="63"/>
      <c r="O755" s="63"/>
      <c r="P755" s="63"/>
      <c r="Q755" s="63"/>
      <c r="R755" s="41"/>
      <c r="S755" s="41"/>
      <c r="T755" s="63"/>
      <c r="U755" s="63"/>
      <c r="V755" s="63"/>
      <c r="W755" s="39"/>
      <c r="X755" s="41"/>
      <c r="Y755" s="44"/>
      <c r="Z755" s="57"/>
      <c r="AA755" s="57"/>
      <c r="AB755" s="41"/>
      <c r="AC755" s="57"/>
      <c r="AD755" s="46"/>
      <c r="AE755" s="46"/>
      <c r="AF755" s="47"/>
      <c r="AG755" s="46"/>
      <c r="AH755" s="46"/>
      <c r="AI755" s="46"/>
      <c r="AJ755" s="46"/>
      <c r="AK755" s="46"/>
      <c r="AL755" s="46"/>
      <c r="AM755" s="46"/>
      <c r="AN755" s="46"/>
      <c r="AO755" s="46"/>
    </row>
    <row r="756" customFormat="false" ht="15.75" hidden="false" customHeight="true" outlineLevel="0" collapsed="false">
      <c r="A756" s="37"/>
      <c r="B756" s="37"/>
      <c r="C756" s="59"/>
      <c r="D756" s="39"/>
      <c r="E756" s="40"/>
      <c r="F756" s="41"/>
      <c r="G756" s="37"/>
      <c r="H756" s="37"/>
      <c r="I756" s="37"/>
      <c r="J756" s="37"/>
      <c r="K756" s="68"/>
      <c r="L756" s="68"/>
      <c r="M756" s="71"/>
      <c r="N756" s="63"/>
      <c r="O756" s="63"/>
      <c r="P756" s="63"/>
      <c r="Q756" s="63"/>
      <c r="R756" s="41"/>
      <c r="S756" s="41"/>
      <c r="T756" s="63"/>
      <c r="U756" s="63"/>
      <c r="V756" s="63"/>
      <c r="W756" s="39"/>
      <c r="X756" s="41"/>
      <c r="Y756" s="44"/>
      <c r="Z756" s="57"/>
      <c r="AA756" s="57"/>
      <c r="AB756" s="41"/>
      <c r="AC756" s="57"/>
      <c r="AD756" s="46"/>
      <c r="AE756" s="46"/>
      <c r="AF756" s="47"/>
      <c r="AG756" s="46"/>
      <c r="AH756" s="46"/>
      <c r="AI756" s="46"/>
      <c r="AJ756" s="46"/>
      <c r="AK756" s="46"/>
      <c r="AL756" s="46"/>
      <c r="AM756" s="46"/>
      <c r="AN756" s="46"/>
      <c r="AO756" s="46"/>
    </row>
    <row r="757" customFormat="false" ht="15.75" hidden="false" customHeight="true" outlineLevel="0" collapsed="false">
      <c r="A757" s="37"/>
      <c r="B757" s="37"/>
      <c r="C757" s="59"/>
      <c r="D757" s="39"/>
      <c r="E757" s="40"/>
      <c r="F757" s="41"/>
      <c r="G757" s="37"/>
      <c r="H757" s="37"/>
      <c r="I757" s="37"/>
      <c r="J757" s="37"/>
      <c r="K757" s="68"/>
      <c r="L757" s="68"/>
      <c r="M757" s="71"/>
      <c r="N757" s="63"/>
      <c r="O757" s="63"/>
      <c r="P757" s="63"/>
      <c r="Q757" s="63"/>
      <c r="R757" s="41"/>
      <c r="S757" s="41"/>
      <c r="T757" s="63"/>
      <c r="U757" s="63"/>
      <c r="V757" s="63"/>
      <c r="W757" s="39"/>
      <c r="X757" s="41"/>
      <c r="Y757" s="44"/>
      <c r="Z757" s="57"/>
      <c r="AA757" s="57"/>
      <c r="AB757" s="41"/>
      <c r="AC757" s="57"/>
      <c r="AD757" s="46"/>
      <c r="AE757" s="46"/>
      <c r="AF757" s="47"/>
      <c r="AG757" s="46"/>
      <c r="AH757" s="46"/>
      <c r="AI757" s="46"/>
      <c r="AJ757" s="46"/>
      <c r="AK757" s="46"/>
      <c r="AL757" s="46"/>
      <c r="AM757" s="46"/>
      <c r="AN757" s="46"/>
      <c r="AO757" s="46"/>
    </row>
    <row r="758" customFormat="false" ht="15.75" hidden="false" customHeight="true" outlineLevel="0" collapsed="false">
      <c r="A758" s="37"/>
      <c r="B758" s="37"/>
      <c r="C758" s="59"/>
      <c r="D758" s="39"/>
      <c r="E758" s="40"/>
      <c r="F758" s="41"/>
      <c r="G758" s="37"/>
      <c r="H758" s="37"/>
      <c r="I758" s="37"/>
      <c r="J758" s="37"/>
      <c r="K758" s="68"/>
      <c r="L758" s="68"/>
      <c r="M758" s="71"/>
      <c r="N758" s="63"/>
      <c r="O758" s="63"/>
      <c r="P758" s="63"/>
      <c r="Q758" s="63"/>
      <c r="R758" s="41"/>
      <c r="S758" s="41"/>
      <c r="T758" s="63"/>
      <c r="U758" s="63"/>
      <c r="V758" s="63"/>
      <c r="W758" s="39"/>
      <c r="X758" s="41"/>
      <c r="Y758" s="44"/>
      <c r="Z758" s="57"/>
      <c r="AA758" s="57"/>
      <c r="AB758" s="41"/>
      <c r="AC758" s="57"/>
      <c r="AD758" s="46"/>
      <c r="AE758" s="46"/>
      <c r="AF758" s="47"/>
      <c r="AG758" s="46"/>
      <c r="AH758" s="46"/>
      <c r="AI758" s="46"/>
      <c r="AJ758" s="46"/>
      <c r="AK758" s="46"/>
      <c r="AL758" s="46"/>
      <c r="AM758" s="46"/>
      <c r="AN758" s="46"/>
      <c r="AO758" s="46"/>
    </row>
    <row r="759" customFormat="false" ht="15.75" hidden="false" customHeight="true" outlineLevel="0" collapsed="false">
      <c r="A759" s="37"/>
      <c r="B759" s="37"/>
      <c r="C759" s="59"/>
      <c r="D759" s="39"/>
      <c r="E759" s="40"/>
      <c r="F759" s="41"/>
      <c r="G759" s="37"/>
      <c r="H759" s="37"/>
      <c r="I759" s="37"/>
      <c r="J759" s="37"/>
      <c r="K759" s="68"/>
      <c r="L759" s="68"/>
      <c r="M759" s="71"/>
      <c r="N759" s="63"/>
      <c r="O759" s="63"/>
      <c r="P759" s="63"/>
      <c r="Q759" s="63"/>
      <c r="R759" s="41"/>
      <c r="S759" s="41"/>
      <c r="T759" s="63"/>
      <c r="U759" s="63"/>
      <c r="V759" s="63"/>
      <c r="W759" s="39"/>
      <c r="X759" s="41"/>
      <c r="Y759" s="44"/>
      <c r="Z759" s="57"/>
      <c r="AA759" s="57"/>
      <c r="AB759" s="41"/>
      <c r="AC759" s="57"/>
      <c r="AD759" s="46"/>
      <c r="AE759" s="46"/>
      <c r="AF759" s="47"/>
      <c r="AG759" s="46"/>
      <c r="AH759" s="46"/>
      <c r="AI759" s="46"/>
      <c r="AJ759" s="46"/>
      <c r="AK759" s="46"/>
      <c r="AL759" s="46"/>
      <c r="AM759" s="46"/>
      <c r="AN759" s="46"/>
      <c r="AO759" s="46"/>
    </row>
    <row r="760" customFormat="false" ht="15.75" hidden="false" customHeight="true" outlineLevel="0" collapsed="false">
      <c r="A760" s="37"/>
      <c r="B760" s="37"/>
      <c r="C760" s="59"/>
      <c r="D760" s="39"/>
      <c r="E760" s="40"/>
      <c r="F760" s="41"/>
      <c r="G760" s="37"/>
      <c r="H760" s="37"/>
      <c r="I760" s="37"/>
      <c r="J760" s="37"/>
      <c r="K760" s="68"/>
      <c r="L760" s="68"/>
      <c r="M760" s="71"/>
      <c r="N760" s="63"/>
      <c r="O760" s="63"/>
      <c r="P760" s="63"/>
      <c r="Q760" s="63"/>
      <c r="R760" s="41"/>
      <c r="S760" s="41"/>
      <c r="T760" s="63"/>
      <c r="U760" s="63"/>
      <c r="V760" s="63"/>
      <c r="W760" s="39"/>
      <c r="X760" s="41"/>
      <c r="Y760" s="44"/>
      <c r="Z760" s="57"/>
      <c r="AA760" s="57"/>
      <c r="AB760" s="41"/>
      <c r="AC760" s="57"/>
      <c r="AD760" s="46"/>
      <c r="AE760" s="46"/>
      <c r="AF760" s="47"/>
      <c r="AG760" s="46"/>
      <c r="AH760" s="46"/>
      <c r="AI760" s="46"/>
      <c r="AJ760" s="46"/>
      <c r="AK760" s="46"/>
      <c r="AL760" s="46"/>
      <c r="AM760" s="46"/>
      <c r="AN760" s="46"/>
      <c r="AO760" s="46"/>
    </row>
    <row r="761" customFormat="false" ht="15.75" hidden="false" customHeight="true" outlineLevel="0" collapsed="false">
      <c r="A761" s="37"/>
      <c r="B761" s="37"/>
      <c r="C761" s="59"/>
      <c r="D761" s="39"/>
      <c r="E761" s="40"/>
      <c r="F761" s="41"/>
      <c r="G761" s="37"/>
      <c r="H761" s="37"/>
      <c r="I761" s="37"/>
      <c r="J761" s="37"/>
      <c r="K761" s="68"/>
      <c r="L761" s="68"/>
      <c r="M761" s="71"/>
      <c r="N761" s="63"/>
      <c r="O761" s="63"/>
      <c r="P761" s="63"/>
      <c r="Q761" s="63"/>
      <c r="R761" s="41"/>
      <c r="S761" s="41"/>
      <c r="T761" s="63"/>
      <c r="U761" s="63"/>
      <c r="V761" s="63"/>
      <c r="W761" s="39"/>
      <c r="X761" s="41"/>
      <c r="Y761" s="44"/>
      <c r="Z761" s="57"/>
      <c r="AA761" s="57"/>
      <c r="AB761" s="41"/>
      <c r="AC761" s="57"/>
      <c r="AD761" s="46"/>
      <c r="AE761" s="46"/>
      <c r="AF761" s="47"/>
      <c r="AG761" s="46"/>
      <c r="AH761" s="46"/>
      <c r="AI761" s="46"/>
      <c r="AJ761" s="46"/>
      <c r="AK761" s="46"/>
      <c r="AL761" s="46"/>
      <c r="AM761" s="46"/>
      <c r="AN761" s="46"/>
      <c r="AO761" s="46"/>
    </row>
    <row r="762" customFormat="false" ht="15.75" hidden="false" customHeight="true" outlineLevel="0" collapsed="false">
      <c r="A762" s="37"/>
      <c r="B762" s="37"/>
      <c r="C762" s="59"/>
      <c r="D762" s="39"/>
      <c r="E762" s="40"/>
      <c r="F762" s="41"/>
      <c r="G762" s="37"/>
      <c r="H762" s="37"/>
      <c r="I762" s="37"/>
      <c r="J762" s="37"/>
      <c r="K762" s="68"/>
      <c r="L762" s="68"/>
      <c r="M762" s="71"/>
      <c r="N762" s="63"/>
      <c r="O762" s="63"/>
      <c r="P762" s="63"/>
      <c r="Q762" s="63"/>
      <c r="R762" s="41"/>
      <c r="S762" s="41"/>
      <c r="T762" s="63"/>
      <c r="U762" s="63"/>
      <c r="V762" s="63"/>
      <c r="W762" s="39"/>
      <c r="X762" s="41"/>
      <c r="Y762" s="44"/>
      <c r="Z762" s="57"/>
      <c r="AA762" s="57"/>
      <c r="AB762" s="41"/>
      <c r="AC762" s="57"/>
      <c r="AD762" s="46"/>
      <c r="AE762" s="46"/>
      <c r="AF762" s="47"/>
      <c r="AG762" s="46"/>
      <c r="AH762" s="46"/>
      <c r="AI762" s="46"/>
      <c r="AJ762" s="46"/>
      <c r="AK762" s="46"/>
      <c r="AL762" s="46"/>
      <c r="AM762" s="46"/>
      <c r="AN762" s="46"/>
      <c r="AO762" s="46"/>
    </row>
    <row r="763" customFormat="false" ht="15.75" hidden="false" customHeight="true" outlineLevel="0" collapsed="false">
      <c r="A763" s="37"/>
      <c r="B763" s="37"/>
      <c r="C763" s="59"/>
      <c r="D763" s="39"/>
      <c r="E763" s="40"/>
      <c r="F763" s="41"/>
      <c r="G763" s="37"/>
      <c r="H763" s="37"/>
      <c r="I763" s="37"/>
      <c r="J763" s="37"/>
      <c r="K763" s="68"/>
      <c r="L763" s="68"/>
      <c r="M763" s="71"/>
      <c r="N763" s="63"/>
      <c r="O763" s="63"/>
      <c r="P763" s="63"/>
      <c r="Q763" s="63"/>
      <c r="R763" s="41"/>
      <c r="S763" s="41"/>
      <c r="T763" s="63"/>
      <c r="U763" s="63"/>
      <c r="V763" s="63"/>
      <c r="W763" s="39"/>
      <c r="X763" s="41"/>
      <c r="Y763" s="44"/>
      <c r="Z763" s="57"/>
      <c r="AA763" s="57"/>
      <c r="AB763" s="41"/>
      <c r="AC763" s="57"/>
      <c r="AD763" s="46"/>
      <c r="AE763" s="46"/>
      <c r="AF763" s="47"/>
      <c r="AG763" s="46"/>
      <c r="AH763" s="46"/>
      <c r="AI763" s="46"/>
      <c r="AJ763" s="46"/>
      <c r="AK763" s="46"/>
      <c r="AL763" s="46"/>
      <c r="AM763" s="46"/>
      <c r="AN763" s="46"/>
      <c r="AO763" s="46"/>
    </row>
    <row r="764" customFormat="false" ht="15.75" hidden="false" customHeight="true" outlineLevel="0" collapsed="false">
      <c r="A764" s="37"/>
      <c r="B764" s="37"/>
      <c r="C764" s="59"/>
      <c r="D764" s="39"/>
      <c r="E764" s="40"/>
      <c r="F764" s="41"/>
      <c r="G764" s="37"/>
      <c r="H764" s="37"/>
      <c r="I764" s="37"/>
      <c r="J764" s="37"/>
      <c r="K764" s="68"/>
      <c r="L764" s="68"/>
      <c r="M764" s="71"/>
      <c r="N764" s="63"/>
      <c r="O764" s="63"/>
      <c r="P764" s="63"/>
      <c r="Q764" s="63"/>
      <c r="R764" s="41"/>
      <c r="S764" s="41"/>
      <c r="T764" s="63"/>
      <c r="U764" s="63"/>
      <c r="V764" s="63"/>
      <c r="W764" s="39"/>
      <c r="X764" s="41"/>
      <c r="Y764" s="44"/>
      <c r="Z764" s="57"/>
      <c r="AA764" s="57"/>
      <c r="AB764" s="41"/>
      <c r="AC764" s="57"/>
      <c r="AD764" s="46"/>
      <c r="AE764" s="46"/>
      <c r="AF764" s="47"/>
      <c r="AG764" s="46"/>
      <c r="AH764" s="46"/>
      <c r="AI764" s="46"/>
      <c r="AJ764" s="46"/>
      <c r="AK764" s="46"/>
      <c r="AL764" s="46"/>
      <c r="AM764" s="46"/>
      <c r="AN764" s="46"/>
      <c r="AO764" s="46"/>
    </row>
    <row r="765" customFormat="false" ht="15.75" hidden="false" customHeight="true" outlineLevel="0" collapsed="false">
      <c r="A765" s="37"/>
      <c r="B765" s="37"/>
      <c r="C765" s="59"/>
      <c r="D765" s="39"/>
      <c r="E765" s="40"/>
      <c r="F765" s="41"/>
      <c r="G765" s="37"/>
      <c r="H765" s="37"/>
      <c r="I765" s="37"/>
      <c r="J765" s="37"/>
      <c r="K765" s="68"/>
      <c r="L765" s="68"/>
      <c r="M765" s="71"/>
      <c r="N765" s="63"/>
      <c r="O765" s="63"/>
      <c r="P765" s="63"/>
      <c r="Q765" s="63"/>
      <c r="R765" s="41"/>
      <c r="S765" s="41"/>
      <c r="T765" s="63"/>
      <c r="U765" s="63"/>
      <c r="V765" s="63"/>
      <c r="W765" s="39"/>
      <c r="X765" s="41"/>
      <c r="Y765" s="44"/>
      <c r="Z765" s="57"/>
      <c r="AA765" s="57"/>
      <c r="AB765" s="41"/>
      <c r="AC765" s="57"/>
      <c r="AD765" s="46"/>
      <c r="AE765" s="46"/>
      <c r="AF765" s="47"/>
      <c r="AG765" s="46"/>
      <c r="AH765" s="46"/>
      <c r="AI765" s="46"/>
      <c r="AJ765" s="46"/>
      <c r="AK765" s="46"/>
      <c r="AL765" s="46"/>
      <c r="AM765" s="46"/>
      <c r="AN765" s="46"/>
      <c r="AO765" s="46"/>
    </row>
    <row r="766" customFormat="false" ht="15.75" hidden="false" customHeight="true" outlineLevel="0" collapsed="false">
      <c r="A766" s="37"/>
      <c r="B766" s="37"/>
      <c r="C766" s="59"/>
      <c r="D766" s="39"/>
      <c r="E766" s="40"/>
      <c r="F766" s="41"/>
      <c r="G766" s="37"/>
      <c r="H766" s="37"/>
      <c r="I766" s="37"/>
      <c r="J766" s="37"/>
      <c r="K766" s="68"/>
      <c r="L766" s="68"/>
      <c r="M766" s="71"/>
      <c r="N766" s="63"/>
      <c r="O766" s="63"/>
      <c r="P766" s="63"/>
      <c r="Q766" s="63"/>
      <c r="R766" s="41"/>
      <c r="S766" s="41"/>
      <c r="T766" s="63"/>
      <c r="U766" s="63"/>
      <c r="V766" s="63"/>
      <c r="W766" s="39"/>
      <c r="X766" s="41"/>
      <c r="Y766" s="44"/>
      <c r="Z766" s="57"/>
      <c r="AA766" s="57"/>
      <c r="AB766" s="41"/>
      <c r="AC766" s="57"/>
      <c r="AD766" s="46"/>
      <c r="AE766" s="46"/>
      <c r="AF766" s="47"/>
      <c r="AG766" s="46"/>
      <c r="AH766" s="46"/>
      <c r="AI766" s="46"/>
      <c r="AJ766" s="46"/>
      <c r="AK766" s="46"/>
      <c r="AL766" s="46"/>
      <c r="AM766" s="46"/>
      <c r="AN766" s="46"/>
      <c r="AO766" s="46"/>
    </row>
    <row r="767" customFormat="false" ht="15.75" hidden="false" customHeight="true" outlineLevel="0" collapsed="false">
      <c r="A767" s="37"/>
      <c r="B767" s="37"/>
      <c r="C767" s="59"/>
      <c r="D767" s="39"/>
      <c r="E767" s="40"/>
      <c r="F767" s="41"/>
      <c r="G767" s="37"/>
      <c r="H767" s="37"/>
      <c r="I767" s="37"/>
      <c r="J767" s="37"/>
      <c r="K767" s="68"/>
      <c r="L767" s="68"/>
      <c r="M767" s="71"/>
      <c r="N767" s="63"/>
      <c r="O767" s="63"/>
      <c r="P767" s="63"/>
      <c r="Q767" s="63"/>
      <c r="R767" s="41"/>
      <c r="S767" s="41"/>
      <c r="T767" s="63"/>
      <c r="U767" s="63"/>
      <c r="V767" s="63"/>
      <c r="W767" s="39"/>
      <c r="X767" s="41"/>
      <c r="Y767" s="44"/>
      <c r="Z767" s="57"/>
      <c r="AA767" s="57"/>
      <c r="AB767" s="41"/>
      <c r="AC767" s="57"/>
      <c r="AD767" s="46"/>
      <c r="AE767" s="46"/>
      <c r="AF767" s="47"/>
      <c r="AG767" s="46"/>
      <c r="AH767" s="46"/>
      <c r="AI767" s="46"/>
      <c r="AJ767" s="46"/>
      <c r="AK767" s="46"/>
      <c r="AL767" s="46"/>
      <c r="AM767" s="46"/>
      <c r="AN767" s="46"/>
      <c r="AO767" s="46"/>
    </row>
    <row r="768" customFormat="false" ht="15.75" hidden="false" customHeight="true" outlineLevel="0" collapsed="false">
      <c r="A768" s="37"/>
      <c r="B768" s="37"/>
      <c r="C768" s="59"/>
      <c r="D768" s="39"/>
      <c r="E768" s="40"/>
      <c r="F768" s="41"/>
      <c r="G768" s="37"/>
      <c r="H768" s="37"/>
      <c r="I768" s="37"/>
      <c r="J768" s="37"/>
      <c r="K768" s="68"/>
      <c r="L768" s="68"/>
      <c r="M768" s="71"/>
      <c r="N768" s="63"/>
      <c r="O768" s="63"/>
      <c r="P768" s="63"/>
      <c r="Q768" s="63"/>
      <c r="R768" s="41"/>
      <c r="S768" s="41"/>
      <c r="T768" s="63"/>
      <c r="U768" s="63"/>
      <c r="V768" s="63"/>
      <c r="W768" s="39"/>
      <c r="X768" s="41"/>
      <c r="Y768" s="44"/>
      <c r="Z768" s="57"/>
      <c r="AA768" s="57"/>
      <c r="AB768" s="41"/>
      <c r="AC768" s="57"/>
      <c r="AD768" s="46"/>
      <c r="AE768" s="46"/>
      <c r="AF768" s="47"/>
      <c r="AG768" s="46"/>
      <c r="AH768" s="46"/>
      <c r="AI768" s="46"/>
      <c r="AJ768" s="46"/>
      <c r="AK768" s="46"/>
      <c r="AL768" s="46"/>
      <c r="AM768" s="46"/>
      <c r="AN768" s="46"/>
      <c r="AO768" s="46"/>
    </row>
    <row r="769" customFormat="false" ht="15.75" hidden="false" customHeight="true" outlineLevel="0" collapsed="false">
      <c r="A769" s="37"/>
      <c r="B769" s="37"/>
      <c r="C769" s="59"/>
      <c r="D769" s="39"/>
      <c r="E769" s="40"/>
      <c r="F769" s="41"/>
      <c r="G769" s="37"/>
      <c r="H769" s="37"/>
      <c r="I769" s="37"/>
      <c r="J769" s="37"/>
      <c r="K769" s="68"/>
      <c r="L769" s="68"/>
      <c r="M769" s="71"/>
      <c r="N769" s="63"/>
      <c r="O769" s="63"/>
      <c r="P769" s="63"/>
      <c r="Q769" s="63"/>
      <c r="R769" s="41"/>
      <c r="S769" s="41"/>
      <c r="T769" s="63"/>
      <c r="U769" s="63"/>
      <c r="V769" s="63"/>
      <c r="W769" s="39"/>
      <c r="X769" s="41"/>
      <c r="Y769" s="44"/>
      <c r="Z769" s="57"/>
      <c r="AA769" s="57"/>
      <c r="AB769" s="41"/>
      <c r="AC769" s="57"/>
      <c r="AD769" s="46"/>
      <c r="AE769" s="46"/>
      <c r="AF769" s="47"/>
      <c r="AG769" s="46"/>
      <c r="AH769" s="46"/>
      <c r="AI769" s="46"/>
      <c r="AJ769" s="46"/>
      <c r="AK769" s="46"/>
      <c r="AL769" s="46"/>
      <c r="AM769" s="46"/>
      <c r="AN769" s="46"/>
      <c r="AO769" s="46"/>
    </row>
    <row r="770" customFormat="false" ht="15.75" hidden="false" customHeight="true" outlineLevel="0" collapsed="false">
      <c r="A770" s="37"/>
      <c r="B770" s="37"/>
      <c r="C770" s="59"/>
      <c r="D770" s="39"/>
      <c r="E770" s="40"/>
      <c r="F770" s="41"/>
      <c r="G770" s="37"/>
      <c r="H770" s="37"/>
      <c r="I770" s="37"/>
      <c r="J770" s="37"/>
      <c r="K770" s="68"/>
      <c r="L770" s="68"/>
      <c r="M770" s="71"/>
      <c r="N770" s="63"/>
      <c r="O770" s="63"/>
      <c r="P770" s="63"/>
      <c r="Q770" s="63"/>
      <c r="R770" s="41"/>
      <c r="S770" s="41"/>
      <c r="T770" s="63"/>
      <c r="U770" s="63"/>
      <c r="V770" s="63"/>
      <c r="W770" s="39"/>
      <c r="X770" s="41"/>
      <c r="Y770" s="44"/>
      <c r="Z770" s="57"/>
      <c r="AA770" s="57"/>
      <c r="AB770" s="41"/>
      <c r="AC770" s="57"/>
      <c r="AD770" s="46"/>
      <c r="AE770" s="46"/>
      <c r="AF770" s="47"/>
      <c r="AG770" s="46"/>
      <c r="AH770" s="46"/>
      <c r="AI770" s="46"/>
      <c r="AJ770" s="46"/>
      <c r="AK770" s="46"/>
      <c r="AL770" s="46"/>
      <c r="AM770" s="46"/>
      <c r="AN770" s="46"/>
      <c r="AO770" s="46"/>
    </row>
    <row r="771" customFormat="false" ht="15.75" hidden="false" customHeight="true" outlineLevel="0" collapsed="false">
      <c r="A771" s="37"/>
      <c r="B771" s="37"/>
      <c r="C771" s="59"/>
      <c r="D771" s="39"/>
      <c r="E771" s="40"/>
      <c r="F771" s="41"/>
      <c r="G771" s="37"/>
      <c r="H771" s="37"/>
      <c r="I771" s="37"/>
      <c r="J771" s="37"/>
      <c r="K771" s="68"/>
      <c r="L771" s="68"/>
      <c r="M771" s="71"/>
      <c r="N771" s="63"/>
      <c r="O771" s="63"/>
      <c r="P771" s="63"/>
      <c r="Q771" s="63"/>
      <c r="R771" s="41"/>
      <c r="S771" s="41"/>
      <c r="T771" s="63"/>
      <c r="U771" s="63"/>
      <c r="V771" s="63"/>
      <c r="W771" s="39"/>
      <c r="X771" s="41"/>
      <c r="Y771" s="44"/>
      <c r="Z771" s="57"/>
      <c r="AA771" s="57"/>
      <c r="AB771" s="41"/>
      <c r="AC771" s="57"/>
      <c r="AD771" s="46"/>
      <c r="AE771" s="46"/>
      <c r="AF771" s="47"/>
      <c r="AG771" s="46"/>
      <c r="AH771" s="46"/>
      <c r="AI771" s="46"/>
      <c r="AJ771" s="46"/>
      <c r="AK771" s="46"/>
      <c r="AL771" s="46"/>
      <c r="AM771" s="46"/>
      <c r="AN771" s="46"/>
      <c r="AO771" s="46"/>
    </row>
    <row r="772" customFormat="false" ht="15.75" hidden="false" customHeight="true" outlineLevel="0" collapsed="false">
      <c r="A772" s="37"/>
      <c r="B772" s="37"/>
      <c r="C772" s="59"/>
      <c r="D772" s="39"/>
      <c r="E772" s="40"/>
      <c r="F772" s="41"/>
      <c r="G772" s="37"/>
      <c r="H772" s="37"/>
      <c r="I772" s="37"/>
      <c r="J772" s="37"/>
      <c r="K772" s="68"/>
      <c r="L772" s="68"/>
      <c r="M772" s="71"/>
      <c r="N772" s="63"/>
      <c r="O772" s="63"/>
      <c r="P772" s="63"/>
      <c r="Q772" s="63"/>
      <c r="R772" s="41"/>
      <c r="S772" s="41"/>
      <c r="T772" s="63"/>
      <c r="U772" s="63"/>
      <c r="V772" s="63"/>
      <c r="W772" s="39"/>
      <c r="X772" s="41"/>
      <c r="Y772" s="44"/>
      <c r="Z772" s="57"/>
      <c r="AA772" s="57"/>
      <c r="AB772" s="41"/>
      <c r="AC772" s="57"/>
      <c r="AD772" s="46"/>
      <c r="AE772" s="46"/>
      <c r="AF772" s="47"/>
      <c r="AG772" s="46"/>
      <c r="AH772" s="46"/>
      <c r="AI772" s="46"/>
      <c r="AJ772" s="46"/>
      <c r="AK772" s="46"/>
      <c r="AL772" s="46"/>
      <c r="AM772" s="46"/>
      <c r="AN772" s="46"/>
      <c r="AO772" s="46"/>
    </row>
    <row r="773" customFormat="false" ht="15.75" hidden="false" customHeight="true" outlineLevel="0" collapsed="false">
      <c r="A773" s="37"/>
      <c r="B773" s="37"/>
      <c r="C773" s="59"/>
      <c r="D773" s="39"/>
      <c r="E773" s="40"/>
      <c r="F773" s="41"/>
      <c r="G773" s="37"/>
      <c r="H773" s="37"/>
      <c r="I773" s="37"/>
      <c r="J773" s="37"/>
      <c r="K773" s="68"/>
      <c r="L773" s="68"/>
      <c r="M773" s="71"/>
      <c r="N773" s="63"/>
      <c r="O773" s="63"/>
      <c r="P773" s="63"/>
      <c r="Q773" s="63"/>
      <c r="R773" s="41"/>
      <c r="S773" s="41"/>
      <c r="T773" s="63"/>
      <c r="U773" s="63"/>
      <c r="V773" s="63"/>
      <c r="W773" s="39"/>
      <c r="X773" s="41"/>
      <c r="Y773" s="44"/>
      <c r="Z773" s="57"/>
      <c r="AA773" s="57"/>
      <c r="AB773" s="41"/>
      <c r="AC773" s="57"/>
      <c r="AD773" s="46"/>
      <c r="AE773" s="46"/>
      <c r="AF773" s="47"/>
      <c r="AG773" s="46"/>
      <c r="AH773" s="46"/>
      <c r="AI773" s="46"/>
      <c r="AJ773" s="46"/>
      <c r="AK773" s="46"/>
      <c r="AL773" s="46"/>
      <c r="AM773" s="46"/>
      <c r="AN773" s="46"/>
      <c r="AO773" s="46"/>
    </row>
    <row r="774" customFormat="false" ht="15.75" hidden="false" customHeight="true" outlineLevel="0" collapsed="false">
      <c r="A774" s="37"/>
      <c r="B774" s="37"/>
      <c r="C774" s="59"/>
      <c r="D774" s="39"/>
      <c r="E774" s="40"/>
      <c r="F774" s="41"/>
      <c r="G774" s="37"/>
      <c r="H774" s="37"/>
      <c r="I774" s="37"/>
      <c r="J774" s="37"/>
      <c r="K774" s="68"/>
      <c r="L774" s="68"/>
      <c r="M774" s="71"/>
      <c r="N774" s="63"/>
      <c r="O774" s="63"/>
      <c r="P774" s="63"/>
      <c r="Q774" s="63"/>
      <c r="R774" s="41"/>
      <c r="S774" s="41"/>
      <c r="T774" s="63"/>
      <c r="U774" s="63"/>
      <c r="V774" s="63"/>
      <c r="W774" s="39"/>
      <c r="X774" s="41"/>
      <c r="Y774" s="44"/>
      <c r="Z774" s="57"/>
      <c r="AA774" s="57"/>
      <c r="AB774" s="41"/>
      <c r="AC774" s="57"/>
      <c r="AD774" s="46"/>
      <c r="AE774" s="46"/>
      <c r="AF774" s="47"/>
      <c r="AG774" s="46"/>
      <c r="AH774" s="46"/>
      <c r="AI774" s="46"/>
      <c r="AJ774" s="46"/>
      <c r="AK774" s="46"/>
      <c r="AL774" s="46"/>
      <c r="AM774" s="46"/>
      <c r="AN774" s="46"/>
      <c r="AO774" s="46"/>
    </row>
    <row r="775" customFormat="false" ht="15.75" hidden="false" customHeight="true" outlineLevel="0" collapsed="false">
      <c r="A775" s="37"/>
      <c r="B775" s="37"/>
      <c r="C775" s="59"/>
      <c r="D775" s="39"/>
      <c r="E775" s="40"/>
      <c r="F775" s="41"/>
      <c r="G775" s="37"/>
      <c r="H775" s="37"/>
      <c r="I775" s="37"/>
      <c r="J775" s="37"/>
      <c r="K775" s="68"/>
      <c r="L775" s="68"/>
      <c r="M775" s="71"/>
      <c r="N775" s="63"/>
      <c r="O775" s="63"/>
      <c r="P775" s="63"/>
      <c r="Q775" s="63"/>
      <c r="R775" s="41"/>
      <c r="S775" s="41"/>
      <c r="T775" s="63"/>
      <c r="U775" s="63"/>
      <c r="V775" s="63"/>
      <c r="W775" s="39"/>
      <c r="X775" s="41"/>
      <c r="Y775" s="44"/>
      <c r="Z775" s="57"/>
      <c r="AA775" s="57"/>
      <c r="AB775" s="41"/>
      <c r="AC775" s="57"/>
      <c r="AD775" s="46"/>
      <c r="AE775" s="46"/>
      <c r="AF775" s="47"/>
      <c r="AG775" s="46"/>
      <c r="AH775" s="46"/>
      <c r="AI775" s="46"/>
      <c r="AJ775" s="46"/>
      <c r="AK775" s="46"/>
      <c r="AL775" s="46"/>
      <c r="AM775" s="46"/>
      <c r="AN775" s="46"/>
      <c r="AO775" s="46"/>
    </row>
    <row r="776" customFormat="false" ht="15.75" hidden="false" customHeight="true" outlineLevel="0" collapsed="false">
      <c r="A776" s="37"/>
      <c r="B776" s="37"/>
      <c r="C776" s="59"/>
      <c r="D776" s="39"/>
      <c r="E776" s="40"/>
      <c r="F776" s="41"/>
      <c r="G776" s="37"/>
      <c r="H776" s="37"/>
      <c r="I776" s="37"/>
      <c r="J776" s="37"/>
      <c r="K776" s="68"/>
      <c r="L776" s="68"/>
      <c r="M776" s="71"/>
      <c r="N776" s="63"/>
      <c r="O776" s="63"/>
      <c r="P776" s="63"/>
      <c r="Q776" s="63"/>
      <c r="R776" s="41"/>
      <c r="S776" s="41"/>
      <c r="T776" s="63"/>
      <c r="U776" s="63"/>
      <c r="V776" s="63"/>
      <c r="W776" s="39"/>
      <c r="X776" s="41"/>
      <c r="Y776" s="44"/>
      <c r="Z776" s="57"/>
      <c r="AA776" s="57"/>
      <c r="AB776" s="41"/>
      <c r="AC776" s="57"/>
      <c r="AD776" s="46"/>
      <c r="AE776" s="46"/>
      <c r="AF776" s="47"/>
      <c r="AG776" s="46"/>
      <c r="AH776" s="46"/>
      <c r="AI776" s="46"/>
      <c r="AJ776" s="46"/>
      <c r="AK776" s="46"/>
      <c r="AL776" s="46"/>
      <c r="AM776" s="46"/>
      <c r="AN776" s="46"/>
      <c r="AO776" s="46"/>
    </row>
    <row r="777" customFormat="false" ht="15.75" hidden="false" customHeight="true" outlineLevel="0" collapsed="false">
      <c r="A777" s="37"/>
      <c r="B777" s="37"/>
      <c r="C777" s="59"/>
      <c r="D777" s="39"/>
      <c r="E777" s="40"/>
      <c r="F777" s="41"/>
      <c r="G777" s="37"/>
      <c r="H777" s="37"/>
      <c r="I777" s="37"/>
      <c r="J777" s="37"/>
      <c r="K777" s="68"/>
      <c r="L777" s="68"/>
      <c r="M777" s="71"/>
      <c r="N777" s="63"/>
      <c r="O777" s="63"/>
      <c r="P777" s="63"/>
      <c r="Q777" s="63"/>
      <c r="R777" s="41"/>
      <c r="S777" s="41"/>
      <c r="T777" s="63"/>
      <c r="U777" s="63"/>
      <c r="V777" s="63"/>
      <c r="W777" s="39"/>
      <c r="X777" s="41"/>
      <c r="Y777" s="44"/>
      <c r="Z777" s="57"/>
      <c r="AA777" s="57"/>
      <c r="AB777" s="41"/>
      <c r="AC777" s="57"/>
      <c r="AD777" s="46"/>
      <c r="AE777" s="46"/>
      <c r="AF777" s="47"/>
      <c r="AG777" s="46"/>
      <c r="AH777" s="46"/>
      <c r="AI777" s="46"/>
      <c r="AJ777" s="46"/>
      <c r="AK777" s="46"/>
      <c r="AL777" s="46"/>
      <c r="AM777" s="46"/>
      <c r="AN777" s="46"/>
      <c r="AO777" s="46"/>
    </row>
    <row r="778" customFormat="false" ht="15.75" hidden="false" customHeight="true" outlineLevel="0" collapsed="false">
      <c r="A778" s="37"/>
      <c r="B778" s="37"/>
      <c r="C778" s="59"/>
      <c r="D778" s="39"/>
      <c r="E778" s="40"/>
      <c r="F778" s="41"/>
      <c r="G778" s="37"/>
      <c r="H778" s="37"/>
      <c r="I778" s="37"/>
      <c r="J778" s="37"/>
      <c r="K778" s="68"/>
      <c r="L778" s="68"/>
      <c r="M778" s="71"/>
      <c r="N778" s="63"/>
      <c r="O778" s="63"/>
      <c r="P778" s="63"/>
      <c r="Q778" s="63"/>
      <c r="R778" s="41"/>
      <c r="S778" s="41"/>
      <c r="T778" s="63"/>
      <c r="U778" s="63"/>
      <c r="V778" s="63"/>
      <c r="W778" s="39"/>
      <c r="X778" s="41"/>
      <c r="Y778" s="44"/>
      <c r="Z778" s="57"/>
      <c r="AA778" s="57"/>
      <c r="AB778" s="41"/>
      <c r="AC778" s="57"/>
      <c r="AD778" s="46"/>
      <c r="AE778" s="46"/>
      <c r="AF778" s="47"/>
      <c r="AG778" s="46"/>
      <c r="AH778" s="46"/>
      <c r="AI778" s="46"/>
      <c r="AJ778" s="46"/>
      <c r="AK778" s="46"/>
      <c r="AL778" s="46"/>
      <c r="AM778" s="46"/>
      <c r="AN778" s="46"/>
      <c r="AO778" s="46"/>
    </row>
    <row r="779" customFormat="false" ht="15.75" hidden="false" customHeight="true" outlineLevel="0" collapsed="false">
      <c r="A779" s="37"/>
      <c r="B779" s="37"/>
      <c r="C779" s="59"/>
      <c r="D779" s="39"/>
      <c r="E779" s="40"/>
      <c r="F779" s="41"/>
      <c r="G779" s="37"/>
      <c r="H779" s="37"/>
      <c r="I779" s="37"/>
      <c r="J779" s="37"/>
      <c r="K779" s="68"/>
      <c r="L779" s="68"/>
      <c r="M779" s="71"/>
      <c r="N779" s="63"/>
      <c r="O779" s="63"/>
      <c r="P779" s="63"/>
      <c r="Q779" s="63"/>
      <c r="R779" s="41"/>
      <c r="S779" s="41"/>
      <c r="T779" s="63"/>
      <c r="U779" s="63"/>
      <c r="V779" s="63"/>
      <c r="W779" s="39"/>
      <c r="X779" s="41"/>
      <c r="Y779" s="44"/>
      <c r="Z779" s="57"/>
      <c r="AA779" s="57"/>
      <c r="AB779" s="41"/>
      <c r="AC779" s="57"/>
      <c r="AD779" s="46"/>
      <c r="AE779" s="46"/>
      <c r="AF779" s="47"/>
      <c r="AG779" s="46"/>
      <c r="AH779" s="46"/>
      <c r="AI779" s="46"/>
      <c r="AJ779" s="46"/>
      <c r="AK779" s="46"/>
      <c r="AL779" s="46"/>
      <c r="AM779" s="46"/>
      <c r="AN779" s="46"/>
      <c r="AO779" s="46"/>
    </row>
    <row r="780" customFormat="false" ht="15.75" hidden="false" customHeight="true" outlineLevel="0" collapsed="false">
      <c r="A780" s="37"/>
      <c r="B780" s="37"/>
      <c r="C780" s="59"/>
      <c r="D780" s="39"/>
      <c r="E780" s="40"/>
      <c r="F780" s="41"/>
      <c r="G780" s="37"/>
      <c r="H780" s="37"/>
      <c r="I780" s="37"/>
      <c r="J780" s="37"/>
      <c r="K780" s="68"/>
      <c r="L780" s="68"/>
      <c r="M780" s="71"/>
      <c r="N780" s="63"/>
      <c r="O780" s="63"/>
      <c r="P780" s="63"/>
      <c r="Q780" s="63"/>
      <c r="R780" s="41"/>
      <c r="S780" s="41"/>
      <c r="T780" s="63"/>
      <c r="U780" s="63"/>
      <c r="V780" s="63"/>
      <c r="W780" s="39"/>
      <c r="X780" s="41"/>
      <c r="Y780" s="44"/>
      <c r="Z780" s="57"/>
      <c r="AA780" s="57"/>
      <c r="AB780" s="41"/>
      <c r="AC780" s="57"/>
      <c r="AD780" s="46"/>
      <c r="AE780" s="46"/>
      <c r="AF780" s="47"/>
      <c r="AG780" s="46"/>
      <c r="AH780" s="46"/>
      <c r="AI780" s="46"/>
      <c r="AJ780" s="46"/>
      <c r="AK780" s="46"/>
      <c r="AL780" s="46"/>
      <c r="AM780" s="46"/>
      <c r="AN780" s="46"/>
      <c r="AO780" s="46"/>
    </row>
    <row r="781" customFormat="false" ht="15.75" hidden="false" customHeight="true" outlineLevel="0" collapsed="false">
      <c r="A781" s="37"/>
      <c r="B781" s="37"/>
      <c r="C781" s="59"/>
      <c r="D781" s="39"/>
      <c r="E781" s="40"/>
      <c r="F781" s="41"/>
      <c r="G781" s="37"/>
      <c r="H781" s="37"/>
      <c r="I781" s="37"/>
      <c r="J781" s="37"/>
      <c r="K781" s="68"/>
      <c r="L781" s="68"/>
      <c r="M781" s="71"/>
      <c r="N781" s="63"/>
      <c r="O781" s="63"/>
      <c r="P781" s="63"/>
      <c r="Q781" s="63"/>
      <c r="R781" s="41"/>
      <c r="S781" s="41"/>
      <c r="T781" s="63"/>
      <c r="U781" s="63"/>
      <c r="V781" s="63"/>
      <c r="W781" s="39"/>
      <c r="X781" s="41"/>
      <c r="Y781" s="44"/>
      <c r="Z781" s="57"/>
      <c r="AA781" s="57"/>
      <c r="AB781" s="41"/>
      <c r="AC781" s="57"/>
      <c r="AD781" s="46"/>
      <c r="AE781" s="46"/>
      <c r="AF781" s="47"/>
      <c r="AG781" s="46"/>
      <c r="AH781" s="46"/>
      <c r="AI781" s="46"/>
      <c r="AJ781" s="46"/>
      <c r="AK781" s="46"/>
      <c r="AL781" s="46"/>
      <c r="AM781" s="46"/>
      <c r="AN781" s="46"/>
      <c r="AO781" s="46"/>
    </row>
    <row r="782" customFormat="false" ht="15.75" hidden="false" customHeight="true" outlineLevel="0" collapsed="false">
      <c r="A782" s="37"/>
      <c r="B782" s="37"/>
      <c r="C782" s="59"/>
      <c r="D782" s="39"/>
      <c r="E782" s="40"/>
      <c r="F782" s="41"/>
      <c r="G782" s="37"/>
      <c r="H782" s="37"/>
      <c r="I782" s="37"/>
      <c r="J782" s="37"/>
      <c r="K782" s="68"/>
      <c r="L782" s="68"/>
      <c r="M782" s="71"/>
      <c r="N782" s="63"/>
      <c r="O782" s="63"/>
      <c r="P782" s="63"/>
      <c r="Q782" s="63"/>
      <c r="R782" s="41"/>
      <c r="S782" s="41"/>
      <c r="T782" s="63"/>
      <c r="U782" s="63"/>
      <c r="V782" s="63"/>
      <c r="W782" s="39"/>
      <c r="X782" s="41"/>
      <c r="Y782" s="44"/>
      <c r="Z782" s="57"/>
      <c r="AA782" s="57"/>
      <c r="AB782" s="41"/>
      <c r="AC782" s="57"/>
      <c r="AD782" s="46"/>
      <c r="AE782" s="46"/>
      <c r="AF782" s="47"/>
      <c r="AG782" s="46"/>
      <c r="AH782" s="46"/>
      <c r="AI782" s="46"/>
      <c r="AJ782" s="46"/>
      <c r="AK782" s="46"/>
      <c r="AL782" s="46"/>
      <c r="AM782" s="46"/>
      <c r="AN782" s="46"/>
      <c r="AO782" s="46"/>
    </row>
    <row r="783" customFormat="false" ht="15.75" hidden="false" customHeight="true" outlineLevel="0" collapsed="false">
      <c r="A783" s="37"/>
      <c r="B783" s="37"/>
      <c r="C783" s="59"/>
      <c r="D783" s="39"/>
      <c r="E783" s="40"/>
      <c r="F783" s="41"/>
      <c r="G783" s="37"/>
      <c r="H783" s="37"/>
      <c r="I783" s="37"/>
      <c r="J783" s="37"/>
      <c r="K783" s="68"/>
      <c r="L783" s="68"/>
      <c r="M783" s="71"/>
      <c r="N783" s="63"/>
      <c r="O783" s="63"/>
      <c r="P783" s="63"/>
      <c r="Q783" s="63"/>
      <c r="R783" s="41"/>
      <c r="S783" s="41"/>
      <c r="T783" s="63"/>
      <c r="U783" s="63"/>
      <c r="V783" s="63"/>
      <c r="W783" s="39"/>
      <c r="X783" s="41"/>
      <c r="Y783" s="44"/>
      <c r="Z783" s="57"/>
      <c r="AA783" s="57"/>
      <c r="AB783" s="41"/>
      <c r="AC783" s="57"/>
      <c r="AD783" s="46"/>
      <c r="AE783" s="46"/>
      <c r="AF783" s="47"/>
      <c r="AG783" s="46"/>
      <c r="AH783" s="46"/>
      <c r="AI783" s="46"/>
      <c r="AJ783" s="46"/>
      <c r="AK783" s="46"/>
      <c r="AL783" s="46"/>
      <c r="AM783" s="46"/>
      <c r="AN783" s="46"/>
      <c r="AO783" s="46"/>
    </row>
    <row r="784" customFormat="false" ht="15.75" hidden="false" customHeight="true" outlineLevel="0" collapsed="false">
      <c r="A784" s="37"/>
      <c r="B784" s="37"/>
      <c r="C784" s="59"/>
      <c r="D784" s="39"/>
      <c r="E784" s="40"/>
      <c r="F784" s="41"/>
      <c r="G784" s="37"/>
      <c r="H784" s="37"/>
      <c r="I784" s="37"/>
      <c r="J784" s="37"/>
      <c r="K784" s="68"/>
      <c r="L784" s="68"/>
      <c r="M784" s="71"/>
      <c r="N784" s="63"/>
      <c r="O784" s="63"/>
      <c r="P784" s="63"/>
      <c r="Q784" s="63"/>
      <c r="R784" s="41"/>
      <c r="S784" s="41"/>
      <c r="T784" s="63"/>
      <c r="U784" s="63"/>
      <c r="V784" s="63"/>
      <c r="W784" s="39"/>
      <c r="X784" s="41"/>
      <c r="Y784" s="44"/>
      <c r="Z784" s="57"/>
      <c r="AA784" s="57"/>
      <c r="AB784" s="41"/>
      <c r="AC784" s="57"/>
      <c r="AD784" s="46"/>
      <c r="AE784" s="46"/>
      <c r="AF784" s="47"/>
      <c r="AG784" s="46"/>
      <c r="AH784" s="46"/>
      <c r="AI784" s="46"/>
      <c r="AJ784" s="46"/>
      <c r="AK784" s="46"/>
      <c r="AL784" s="46"/>
      <c r="AM784" s="46"/>
      <c r="AN784" s="46"/>
      <c r="AO784" s="46"/>
    </row>
    <row r="785" customFormat="false" ht="15.75" hidden="false" customHeight="true" outlineLevel="0" collapsed="false">
      <c r="A785" s="37"/>
      <c r="B785" s="37"/>
      <c r="C785" s="59"/>
      <c r="D785" s="39"/>
      <c r="E785" s="40"/>
      <c r="F785" s="41"/>
      <c r="G785" s="37"/>
      <c r="H785" s="37"/>
      <c r="I785" s="37"/>
      <c r="J785" s="37"/>
      <c r="K785" s="68"/>
      <c r="L785" s="68"/>
      <c r="M785" s="71"/>
      <c r="N785" s="63"/>
      <c r="O785" s="63"/>
      <c r="P785" s="63"/>
      <c r="Q785" s="63"/>
      <c r="R785" s="41"/>
      <c r="S785" s="41"/>
      <c r="T785" s="63"/>
      <c r="U785" s="63"/>
      <c r="V785" s="63"/>
      <c r="W785" s="39"/>
      <c r="X785" s="41"/>
      <c r="Y785" s="44"/>
      <c r="Z785" s="57"/>
      <c r="AA785" s="57"/>
      <c r="AB785" s="41"/>
      <c r="AC785" s="57"/>
      <c r="AD785" s="46"/>
      <c r="AE785" s="46"/>
      <c r="AF785" s="47"/>
      <c r="AG785" s="46"/>
      <c r="AH785" s="46"/>
      <c r="AI785" s="46"/>
      <c r="AJ785" s="46"/>
      <c r="AK785" s="46"/>
      <c r="AL785" s="46"/>
      <c r="AM785" s="46"/>
      <c r="AN785" s="46"/>
      <c r="AO785" s="46"/>
    </row>
    <row r="786" customFormat="false" ht="15.75" hidden="false" customHeight="true" outlineLevel="0" collapsed="false">
      <c r="A786" s="37"/>
      <c r="B786" s="37"/>
      <c r="C786" s="59"/>
      <c r="D786" s="39"/>
      <c r="E786" s="40"/>
      <c r="F786" s="41"/>
      <c r="G786" s="37"/>
      <c r="H786" s="37"/>
      <c r="I786" s="37"/>
      <c r="J786" s="37"/>
      <c r="K786" s="68"/>
      <c r="L786" s="68"/>
      <c r="M786" s="71"/>
      <c r="N786" s="63"/>
      <c r="O786" s="63"/>
      <c r="P786" s="63"/>
      <c r="Q786" s="63"/>
      <c r="R786" s="41"/>
      <c r="S786" s="41"/>
      <c r="T786" s="63"/>
      <c r="U786" s="63"/>
      <c r="V786" s="63"/>
      <c r="W786" s="39"/>
      <c r="X786" s="41"/>
      <c r="Y786" s="44"/>
      <c r="Z786" s="57"/>
      <c r="AA786" s="57"/>
      <c r="AB786" s="41"/>
      <c r="AC786" s="57"/>
      <c r="AD786" s="46"/>
      <c r="AE786" s="46"/>
      <c r="AF786" s="47"/>
      <c r="AG786" s="46"/>
      <c r="AH786" s="46"/>
      <c r="AI786" s="46"/>
      <c r="AJ786" s="46"/>
      <c r="AK786" s="46"/>
      <c r="AL786" s="46"/>
      <c r="AM786" s="46"/>
      <c r="AN786" s="46"/>
      <c r="AO786" s="46"/>
    </row>
    <row r="787" customFormat="false" ht="15.75" hidden="false" customHeight="true" outlineLevel="0" collapsed="false">
      <c r="A787" s="37"/>
      <c r="B787" s="37"/>
      <c r="C787" s="59"/>
      <c r="D787" s="39"/>
      <c r="E787" s="40"/>
      <c r="F787" s="41"/>
      <c r="G787" s="37"/>
      <c r="H787" s="37"/>
      <c r="I787" s="37"/>
      <c r="J787" s="37"/>
      <c r="K787" s="68"/>
      <c r="L787" s="68"/>
      <c r="M787" s="71"/>
      <c r="N787" s="63"/>
      <c r="O787" s="63"/>
      <c r="P787" s="63"/>
      <c r="Q787" s="63"/>
      <c r="R787" s="41"/>
      <c r="S787" s="41"/>
      <c r="T787" s="63"/>
      <c r="U787" s="63"/>
      <c r="V787" s="63"/>
      <c r="W787" s="39"/>
      <c r="X787" s="41"/>
      <c r="Y787" s="44"/>
      <c r="Z787" s="57"/>
      <c r="AA787" s="57"/>
      <c r="AB787" s="41"/>
      <c r="AC787" s="57"/>
      <c r="AD787" s="46"/>
      <c r="AE787" s="46"/>
      <c r="AF787" s="47"/>
      <c r="AG787" s="46"/>
      <c r="AH787" s="46"/>
      <c r="AI787" s="46"/>
      <c r="AJ787" s="46"/>
      <c r="AK787" s="46"/>
      <c r="AL787" s="46"/>
      <c r="AM787" s="46"/>
      <c r="AN787" s="46"/>
      <c r="AO787" s="46"/>
    </row>
    <row r="788" customFormat="false" ht="15.75" hidden="false" customHeight="true" outlineLevel="0" collapsed="false">
      <c r="A788" s="37"/>
      <c r="B788" s="37"/>
      <c r="C788" s="59"/>
      <c r="D788" s="39"/>
      <c r="E788" s="40"/>
      <c r="F788" s="41"/>
      <c r="G788" s="37"/>
      <c r="H788" s="37"/>
      <c r="I788" s="37"/>
      <c r="J788" s="37"/>
      <c r="K788" s="68"/>
      <c r="L788" s="68"/>
      <c r="M788" s="71"/>
      <c r="N788" s="63"/>
      <c r="O788" s="63"/>
      <c r="P788" s="63"/>
      <c r="Q788" s="63"/>
      <c r="R788" s="41"/>
      <c r="S788" s="41"/>
      <c r="T788" s="63"/>
      <c r="U788" s="63"/>
      <c r="V788" s="63"/>
      <c r="W788" s="39"/>
      <c r="X788" s="41"/>
      <c r="Y788" s="44"/>
      <c r="Z788" s="57"/>
      <c r="AA788" s="57"/>
      <c r="AB788" s="41"/>
      <c r="AC788" s="57"/>
      <c r="AD788" s="46"/>
      <c r="AE788" s="46"/>
      <c r="AF788" s="47"/>
      <c r="AG788" s="46"/>
      <c r="AH788" s="46"/>
      <c r="AI788" s="46"/>
      <c r="AJ788" s="46"/>
      <c r="AK788" s="46"/>
      <c r="AL788" s="46"/>
      <c r="AM788" s="46"/>
      <c r="AN788" s="46"/>
      <c r="AO788" s="46"/>
    </row>
    <row r="789" customFormat="false" ht="15.75" hidden="false" customHeight="true" outlineLevel="0" collapsed="false">
      <c r="A789" s="37"/>
      <c r="B789" s="37"/>
      <c r="C789" s="59"/>
      <c r="D789" s="39"/>
      <c r="E789" s="40"/>
      <c r="F789" s="41"/>
      <c r="G789" s="37"/>
      <c r="H789" s="37"/>
      <c r="I789" s="37"/>
      <c r="J789" s="37"/>
      <c r="K789" s="68"/>
      <c r="L789" s="68"/>
      <c r="M789" s="71"/>
      <c r="N789" s="63"/>
      <c r="O789" s="63"/>
      <c r="P789" s="63"/>
      <c r="Q789" s="63"/>
      <c r="R789" s="41"/>
      <c r="S789" s="41"/>
      <c r="T789" s="63"/>
      <c r="U789" s="63"/>
      <c r="V789" s="63"/>
      <c r="W789" s="39"/>
      <c r="X789" s="41"/>
      <c r="Y789" s="44"/>
      <c r="Z789" s="57"/>
      <c r="AA789" s="57"/>
      <c r="AB789" s="41"/>
      <c r="AC789" s="57"/>
      <c r="AD789" s="46"/>
      <c r="AE789" s="46"/>
      <c r="AF789" s="47"/>
      <c r="AG789" s="46"/>
      <c r="AH789" s="46"/>
      <c r="AI789" s="46"/>
      <c r="AJ789" s="46"/>
      <c r="AK789" s="46"/>
      <c r="AL789" s="46"/>
      <c r="AM789" s="46"/>
      <c r="AN789" s="46"/>
      <c r="AO789" s="46"/>
    </row>
    <row r="790" customFormat="false" ht="15.75" hidden="false" customHeight="true" outlineLevel="0" collapsed="false">
      <c r="A790" s="37"/>
      <c r="B790" s="37"/>
      <c r="C790" s="59"/>
      <c r="D790" s="39"/>
      <c r="E790" s="40"/>
      <c r="F790" s="41"/>
      <c r="G790" s="37"/>
      <c r="H790" s="37"/>
      <c r="I790" s="37"/>
      <c r="J790" s="37"/>
      <c r="K790" s="68"/>
      <c r="L790" s="68"/>
      <c r="M790" s="71"/>
      <c r="N790" s="63"/>
      <c r="O790" s="63"/>
      <c r="P790" s="63"/>
      <c r="Q790" s="63"/>
      <c r="R790" s="41"/>
      <c r="S790" s="41"/>
      <c r="T790" s="63"/>
      <c r="U790" s="63"/>
      <c r="V790" s="63"/>
      <c r="W790" s="39"/>
      <c r="X790" s="41"/>
      <c r="Y790" s="44"/>
      <c r="Z790" s="57"/>
      <c r="AA790" s="57"/>
      <c r="AB790" s="41"/>
      <c r="AC790" s="57"/>
      <c r="AD790" s="46"/>
      <c r="AE790" s="46"/>
      <c r="AF790" s="47"/>
      <c r="AG790" s="46"/>
      <c r="AH790" s="46"/>
      <c r="AI790" s="46"/>
      <c r="AJ790" s="46"/>
      <c r="AK790" s="46"/>
      <c r="AL790" s="46"/>
      <c r="AM790" s="46"/>
      <c r="AN790" s="46"/>
      <c r="AO790" s="46"/>
    </row>
    <row r="791" customFormat="false" ht="15.75" hidden="false" customHeight="true" outlineLevel="0" collapsed="false">
      <c r="A791" s="37"/>
      <c r="B791" s="37"/>
      <c r="C791" s="59"/>
      <c r="D791" s="39"/>
      <c r="E791" s="40"/>
      <c r="F791" s="41"/>
      <c r="G791" s="37"/>
      <c r="H791" s="37"/>
      <c r="I791" s="37"/>
      <c r="J791" s="37"/>
      <c r="K791" s="68"/>
      <c r="L791" s="68"/>
      <c r="M791" s="71"/>
      <c r="N791" s="63"/>
      <c r="O791" s="63"/>
      <c r="P791" s="63"/>
      <c r="Q791" s="63"/>
      <c r="R791" s="41"/>
      <c r="S791" s="41"/>
      <c r="T791" s="63"/>
      <c r="U791" s="63"/>
      <c r="V791" s="63"/>
      <c r="W791" s="39"/>
      <c r="X791" s="41"/>
      <c r="Y791" s="44"/>
      <c r="Z791" s="57"/>
      <c r="AA791" s="57"/>
      <c r="AB791" s="41"/>
      <c r="AC791" s="57"/>
      <c r="AD791" s="46"/>
      <c r="AE791" s="46"/>
      <c r="AF791" s="47"/>
      <c r="AG791" s="46"/>
      <c r="AH791" s="46"/>
      <c r="AI791" s="46"/>
      <c r="AJ791" s="46"/>
      <c r="AK791" s="46"/>
      <c r="AL791" s="46"/>
      <c r="AM791" s="46"/>
      <c r="AN791" s="46"/>
      <c r="AO791" s="46"/>
    </row>
    <row r="792" customFormat="false" ht="15.75" hidden="false" customHeight="true" outlineLevel="0" collapsed="false">
      <c r="A792" s="37"/>
      <c r="B792" s="37"/>
      <c r="C792" s="59"/>
      <c r="D792" s="39"/>
      <c r="E792" s="40"/>
      <c r="F792" s="41"/>
      <c r="G792" s="37"/>
      <c r="H792" s="37"/>
      <c r="I792" s="37"/>
      <c r="J792" s="37"/>
      <c r="K792" s="68"/>
      <c r="L792" s="68"/>
      <c r="M792" s="71"/>
      <c r="N792" s="63"/>
      <c r="O792" s="63"/>
      <c r="P792" s="63"/>
      <c r="Q792" s="63"/>
      <c r="R792" s="41"/>
      <c r="S792" s="41"/>
      <c r="T792" s="63"/>
      <c r="U792" s="63"/>
      <c r="V792" s="63"/>
      <c r="W792" s="39"/>
      <c r="X792" s="41"/>
      <c r="Y792" s="44"/>
      <c r="Z792" s="57"/>
      <c r="AA792" s="57"/>
      <c r="AB792" s="41"/>
      <c r="AC792" s="57"/>
      <c r="AD792" s="46"/>
      <c r="AE792" s="46"/>
      <c r="AF792" s="47"/>
      <c r="AG792" s="46"/>
      <c r="AH792" s="46"/>
      <c r="AI792" s="46"/>
      <c r="AJ792" s="46"/>
      <c r="AK792" s="46"/>
      <c r="AL792" s="46"/>
      <c r="AM792" s="46"/>
      <c r="AN792" s="46"/>
      <c r="AO792" s="46"/>
    </row>
    <row r="793" customFormat="false" ht="15.75" hidden="false" customHeight="true" outlineLevel="0" collapsed="false">
      <c r="A793" s="37"/>
      <c r="B793" s="37"/>
      <c r="C793" s="59"/>
      <c r="D793" s="39"/>
      <c r="E793" s="40"/>
      <c r="F793" s="41"/>
      <c r="G793" s="37"/>
      <c r="H793" s="37"/>
      <c r="I793" s="37"/>
      <c r="J793" s="37"/>
      <c r="K793" s="68"/>
      <c r="L793" s="68"/>
      <c r="M793" s="71"/>
      <c r="N793" s="63"/>
      <c r="O793" s="63"/>
      <c r="P793" s="63"/>
      <c r="Q793" s="63"/>
      <c r="R793" s="41"/>
      <c r="S793" s="41"/>
      <c r="T793" s="63"/>
      <c r="U793" s="63"/>
      <c r="V793" s="63"/>
      <c r="W793" s="39"/>
      <c r="X793" s="41"/>
      <c r="Y793" s="44"/>
      <c r="Z793" s="57"/>
      <c r="AA793" s="57"/>
      <c r="AB793" s="41"/>
      <c r="AC793" s="57"/>
      <c r="AD793" s="46"/>
      <c r="AE793" s="46"/>
      <c r="AF793" s="47"/>
      <c r="AG793" s="46"/>
      <c r="AH793" s="46"/>
      <c r="AI793" s="46"/>
      <c r="AJ793" s="46"/>
      <c r="AK793" s="46"/>
      <c r="AL793" s="46"/>
      <c r="AM793" s="46"/>
      <c r="AN793" s="46"/>
      <c r="AO793" s="46"/>
    </row>
    <row r="794" customFormat="false" ht="15.75" hidden="false" customHeight="true" outlineLevel="0" collapsed="false">
      <c r="A794" s="37"/>
      <c r="B794" s="37"/>
      <c r="C794" s="59"/>
      <c r="D794" s="39"/>
      <c r="E794" s="40"/>
      <c r="F794" s="41"/>
      <c r="G794" s="37"/>
      <c r="H794" s="37"/>
      <c r="I794" s="37"/>
      <c r="J794" s="37"/>
      <c r="K794" s="68"/>
      <c r="L794" s="68"/>
      <c r="M794" s="71"/>
      <c r="N794" s="63"/>
      <c r="O794" s="63"/>
      <c r="P794" s="63"/>
      <c r="Q794" s="63"/>
      <c r="R794" s="41"/>
      <c r="S794" s="41"/>
      <c r="T794" s="63"/>
      <c r="U794" s="63"/>
      <c r="V794" s="63"/>
      <c r="W794" s="39"/>
      <c r="X794" s="41"/>
      <c r="Y794" s="44"/>
      <c r="Z794" s="57"/>
      <c r="AA794" s="57"/>
      <c r="AB794" s="41"/>
      <c r="AC794" s="57"/>
      <c r="AD794" s="46"/>
      <c r="AE794" s="46"/>
      <c r="AF794" s="47"/>
      <c r="AG794" s="46"/>
      <c r="AH794" s="46"/>
      <c r="AI794" s="46"/>
      <c r="AJ794" s="46"/>
      <c r="AK794" s="46"/>
      <c r="AL794" s="46"/>
      <c r="AM794" s="46"/>
      <c r="AN794" s="46"/>
      <c r="AO794" s="46"/>
    </row>
    <row r="795" customFormat="false" ht="15.75" hidden="false" customHeight="true" outlineLevel="0" collapsed="false">
      <c r="A795" s="37"/>
      <c r="B795" s="37"/>
      <c r="C795" s="59"/>
      <c r="D795" s="39"/>
      <c r="E795" s="40"/>
      <c r="F795" s="41"/>
      <c r="G795" s="37"/>
      <c r="H795" s="37"/>
      <c r="I795" s="37"/>
      <c r="J795" s="37"/>
      <c r="K795" s="68"/>
      <c r="L795" s="68"/>
      <c r="M795" s="71"/>
      <c r="N795" s="63"/>
      <c r="O795" s="63"/>
      <c r="P795" s="63"/>
      <c r="Q795" s="63"/>
      <c r="R795" s="41"/>
      <c r="S795" s="41"/>
      <c r="T795" s="63"/>
      <c r="U795" s="63"/>
      <c r="V795" s="63"/>
      <c r="W795" s="39"/>
      <c r="X795" s="41"/>
      <c r="Y795" s="44"/>
      <c r="Z795" s="57"/>
      <c r="AA795" s="57"/>
      <c r="AB795" s="41"/>
      <c r="AC795" s="57"/>
      <c r="AD795" s="46"/>
      <c r="AE795" s="46"/>
      <c r="AF795" s="47"/>
      <c r="AG795" s="46"/>
      <c r="AH795" s="46"/>
      <c r="AI795" s="46"/>
      <c r="AJ795" s="46"/>
      <c r="AK795" s="46"/>
      <c r="AL795" s="46"/>
      <c r="AM795" s="46"/>
      <c r="AN795" s="46"/>
      <c r="AO795" s="46"/>
    </row>
    <row r="796" customFormat="false" ht="15.75" hidden="false" customHeight="true" outlineLevel="0" collapsed="false">
      <c r="A796" s="37"/>
      <c r="B796" s="37"/>
      <c r="C796" s="59"/>
      <c r="D796" s="39"/>
      <c r="E796" s="40"/>
      <c r="F796" s="41"/>
      <c r="G796" s="37"/>
      <c r="H796" s="37"/>
      <c r="I796" s="37"/>
      <c r="J796" s="37"/>
      <c r="K796" s="68"/>
      <c r="L796" s="68"/>
      <c r="M796" s="71"/>
      <c r="N796" s="63"/>
      <c r="O796" s="63"/>
      <c r="P796" s="63"/>
      <c r="Q796" s="63"/>
      <c r="R796" s="41"/>
      <c r="S796" s="41"/>
      <c r="T796" s="63"/>
      <c r="U796" s="63"/>
      <c r="V796" s="63"/>
      <c r="W796" s="39"/>
      <c r="X796" s="41"/>
      <c r="Y796" s="44"/>
      <c r="Z796" s="57"/>
      <c r="AA796" s="57"/>
      <c r="AB796" s="41"/>
      <c r="AC796" s="57"/>
      <c r="AD796" s="46"/>
      <c r="AE796" s="46"/>
      <c r="AF796" s="47"/>
      <c r="AG796" s="46"/>
      <c r="AH796" s="46"/>
      <c r="AI796" s="46"/>
      <c r="AJ796" s="46"/>
      <c r="AK796" s="46"/>
      <c r="AL796" s="46"/>
      <c r="AM796" s="46"/>
      <c r="AN796" s="46"/>
      <c r="AO796" s="46"/>
    </row>
    <row r="797" customFormat="false" ht="15.75" hidden="false" customHeight="true" outlineLevel="0" collapsed="false">
      <c r="A797" s="37"/>
      <c r="B797" s="37"/>
      <c r="C797" s="59"/>
      <c r="D797" s="39"/>
      <c r="E797" s="40"/>
      <c r="F797" s="41"/>
      <c r="G797" s="37"/>
      <c r="H797" s="37"/>
      <c r="I797" s="37"/>
      <c r="J797" s="37"/>
      <c r="K797" s="68"/>
      <c r="L797" s="68"/>
      <c r="M797" s="71"/>
      <c r="N797" s="63"/>
      <c r="O797" s="63"/>
      <c r="P797" s="63"/>
      <c r="Q797" s="63"/>
      <c r="R797" s="41"/>
      <c r="S797" s="41"/>
      <c r="T797" s="63"/>
      <c r="U797" s="63"/>
      <c r="V797" s="63"/>
      <c r="W797" s="39"/>
      <c r="X797" s="41"/>
      <c r="Y797" s="44"/>
      <c r="Z797" s="57"/>
      <c r="AA797" s="57"/>
      <c r="AB797" s="41"/>
      <c r="AC797" s="57"/>
      <c r="AD797" s="46"/>
      <c r="AE797" s="46"/>
      <c r="AF797" s="47"/>
      <c r="AG797" s="46"/>
      <c r="AH797" s="46"/>
      <c r="AI797" s="46"/>
      <c r="AJ797" s="46"/>
      <c r="AK797" s="46"/>
      <c r="AL797" s="46"/>
      <c r="AM797" s="46"/>
      <c r="AN797" s="46"/>
      <c r="AO797" s="46"/>
    </row>
    <row r="798" customFormat="false" ht="15.75" hidden="false" customHeight="true" outlineLevel="0" collapsed="false">
      <c r="A798" s="37"/>
      <c r="B798" s="37"/>
      <c r="C798" s="59"/>
      <c r="D798" s="39"/>
      <c r="E798" s="40"/>
      <c r="F798" s="41"/>
      <c r="G798" s="37"/>
      <c r="H798" s="37"/>
      <c r="I798" s="37"/>
      <c r="J798" s="37"/>
      <c r="K798" s="68"/>
      <c r="L798" s="68"/>
      <c r="M798" s="71"/>
      <c r="N798" s="63"/>
      <c r="O798" s="63"/>
      <c r="P798" s="63"/>
      <c r="Q798" s="63"/>
      <c r="R798" s="41"/>
      <c r="S798" s="41"/>
      <c r="T798" s="63"/>
      <c r="U798" s="63"/>
      <c r="V798" s="63"/>
      <c r="W798" s="39"/>
      <c r="X798" s="41"/>
      <c r="Y798" s="44"/>
      <c r="Z798" s="57"/>
      <c r="AA798" s="57"/>
      <c r="AB798" s="41"/>
      <c r="AC798" s="57"/>
      <c r="AD798" s="46"/>
      <c r="AE798" s="46"/>
      <c r="AF798" s="47"/>
      <c r="AG798" s="46"/>
      <c r="AH798" s="46"/>
      <c r="AI798" s="46"/>
      <c r="AJ798" s="46"/>
      <c r="AK798" s="46"/>
      <c r="AL798" s="46"/>
      <c r="AM798" s="46"/>
      <c r="AN798" s="46"/>
      <c r="AO798" s="46"/>
    </row>
    <row r="799" customFormat="false" ht="15.75" hidden="false" customHeight="true" outlineLevel="0" collapsed="false">
      <c r="A799" s="37"/>
      <c r="B799" s="37"/>
      <c r="C799" s="59"/>
      <c r="D799" s="39"/>
      <c r="E799" s="40"/>
      <c r="F799" s="41"/>
      <c r="G799" s="37"/>
      <c r="H799" s="37"/>
      <c r="I799" s="37"/>
      <c r="J799" s="37"/>
      <c r="K799" s="68"/>
      <c r="L799" s="68"/>
      <c r="M799" s="71"/>
      <c r="N799" s="63"/>
      <c r="O799" s="63"/>
      <c r="P799" s="63"/>
      <c r="Q799" s="63"/>
      <c r="R799" s="41"/>
      <c r="S799" s="41"/>
      <c r="T799" s="63"/>
      <c r="U799" s="63"/>
      <c r="V799" s="63"/>
      <c r="W799" s="39"/>
      <c r="X799" s="41"/>
      <c r="Y799" s="44"/>
      <c r="Z799" s="57"/>
      <c r="AA799" s="57"/>
      <c r="AB799" s="41"/>
      <c r="AC799" s="57"/>
      <c r="AD799" s="46"/>
      <c r="AE799" s="46"/>
      <c r="AF799" s="47"/>
      <c r="AG799" s="46"/>
      <c r="AH799" s="46"/>
      <c r="AI799" s="46"/>
      <c r="AJ799" s="46"/>
      <c r="AK799" s="46"/>
      <c r="AL799" s="46"/>
      <c r="AM799" s="46"/>
      <c r="AN799" s="46"/>
      <c r="AO799" s="46"/>
    </row>
    <row r="800" customFormat="false" ht="15.75" hidden="false" customHeight="true" outlineLevel="0" collapsed="false">
      <c r="A800" s="82"/>
      <c r="B800" s="82"/>
      <c r="C800" s="83"/>
      <c r="D800" s="84"/>
      <c r="E800" s="85"/>
      <c r="F800" s="86"/>
      <c r="G800" s="82"/>
      <c r="H800" s="82"/>
      <c r="I800" s="82"/>
      <c r="J800" s="82"/>
      <c r="K800" s="87"/>
      <c r="L800" s="87"/>
      <c r="M800" s="88"/>
      <c r="N800" s="89"/>
      <c r="O800" s="89"/>
      <c r="P800" s="89"/>
      <c r="Q800" s="89"/>
      <c r="R800" s="86"/>
      <c r="S800" s="86"/>
      <c r="T800" s="89"/>
      <c r="U800" s="89"/>
      <c r="V800" s="89"/>
      <c r="W800" s="84"/>
      <c r="X800" s="86"/>
      <c r="Y800" s="90"/>
      <c r="Z800" s="84"/>
      <c r="AA800" s="84"/>
      <c r="AB800" s="86"/>
      <c r="AC800" s="84"/>
      <c r="AD800" s="91"/>
      <c r="AE800" s="91"/>
      <c r="AF800" s="92"/>
      <c r="AG800" s="91"/>
      <c r="AH800" s="91"/>
      <c r="AI800" s="91"/>
      <c r="AJ800" s="91"/>
      <c r="AK800" s="91"/>
      <c r="AL800" s="91"/>
      <c r="AM800" s="91"/>
      <c r="AN800" s="91"/>
      <c r="AO800" s="91"/>
    </row>
    <row r="801" customFormat="false" ht="15.75" hidden="false" customHeight="true" outlineLevel="0" collapsed="false">
      <c r="A801" s="82"/>
      <c r="B801" s="82"/>
      <c r="C801" s="83"/>
      <c r="D801" s="84"/>
      <c r="E801" s="85"/>
      <c r="F801" s="86"/>
      <c r="G801" s="82"/>
      <c r="H801" s="82"/>
      <c r="I801" s="82"/>
      <c r="J801" s="82"/>
      <c r="K801" s="87"/>
      <c r="L801" s="87"/>
      <c r="M801" s="88"/>
      <c r="N801" s="89"/>
      <c r="O801" s="89"/>
      <c r="P801" s="89"/>
      <c r="Q801" s="89"/>
      <c r="R801" s="86"/>
      <c r="S801" s="86"/>
      <c r="T801" s="89"/>
      <c r="U801" s="89"/>
      <c r="V801" s="89"/>
      <c r="W801" s="84"/>
      <c r="X801" s="86"/>
      <c r="Y801" s="90"/>
      <c r="Z801" s="84"/>
      <c r="AA801" s="84"/>
      <c r="AB801" s="86"/>
      <c r="AC801" s="84"/>
      <c r="AD801" s="91"/>
      <c r="AE801" s="91"/>
      <c r="AF801" s="92"/>
      <c r="AG801" s="91"/>
      <c r="AH801" s="91"/>
      <c r="AI801" s="91"/>
      <c r="AJ801" s="91"/>
      <c r="AK801" s="91"/>
      <c r="AL801" s="91"/>
      <c r="AM801" s="91"/>
      <c r="AN801" s="91"/>
      <c r="AO801" s="91"/>
    </row>
    <row r="802" customFormat="false" ht="15.75" hidden="false" customHeight="true" outlineLevel="0" collapsed="false">
      <c r="A802" s="82"/>
      <c r="B802" s="82"/>
      <c r="C802" s="83"/>
      <c r="D802" s="84"/>
      <c r="E802" s="85"/>
      <c r="F802" s="86"/>
      <c r="G802" s="82"/>
      <c r="H802" s="82"/>
      <c r="I802" s="82"/>
      <c r="J802" s="82"/>
      <c r="K802" s="87"/>
      <c r="L802" s="87"/>
      <c r="M802" s="88"/>
      <c r="N802" s="89"/>
      <c r="O802" s="89"/>
      <c r="P802" s="89"/>
      <c r="Q802" s="89"/>
      <c r="R802" s="86"/>
      <c r="S802" s="86"/>
      <c r="T802" s="89"/>
      <c r="U802" s="89"/>
      <c r="V802" s="89"/>
      <c r="W802" s="84"/>
      <c r="X802" s="86"/>
      <c r="Y802" s="90"/>
      <c r="Z802" s="84"/>
      <c r="AA802" s="84"/>
      <c r="AB802" s="86"/>
      <c r="AC802" s="84"/>
      <c r="AD802" s="91"/>
      <c r="AE802" s="91"/>
      <c r="AF802" s="92"/>
      <c r="AG802" s="91"/>
      <c r="AH802" s="91"/>
      <c r="AI802" s="91"/>
      <c r="AJ802" s="91"/>
      <c r="AK802" s="91"/>
      <c r="AL802" s="91"/>
      <c r="AM802" s="91"/>
      <c r="AN802" s="91"/>
      <c r="AO802" s="91"/>
    </row>
    <row r="803" customFormat="false" ht="15.75" hidden="false" customHeight="true" outlineLevel="0" collapsed="false">
      <c r="A803" s="82"/>
      <c r="B803" s="82"/>
      <c r="C803" s="83"/>
      <c r="D803" s="84"/>
      <c r="E803" s="85"/>
      <c r="F803" s="86"/>
      <c r="G803" s="82"/>
      <c r="H803" s="82"/>
      <c r="I803" s="82"/>
      <c r="J803" s="82"/>
      <c r="K803" s="87"/>
      <c r="L803" s="87"/>
      <c r="M803" s="88"/>
      <c r="N803" s="89"/>
      <c r="O803" s="89"/>
      <c r="P803" s="89"/>
      <c r="Q803" s="89"/>
      <c r="R803" s="86"/>
      <c r="S803" s="86"/>
      <c r="T803" s="89"/>
      <c r="U803" s="89"/>
      <c r="V803" s="89"/>
      <c r="W803" s="84"/>
      <c r="X803" s="86"/>
      <c r="Y803" s="90"/>
      <c r="Z803" s="84"/>
      <c r="AA803" s="84"/>
      <c r="AB803" s="86"/>
      <c r="AC803" s="84"/>
      <c r="AD803" s="91"/>
      <c r="AE803" s="91"/>
      <c r="AF803" s="92"/>
      <c r="AG803" s="91"/>
      <c r="AH803" s="91"/>
      <c r="AI803" s="91"/>
      <c r="AJ803" s="91"/>
      <c r="AK803" s="91"/>
      <c r="AL803" s="91"/>
      <c r="AM803" s="91"/>
      <c r="AN803" s="91"/>
      <c r="AO803" s="91"/>
    </row>
    <row r="804" customFormat="false" ht="15.75" hidden="false" customHeight="true" outlineLevel="0" collapsed="false">
      <c r="A804" s="82"/>
      <c r="B804" s="82"/>
      <c r="C804" s="83"/>
      <c r="D804" s="84"/>
      <c r="E804" s="85"/>
      <c r="F804" s="86"/>
      <c r="G804" s="82"/>
      <c r="H804" s="82"/>
      <c r="I804" s="82"/>
      <c r="J804" s="82"/>
      <c r="K804" s="87"/>
      <c r="L804" s="87"/>
      <c r="M804" s="88"/>
      <c r="N804" s="89"/>
      <c r="O804" s="89"/>
      <c r="P804" s="89"/>
      <c r="Q804" s="89"/>
      <c r="R804" s="86"/>
      <c r="S804" s="86"/>
      <c r="T804" s="89"/>
      <c r="U804" s="89"/>
      <c r="V804" s="89"/>
      <c r="W804" s="84"/>
      <c r="X804" s="86"/>
      <c r="Y804" s="90"/>
      <c r="Z804" s="84"/>
      <c r="AA804" s="84"/>
      <c r="AB804" s="86"/>
      <c r="AC804" s="84"/>
      <c r="AD804" s="91"/>
      <c r="AE804" s="91"/>
      <c r="AF804" s="92"/>
      <c r="AG804" s="91"/>
      <c r="AH804" s="91"/>
      <c r="AI804" s="91"/>
      <c r="AJ804" s="91"/>
      <c r="AK804" s="91"/>
      <c r="AL804" s="91"/>
      <c r="AM804" s="91"/>
      <c r="AN804" s="91"/>
      <c r="AO804" s="91"/>
    </row>
    <row r="805" customFormat="false" ht="15.75" hidden="false" customHeight="true" outlineLevel="0" collapsed="false">
      <c r="A805" s="82"/>
      <c r="B805" s="82"/>
      <c r="C805" s="83"/>
      <c r="D805" s="84"/>
      <c r="E805" s="85"/>
      <c r="F805" s="86"/>
      <c r="G805" s="82"/>
      <c r="H805" s="82"/>
      <c r="I805" s="82"/>
      <c r="J805" s="82"/>
      <c r="K805" s="87"/>
      <c r="L805" s="87"/>
      <c r="M805" s="88"/>
      <c r="N805" s="89"/>
      <c r="O805" s="89"/>
      <c r="P805" s="89"/>
      <c r="Q805" s="89"/>
      <c r="R805" s="86"/>
      <c r="S805" s="86"/>
      <c r="T805" s="89"/>
      <c r="U805" s="89"/>
      <c r="V805" s="89"/>
      <c r="W805" s="84"/>
      <c r="X805" s="86"/>
      <c r="Y805" s="90"/>
      <c r="Z805" s="84"/>
      <c r="AA805" s="84"/>
      <c r="AB805" s="86"/>
      <c r="AC805" s="84"/>
      <c r="AD805" s="91"/>
      <c r="AE805" s="91"/>
      <c r="AF805" s="92"/>
      <c r="AG805" s="91"/>
      <c r="AH805" s="91"/>
      <c r="AI805" s="91"/>
      <c r="AJ805" s="91"/>
      <c r="AK805" s="91"/>
      <c r="AL805" s="91"/>
      <c r="AM805" s="91"/>
      <c r="AN805" s="91"/>
      <c r="AO805" s="91"/>
    </row>
    <row r="806" customFormat="false" ht="15.75" hidden="false" customHeight="true" outlineLevel="0" collapsed="false">
      <c r="A806" s="82"/>
      <c r="B806" s="82"/>
      <c r="C806" s="83"/>
      <c r="D806" s="84"/>
      <c r="E806" s="85"/>
      <c r="F806" s="86"/>
      <c r="G806" s="82"/>
      <c r="H806" s="82"/>
      <c r="I806" s="82"/>
      <c r="J806" s="82"/>
      <c r="K806" s="87"/>
      <c r="L806" s="87"/>
      <c r="M806" s="88"/>
      <c r="N806" s="89"/>
      <c r="O806" s="89"/>
      <c r="P806" s="89"/>
      <c r="Q806" s="89"/>
      <c r="R806" s="86"/>
      <c r="S806" s="86"/>
      <c r="T806" s="89"/>
      <c r="U806" s="89"/>
      <c r="V806" s="89"/>
      <c r="W806" s="84"/>
      <c r="X806" s="86"/>
      <c r="Y806" s="90"/>
      <c r="Z806" s="84"/>
      <c r="AA806" s="84"/>
      <c r="AB806" s="86"/>
      <c r="AC806" s="84"/>
      <c r="AD806" s="91"/>
      <c r="AE806" s="91"/>
      <c r="AF806" s="92"/>
      <c r="AG806" s="91"/>
      <c r="AH806" s="91"/>
      <c r="AI806" s="91"/>
      <c r="AJ806" s="91"/>
      <c r="AK806" s="91"/>
      <c r="AL806" s="91"/>
      <c r="AM806" s="91"/>
      <c r="AN806" s="91"/>
      <c r="AO806" s="91"/>
    </row>
    <row r="807" customFormat="false" ht="15.75" hidden="false" customHeight="true" outlineLevel="0" collapsed="false">
      <c r="A807" s="82"/>
      <c r="B807" s="82"/>
      <c r="C807" s="83"/>
      <c r="D807" s="84"/>
      <c r="E807" s="85"/>
      <c r="F807" s="86"/>
      <c r="G807" s="82"/>
      <c r="H807" s="82"/>
      <c r="I807" s="82"/>
      <c r="J807" s="82"/>
      <c r="K807" s="87"/>
      <c r="L807" s="87"/>
      <c r="M807" s="88"/>
      <c r="N807" s="89"/>
      <c r="O807" s="89"/>
      <c r="P807" s="89"/>
      <c r="Q807" s="89"/>
      <c r="R807" s="86"/>
      <c r="S807" s="86"/>
      <c r="T807" s="89"/>
      <c r="U807" s="89"/>
      <c r="V807" s="89"/>
      <c r="W807" s="84"/>
      <c r="X807" s="86"/>
      <c r="Y807" s="90"/>
      <c r="Z807" s="84"/>
      <c r="AA807" s="84"/>
      <c r="AB807" s="86"/>
      <c r="AC807" s="84"/>
      <c r="AD807" s="91"/>
      <c r="AE807" s="91"/>
      <c r="AF807" s="92"/>
      <c r="AG807" s="91"/>
      <c r="AH807" s="91"/>
      <c r="AI807" s="91"/>
      <c r="AJ807" s="91"/>
      <c r="AK807" s="91"/>
      <c r="AL807" s="91"/>
      <c r="AM807" s="91"/>
      <c r="AN807" s="91"/>
      <c r="AO807" s="91"/>
    </row>
    <row r="808" customFormat="false" ht="15.75" hidden="false" customHeight="true" outlineLevel="0" collapsed="false">
      <c r="A808" s="82"/>
      <c r="B808" s="82"/>
      <c r="C808" s="83"/>
      <c r="D808" s="84"/>
      <c r="E808" s="85"/>
      <c r="F808" s="86"/>
      <c r="G808" s="82"/>
      <c r="H808" s="82"/>
      <c r="I808" s="82"/>
      <c r="J808" s="82"/>
      <c r="K808" s="87"/>
      <c r="L808" s="87"/>
      <c r="M808" s="88"/>
      <c r="N808" s="89"/>
      <c r="O808" s="89"/>
      <c r="P808" s="89"/>
      <c r="Q808" s="89"/>
      <c r="R808" s="86"/>
      <c r="S808" s="86"/>
      <c r="T808" s="89"/>
      <c r="U808" s="89"/>
      <c r="V808" s="89"/>
      <c r="W808" s="84"/>
      <c r="X808" s="86"/>
      <c r="Y808" s="90"/>
      <c r="Z808" s="84"/>
      <c r="AA808" s="84"/>
      <c r="AB808" s="86"/>
      <c r="AC808" s="84"/>
      <c r="AD808" s="91"/>
      <c r="AE808" s="91"/>
      <c r="AF808" s="92"/>
      <c r="AG808" s="91"/>
      <c r="AH808" s="91"/>
      <c r="AI808" s="91"/>
      <c r="AJ808" s="91"/>
      <c r="AK808" s="91"/>
      <c r="AL808" s="91"/>
      <c r="AM808" s="91"/>
      <c r="AN808" s="91"/>
      <c r="AO808" s="91"/>
    </row>
    <row r="809" customFormat="false" ht="15.75" hidden="false" customHeight="true" outlineLevel="0" collapsed="false">
      <c r="A809" s="82"/>
      <c r="B809" s="82"/>
      <c r="C809" s="83"/>
      <c r="D809" s="84"/>
      <c r="E809" s="85"/>
      <c r="F809" s="86"/>
      <c r="G809" s="82"/>
      <c r="H809" s="82"/>
      <c r="I809" s="82"/>
      <c r="J809" s="82"/>
      <c r="K809" s="87"/>
      <c r="L809" s="87"/>
      <c r="M809" s="88"/>
      <c r="N809" s="89"/>
      <c r="O809" s="89"/>
      <c r="P809" s="89"/>
      <c r="Q809" s="89"/>
      <c r="R809" s="86"/>
      <c r="S809" s="86"/>
      <c r="T809" s="89"/>
      <c r="U809" s="89"/>
      <c r="V809" s="89"/>
      <c r="W809" s="84"/>
      <c r="X809" s="86"/>
      <c r="Y809" s="90"/>
      <c r="Z809" s="84"/>
      <c r="AA809" s="84"/>
      <c r="AB809" s="86"/>
      <c r="AC809" s="84"/>
      <c r="AD809" s="91"/>
      <c r="AE809" s="91"/>
      <c r="AF809" s="92"/>
      <c r="AG809" s="91"/>
      <c r="AH809" s="91"/>
      <c r="AI809" s="91"/>
      <c r="AJ809" s="91"/>
      <c r="AK809" s="91"/>
      <c r="AL809" s="91"/>
      <c r="AM809" s="91"/>
      <c r="AN809" s="91"/>
      <c r="AO809" s="91"/>
    </row>
    <row r="810" customFormat="false" ht="15.75" hidden="false" customHeight="true" outlineLevel="0" collapsed="false">
      <c r="A810" s="82"/>
      <c r="B810" s="82"/>
      <c r="C810" s="83"/>
      <c r="D810" s="84"/>
      <c r="E810" s="85"/>
      <c r="F810" s="86"/>
      <c r="G810" s="82"/>
      <c r="H810" s="82"/>
      <c r="I810" s="82"/>
      <c r="J810" s="82"/>
      <c r="K810" s="87"/>
      <c r="L810" s="87"/>
      <c r="M810" s="88"/>
      <c r="N810" s="89"/>
      <c r="O810" s="89"/>
      <c r="P810" s="89"/>
      <c r="Q810" s="89"/>
      <c r="R810" s="86"/>
      <c r="S810" s="86"/>
      <c r="T810" s="89"/>
      <c r="U810" s="89"/>
      <c r="V810" s="89"/>
      <c r="W810" s="84"/>
      <c r="X810" s="86"/>
      <c r="Y810" s="90"/>
      <c r="Z810" s="84"/>
      <c r="AA810" s="84"/>
      <c r="AB810" s="86"/>
      <c r="AC810" s="84"/>
      <c r="AD810" s="91"/>
      <c r="AE810" s="91"/>
      <c r="AF810" s="92"/>
      <c r="AG810" s="91"/>
      <c r="AH810" s="91"/>
      <c r="AI810" s="91"/>
      <c r="AJ810" s="91"/>
      <c r="AK810" s="91"/>
      <c r="AL810" s="91"/>
      <c r="AM810" s="91"/>
      <c r="AN810" s="91"/>
      <c r="AO810" s="91"/>
    </row>
    <row r="811" customFormat="false" ht="15.75" hidden="false" customHeight="true" outlineLevel="0" collapsed="false">
      <c r="A811" s="82"/>
      <c r="B811" s="82"/>
      <c r="C811" s="83"/>
      <c r="D811" s="84"/>
      <c r="E811" s="85"/>
      <c r="F811" s="86"/>
      <c r="G811" s="82"/>
      <c r="H811" s="82"/>
      <c r="I811" s="82"/>
      <c r="J811" s="82"/>
      <c r="K811" s="87"/>
      <c r="L811" s="87"/>
      <c r="M811" s="88"/>
      <c r="N811" s="89"/>
      <c r="O811" s="89"/>
      <c r="P811" s="89"/>
      <c r="Q811" s="89"/>
      <c r="R811" s="86"/>
      <c r="S811" s="86"/>
      <c r="T811" s="89"/>
      <c r="U811" s="89"/>
      <c r="V811" s="89"/>
      <c r="W811" s="84"/>
      <c r="X811" s="86"/>
      <c r="Y811" s="90"/>
      <c r="Z811" s="84"/>
      <c r="AA811" s="84"/>
      <c r="AB811" s="86"/>
      <c r="AC811" s="84"/>
      <c r="AD811" s="91"/>
      <c r="AE811" s="91"/>
      <c r="AF811" s="92"/>
      <c r="AG811" s="91"/>
      <c r="AH811" s="91"/>
      <c r="AI811" s="91"/>
      <c r="AJ811" s="91"/>
      <c r="AK811" s="91"/>
      <c r="AL811" s="91"/>
      <c r="AM811" s="91"/>
      <c r="AN811" s="91"/>
      <c r="AO811" s="91"/>
    </row>
    <row r="812" customFormat="false" ht="15.75" hidden="false" customHeight="true" outlineLevel="0" collapsed="false">
      <c r="A812" s="82"/>
      <c r="B812" s="82"/>
      <c r="C812" s="83"/>
      <c r="D812" s="84"/>
      <c r="E812" s="85"/>
      <c r="F812" s="86"/>
      <c r="G812" s="82"/>
      <c r="H812" s="82"/>
      <c r="I812" s="82"/>
      <c r="J812" s="82"/>
      <c r="K812" s="87"/>
      <c r="L812" s="87"/>
      <c r="M812" s="88"/>
      <c r="N812" s="89"/>
      <c r="O812" s="89"/>
      <c r="P812" s="89"/>
      <c r="Q812" s="89"/>
      <c r="R812" s="86"/>
      <c r="S812" s="86"/>
      <c r="T812" s="89"/>
      <c r="U812" s="89"/>
      <c r="V812" s="89"/>
      <c r="W812" s="84"/>
      <c r="X812" s="86"/>
      <c r="Y812" s="90"/>
      <c r="Z812" s="84"/>
      <c r="AA812" s="84"/>
      <c r="AB812" s="86"/>
      <c r="AC812" s="84"/>
      <c r="AD812" s="91"/>
      <c r="AE812" s="91"/>
      <c r="AF812" s="92"/>
      <c r="AG812" s="91"/>
      <c r="AH812" s="91"/>
      <c r="AI812" s="91"/>
      <c r="AJ812" s="91"/>
      <c r="AK812" s="91"/>
      <c r="AL812" s="91"/>
      <c r="AM812" s="91"/>
      <c r="AN812" s="91"/>
      <c r="AO812" s="91"/>
    </row>
    <row r="813" customFormat="false" ht="15.75" hidden="false" customHeight="true" outlineLevel="0" collapsed="false">
      <c r="A813" s="82"/>
      <c r="B813" s="82"/>
      <c r="C813" s="83"/>
      <c r="D813" s="84"/>
      <c r="E813" s="85"/>
      <c r="F813" s="86"/>
      <c r="G813" s="82"/>
      <c r="H813" s="82"/>
      <c r="I813" s="82"/>
      <c r="J813" s="82"/>
      <c r="K813" s="87"/>
      <c r="L813" s="87"/>
      <c r="M813" s="88"/>
      <c r="N813" s="89"/>
      <c r="O813" s="89"/>
      <c r="P813" s="89"/>
      <c r="Q813" s="89"/>
      <c r="R813" s="86"/>
      <c r="S813" s="86"/>
      <c r="T813" s="89"/>
      <c r="U813" s="89"/>
      <c r="V813" s="89"/>
      <c r="W813" s="84"/>
      <c r="X813" s="86"/>
      <c r="Y813" s="90"/>
      <c r="Z813" s="84"/>
      <c r="AA813" s="84"/>
      <c r="AB813" s="86"/>
      <c r="AC813" s="84"/>
      <c r="AD813" s="91"/>
      <c r="AE813" s="91"/>
      <c r="AF813" s="92"/>
      <c r="AG813" s="91"/>
      <c r="AH813" s="91"/>
      <c r="AI813" s="91"/>
      <c r="AJ813" s="91"/>
      <c r="AK813" s="91"/>
      <c r="AL813" s="91"/>
      <c r="AM813" s="91"/>
      <c r="AN813" s="91"/>
      <c r="AO813" s="91"/>
    </row>
    <row r="814" customFormat="false" ht="15.75" hidden="false" customHeight="true" outlineLevel="0" collapsed="false">
      <c r="A814" s="82"/>
      <c r="B814" s="82"/>
      <c r="C814" s="83"/>
      <c r="D814" s="84"/>
      <c r="E814" s="85"/>
      <c r="F814" s="86"/>
      <c r="G814" s="82"/>
      <c r="H814" s="82"/>
      <c r="I814" s="82"/>
      <c r="J814" s="82"/>
      <c r="K814" s="87"/>
      <c r="L814" s="87"/>
      <c r="M814" s="88"/>
      <c r="N814" s="89"/>
      <c r="O814" s="89"/>
      <c r="P814" s="89"/>
      <c r="Q814" s="89"/>
      <c r="R814" s="86"/>
      <c r="S814" s="86"/>
      <c r="T814" s="89"/>
      <c r="U814" s="89"/>
      <c r="V814" s="89"/>
      <c r="W814" s="84"/>
      <c r="X814" s="86"/>
      <c r="Y814" s="90"/>
      <c r="Z814" s="84"/>
      <c r="AA814" s="84"/>
      <c r="AB814" s="86"/>
      <c r="AC814" s="84"/>
      <c r="AD814" s="91"/>
      <c r="AE814" s="91"/>
      <c r="AF814" s="92"/>
      <c r="AG814" s="91"/>
      <c r="AH814" s="91"/>
      <c r="AI814" s="91"/>
      <c r="AJ814" s="91"/>
      <c r="AK814" s="91"/>
      <c r="AL814" s="91"/>
      <c r="AM814" s="91"/>
      <c r="AN814" s="91"/>
      <c r="AO814" s="91"/>
    </row>
    <row r="815" customFormat="false" ht="15.75" hidden="false" customHeight="true" outlineLevel="0" collapsed="false">
      <c r="A815" s="82"/>
      <c r="B815" s="82"/>
      <c r="C815" s="83"/>
      <c r="D815" s="84"/>
      <c r="E815" s="85"/>
      <c r="F815" s="86"/>
      <c r="G815" s="82"/>
      <c r="H815" s="82"/>
      <c r="I815" s="82"/>
      <c r="J815" s="82"/>
      <c r="K815" s="87"/>
      <c r="L815" s="87"/>
      <c r="M815" s="88"/>
      <c r="N815" s="89"/>
      <c r="O815" s="89"/>
      <c r="P815" s="89"/>
      <c r="Q815" s="89"/>
      <c r="R815" s="86"/>
      <c r="S815" s="86"/>
      <c r="T815" s="89"/>
      <c r="U815" s="89"/>
      <c r="V815" s="89"/>
      <c r="W815" s="84"/>
      <c r="X815" s="86"/>
      <c r="Y815" s="90"/>
      <c r="Z815" s="84"/>
      <c r="AA815" s="84"/>
      <c r="AB815" s="86"/>
      <c r="AC815" s="84"/>
      <c r="AD815" s="91"/>
      <c r="AE815" s="91"/>
      <c r="AF815" s="92"/>
      <c r="AG815" s="91"/>
      <c r="AH815" s="91"/>
      <c r="AI815" s="91"/>
      <c r="AJ815" s="91"/>
      <c r="AK815" s="91"/>
      <c r="AL815" s="91"/>
      <c r="AM815" s="91"/>
      <c r="AN815" s="91"/>
      <c r="AO815" s="91"/>
    </row>
    <row r="816" customFormat="false" ht="15.75" hidden="false" customHeight="true" outlineLevel="0" collapsed="false">
      <c r="A816" s="82"/>
      <c r="B816" s="82"/>
      <c r="C816" s="83"/>
      <c r="D816" s="84"/>
      <c r="E816" s="85"/>
      <c r="F816" s="86"/>
      <c r="G816" s="82"/>
      <c r="H816" s="82"/>
      <c r="I816" s="82"/>
      <c r="J816" s="82"/>
      <c r="K816" s="87"/>
      <c r="L816" s="87"/>
      <c r="M816" s="88"/>
      <c r="N816" s="89"/>
      <c r="O816" s="89"/>
      <c r="P816" s="89"/>
      <c r="Q816" s="89"/>
      <c r="R816" s="86"/>
      <c r="S816" s="86"/>
      <c r="T816" s="89"/>
      <c r="U816" s="89"/>
      <c r="V816" s="89"/>
      <c r="W816" s="84"/>
      <c r="X816" s="86"/>
      <c r="Y816" s="90"/>
      <c r="Z816" s="84"/>
      <c r="AA816" s="84"/>
      <c r="AB816" s="86"/>
      <c r="AC816" s="84"/>
      <c r="AD816" s="91"/>
      <c r="AE816" s="91"/>
      <c r="AF816" s="92"/>
      <c r="AG816" s="91"/>
      <c r="AH816" s="91"/>
      <c r="AI816" s="91"/>
      <c r="AJ816" s="91"/>
      <c r="AK816" s="91"/>
      <c r="AL816" s="91"/>
      <c r="AM816" s="91"/>
      <c r="AN816" s="91"/>
      <c r="AO816" s="91"/>
    </row>
    <row r="817" customFormat="false" ht="15.75" hidden="false" customHeight="true" outlineLevel="0" collapsed="false">
      <c r="A817" s="82"/>
      <c r="B817" s="82"/>
      <c r="C817" s="83"/>
      <c r="D817" s="84"/>
      <c r="E817" s="85"/>
      <c r="F817" s="86"/>
      <c r="G817" s="82"/>
      <c r="H817" s="82"/>
      <c r="I817" s="82"/>
      <c r="J817" s="82"/>
      <c r="K817" s="87"/>
      <c r="L817" s="87"/>
      <c r="M817" s="88"/>
      <c r="N817" s="89"/>
      <c r="O817" s="89"/>
      <c r="P817" s="89"/>
      <c r="Q817" s="89"/>
      <c r="R817" s="86"/>
      <c r="S817" s="86"/>
      <c r="T817" s="89"/>
      <c r="U817" s="89"/>
      <c r="V817" s="89"/>
      <c r="W817" s="84"/>
      <c r="X817" s="86"/>
      <c r="Y817" s="90"/>
      <c r="Z817" s="84"/>
      <c r="AA817" s="84"/>
      <c r="AB817" s="86"/>
      <c r="AC817" s="84"/>
      <c r="AD817" s="91"/>
      <c r="AE817" s="91"/>
      <c r="AF817" s="92"/>
      <c r="AG817" s="91"/>
      <c r="AH817" s="91"/>
      <c r="AI817" s="91"/>
      <c r="AJ817" s="91"/>
      <c r="AK817" s="91"/>
      <c r="AL817" s="91"/>
      <c r="AM817" s="91"/>
      <c r="AN817" s="91"/>
      <c r="AO817" s="91"/>
    </row>
    <row r="818" customFormat="false" ht="15.75" hidden="false" customHeight="true" outlineLevel="0" collapsed="false">
      <c r="A818" s="82"/>
      <c r="B818" s="82"/>
      <c r="C818" s="83"/>
      <c r="D818" s="84"/>
      <c r="E818" s="85"/>
      <c r="F818" s="86"/>
      <c r="G818" s="82"/>
      <c r="H818" s="82"/>
      <c r="I818" s="82"/>
      <c r="J818" s="82"/>
      <c r="K818" s="87"/>
      <c r="L818" s="87"/>
      <c r="M818" s="88"/>
      <c r="N818" s="89"/>
      <c r="O818" s="89"/>
      <c r="P818" s="89"/>
      <c r="Q818" s="89"/>
      <c r="R818" s="86"/>
      <c r="S818" s="86"/>
      <c r="T818" s="89"/>
      <c r="U818" s="89"/>
      <c r="V818" s="89"/>
      <c r="W818" s="84"/>
      <c r="X818" s="86"/>
      <c r="Y818" s="90"/>
      <c r="Z818" s="84"/>
      <c r="AA818" s="84"/>
      <c r="AB818" s="86"/>
      <c r="AC818" s="84"/>
      <c r="AD818" s="91"/>
      <c r="AE818" s="91"/>
      <c r="AF818" s="92"/>
      <c r="AG818" s="91"/>
      <c r="AH818" s="91"/>
      <c r="AI818" s="91"/>
      <c r="AJ818" s="91"/>
      <c r="AK818" s="91"/>
      <c r="AL818" s="91"/>
      <c r="AM818" s="91"/>
      <c r="AN818" s="91"/>
      <c r="AO818" s="91"/>
    </row>
    <row r="819" customFormat="false" ht="15.75" hidden="false" customHeight="true" outlineLevel="0" collapsed="false">
      <c r="A819" s="82"/>
      <c r="B819" s="82"/>
      <c r="C819" s="83"/>
      <c r="D819" s="84"/>
      <c r="E819" s="85"/>
      <c r="F819" s="86"/>
      <c r="G819" s="82"/>
      <c r="H819" s="82"/>
      <c r="I819" s="82"/>
      <c r="J819" s="82"/>
      <c r="K819" s="87"/>
      <c r="L819" s="87"/>
      <c r="M819" s="88"/>
      <c r="N819" s="89"/>
      <c r="O819" s="89"/>
      <c r="P819" s="89"/>
      <c r="Q819" s="89"/>
      <c r="R819" s="86"/>
      <c r="S819" s="86"/>
      <c r="T819" s="89"/>
      <c r="U819" s="89"/>
      <c r="V819" s="89"/>
      <c r="W819" s="84"/>
      <c r="X819" s="86"/>
      <c r="Y819" s="90"/>
      <c r="Z819" s="84"/>
      <c r="AA819" s="84"/>
      <c r="AB819" s="86"/>
      <c r="AC819" s="84"/>
      <c r="AD819" s="91"/>
      <c r="AE819" s="91"/>
      <c r="AF819" s="92"/>
      <c r="AG819" s="91"/>
      <c r="AH819" s="91"/>
      <c r="AI819" s="91"/>
      <c r="AJ819" s="91"/>
      <c r="AK819" s="91"/>
      <c r="AL819" s="91"/>
      <c r="AM819" s="91"/>
      <c r="AN819" s="91"/>
      <c r="AO819" s="91"/>
    </row>
    <row r="820" customFormat="false" ht="15.75" hidden="false" customHeight="true" outlineLevel="0" collapsed="false">
      <c r="A820" s="82"/>
      <c r="B820" s="82"/>
      <c r="C820" s="83"/>
      <c r="D820" s="84"/>
      <c r="E820" s="85"/>
      <c r="F820" s="86"/>
      <c r="G820" s="82"/>
      <c r="H820" s="82"/>
      <c r="I820" s="82"/>
      <c r="J820" s="82"/>
      <c r="K820" s="87"/>
      <c r="L820" s="87"/>
      <c r="M820" s="88"/>
      <c r="N820" s="89"/>
      <c r="O820" s="89"/>
      <c r="P820" s="89"/>
      <c r="Q820" s="89"/>
      <c r="R820" s="86"/>
      <c r="S820" s="86"/>
      <c r="T820" s="89"/>
      <c r="U820" s="89"/>
      <c r="V820" s="89"/>
      <c r="W820" s="84"/>
      <c r="X820" s="86"/>
      <c r="Y820" s="90"/>
      <c r="Z820" s="84"/>
      <c r="AA820" s="84"/>
      <c r="AB820" s="86"/>
      <c r="AC820" s="84"/>
      <c r="AD820" s="91"/>
      <c r="AE820" s="91"/>
      <c r="AF820" s="92"/>
      <c r="AG820" s="91"/>
      <c r="AH820" s="91"/>
      <c r="AI820" s="91"/>
      <c r="AJ820" s="91"/>
      <c r="AK820" s="91"/>
      <c r="AL820" s="91"/>
      <c r="AM820" s="91"/>
      <c r="AN820" s="91"/>
      <c r="AO820" s="91"/>
    </row>
    <row r="821" customFormat="false" ht="15.75" hidden="false" customHeight="true" outlineLevel="0" collapsed="false">
      <c r="A821" s="82"/>
      <c r="B821" s="82"/>
      <c r="C821" s="83"/>
      <c r="D821" s="84"/>
      <c r="E821" s="85"/>
      <c r="F821" s="86"/>
      <c r="G821" s="82"/>
      <c r="H821" s="82"/>
      <c r="I821" s="82"/>
      <c r="J821" s="82"/>
      <c r="K821" s="87"/>
      <c r="L821" s="87"/>
      <c r="M821" s="88"/>
      <c r="N821" s="89"/>
      <c r="O821" s="89"/>
      <c r="P821" s="89"/>
      <c r="Q821" s="89"/>
      <c r="R821" s="86"/>
      <c r="S821" s="86"/>
      <c r="T821" s="89"/>
      <c r="U821" s="89"/>
      <c r="V821" s="89"/>
      <c r="W821" s="84"/>
      <c r="X821" s="86"/>
      <c r="Y821" s="90"/>
      <c r="Z821" s="84"/>
      <c r="AA821" s="84"/>
      <c r="AB821" s="86"/>
      <c r="AC821" s="84"/>
      <c r="AD821" s="91"/>
      <c r="AE821" s="91"/>
      <c r="AF821" s="92"/>
      <c r="AG821" s="91"/>
      <c r="AH821" s="91"/>
      <c r="AI821" s="91"/>
      <c r="AJ821" s="91"/>
      <c r="AK821" s="91"/>
      <c r="AL821" s="91"/>
      <c r="AM821" s="91"/>
      <c r="AN821" s="91"/>
      <c r="AO821" s="91"/>
    </row>
    <row r="822" customFormat="false" ht="15.75" hidden="false" customHeight="true" outlineLevel="0" collapsed="false">
      <c r="A822" s="82"/>
      <c r="B822" s="82"/>
      <c r="C822" s="83"/>
      <c r="D822" s="84"/>
      <c r="E822" s="85"/>
      <c r="F822" s="86"/>
      <c r="G822" s="82"/>
      <c r="H822" s="82"/>
      <c r="I822" s="82"/>
      <c r="J822" s="82"/>
      <c r="K822" s="87"/>
      <c r="L822" s="87"/>
      <c r="M822" s="88"/>
      <c r="N822" s="89"/>
      <c r="O822" s="89"/>
      <c r="P822" s="89"/>
      <c r="Q822" s="89"/>
      <c r="R822" s="86"/>
      <c r="S822" s="86"/>
      <c r="T822" s="89"/>
      <c r="U822" s="89"/>
      <c r="V822" s="89"/>
      <c r="W822" s="84"/>
      <c r="X822" s="86"/>
      <c r="Y822" s="90"/>
      <c r="Z822" s="84"/>
      <c r="AA822" s="84"/>
      <c r="AB822" s="86"/>
      <c r="AC822" s="84"/>
      <c r="AD822" s="91"/>
      <c r="AE822" s="91"/>
      <c r="AF822" s="92"/>
      <c r="AG822" s="91"/>
      <c r="AH822" s="91"/>
      <c r="AI822" s="91"/>
      <c r="AJ822" s="91"/>
      <c r="AK822" s="91"/>
      <c r="AL822" s="91"/>
      <c r="AM822" s="91"/>
      <c r="AN822" s="91"/>
      <c r="AO822" s="91"/>
    </row>
    <row r="823" customFormat="false" ht="15.75" hidden="false" customHeight="true" outlineLevel="0" collapsed="false">
      <c r="A823" s="82"/>
      <c r="B823" s="82"/>
      <c r="C823" s="83"/>
      <c r="D823" s="84"/>
      <c r="E823" s="85"/>
      <c r="F823" s="86"/>
      <c r="G823" s="82"/>
      <c r="H823" s="82"/>
      <c r="I823" s="82"/>
      <c r="J823" s="82"/>
      <c r="K823" s="87"/>
      <c r="L823" s="87"/>
      <c r="M823" s="88"/>
      <c r="N823" s="89"/>
      <c r="O823" s="89"/>
      <c r="P823" s="89"/>
      <c r="Q823" s="89"/>
      <c r="R823" s="86"/>
      <c r="S823" s="86"/>
      <c r="T823" s="89"/>
      <c r="U823" s="89"/>
      <c r="V823" s="89"/>
      <c r="W823" s="84"/>
      <c r="X823" s="86"/>
      <c r="Y823" s="90"/>
      <c r="Z823" s="84"/>
      <c r="AA823" s="84"/>
      <c r="AB823" s="86"/>
      <c r="AC823" s="84"/>
      <c r="AD823" s="91"/>
      <c r="AE823" s="91"/>
      <c r="AF823" s="92"/>
      <c r="AG823" s="91"/>
      <c r="AH823" s="91"/>
      <c r="AI823" s="91"/>
      <c r="AJ823" s="91"/>
      <c r="AK823" s="91"/>
      <c r="AL823" s="91"/>
      <c r="AM823" s="91"/>
      <c r="AN823" s="91"/>
      <c r="AO823" s="91"/>
    </row>
    <row r="824" customFormat="false" ht="15.75" hidden="false" customHeight="true" outlineLevel="0" collapsed="false">
      <c r="A824" s="82"/>
      <c r="B824" s="82"/>
      <c r="C824" s="83"/>
      <c r="D824" s="84"/>
      <c r="E824" s="85"/>
      <c r="F824" s="86"/>
      <c r="G824" s="82"/>
      <c r="H824" s="82"/>
      <c r="I824" s="82"/>
      <c r="J824" s="82"/>
      <c r="K824" s="87"/>
      <c r="L824" s="87"/>
      <c r="M824" s="88"/>
      <c r="N824" s="89"/>
      <c r="O824" s="89"/>
      <c r="P824" s="89"/>
      <c r="Q824" s="89"/>
      <c r="R824" s="86"/>
      <c r="S824" s="86"/>
      <c r="T824" s="89"/>
      <c r="U824" s="89"/>
      <c r="V824" s="89"/>
      <c r="W824" s="84"/>
      <c r="X824" s="86"/>
      <c r="Y824" s="90"/>
      <c r="Z824" s="84"/>
      <c r="AA824" s="84"/>
      <c r="AB824" s="86"/>
      <c r="AC824" s="84"/>
      <c r="AD824" s="91"/>
      <c r="AE824" s="91"/>
      <c r="AF824" s="92"/>
      <c r="AG824" s="91"/>
      <c r="AH824" s="91"/>
      <c r="AI824" s="91"/>
      <c r="AJ824" s="91"/>
      <c r="AK824" s="91"/>
      <c r="AL824" s="91"/>
      <c r="AM824" s="91"/>
      <c r="AN824" s="91"/>
      <c r="AO824" s="91"/>
    </row>
    <row r="825" customFormat="false" ht="15.75" hidden="false" customHeight="true" outlineLevel="0" collapsed="false">
      <c r="A825" s="82"/>
      <c r="B825" s="82"/>
      <c r="C825" s="83"/>
      <c r="D825" s="84"/>
      <c r="E825" s="85"/>
      <c r="F825" s="86"/>
      <c r="G825" s="82"/>
      <c r="H825" s="82"/>
      <c r="I825" s="82"/>
      <c r="J825" s="82"/>
      <c r="K825" s="87"/>
      <c r="L825" s="87"/>
      <c r="M825" s="88"/>
      <c r="N825" s="89"/>
      <c r="O825" s="89"/>
      <c r="P825" s="89"/>
      <c r="Q825" s="89"/>
      <c r="R825" s="86"/>
      <c r="S825" s="86"/>
      <c r="T825" s="89"/>
      <c r="U825" s="89"/>
      <c r="V825" s="89"/>
      <c r="W825" s="84"/>
      <c r="X825" s="86"/>
      <c r="Y825" s="90"/>
      <c r="Z825" s="84"/>
      <c r="AA825" s="84"/>
      <c r="AB825" s="86"/>
      <c r="AC825" s="84"/>
      <c r="AD825" s="91"/>
      <c r="AE825" s="91"/>
      <c r="AF825" s="92"/>
      <c r="AG825" s="91"/>
      <c r="AH825" s="91"/>
      <c r="AI825" s="91"/>
      <c r="AJ825" s="91"/>
      <c r="AK825" s="91"/>
      <c r="AL825" s="91"/>
      <c r="AM825" s="91"/>
      <c r="AN825" s="91"/>
      <c r="AO825" s="91"/>
    </row>
    <row r="826" customFormat="false" ht="15.75" hidden="false" customHeight="true" outlineLevel="0" collapsed="false">
      <c r="A826" s="82"/>
      <c r="B826" s="82"/>
      <c r="C826" s="83"/>
      <c r="D826" s="84"/>
      <c r="E826" s="85"/>
      <c r="F826" s="86"/>
      <c r="G826" s="82"/>
      <c r="H826" s="82"/>
      <c r="I826" s="82"/>
      <c r="J826" s="82"/>
      <c r="K826" s="87"/>
      <c r="L826" s="87"/>
      <c r="M826" s="88"/>
      <c r="N826" s="89"/>
      <c r="O826" s="89"/>
      <c r="P826" s="89"/>
      <c r="Q826" s="89"/>
      <c r="R826" s="86"/>
      <c r="S826" s="86"/>
      <c r="T826" s="89"/>
      <c r="U826" s="89"/>
      <c r="V826" s="89"/>
      <c r="W826" s="84"/>
      <c r="X826" s="86"/>
      <c r="Y826" s="90"/>
      <c r="Z826" s="84"/>
      <c r="AA826" s="84"/>
      <c r="AB826" s="86"/>
      <c r="AC826" s="84"/>
      <c r="AD826" s="91"/>
      <c r="AE826" s="91"/>
      <c r="AF826" s="92"/>
      <c r="AG826" s="91"/>
      <c r="AH826" s="91"/>
      <c r="AI826" s="91"/>
      <c r="AJ826" s="91"/>
      <c r="AK826" s="91"/>
      <c r="AL826" s="91"/>
      <c r="AM826" s="91"/>
      <c r="AN826" s="91"/>
      <c r="AO826" s="91"/>
    </row>
    <row r="827" customFormat="false" ht="15.75" hidden="false" customHeight="true" outlineLevel="0" collapsed="false">
      <c r="A827" s="82"/>
      <c r="B827" s="82"/>
      <c r="C827" s="83"/>
      <c r="D827" s="84"/>
      <c r="E827" s="85"/>
      <c r="F827" s="86"/>
      <c r="G827" s="82"/>
      <c r="H827" s="82"/>
      <c r="I827" s="82"/>
      <c r="J827" s="82"/>
      <c r="K827" s="87"/>
      <c r="L827" s="87"/>
      <c r="M827" s="88"/>
      <c r="N827" s="89"/>
      <c r="O827" s="89"/>
      <c r="P827" s="89"/>
      <c r="Q827" s="89"/>
      <c r="R827" s="86"/>
      <c r="S827" s="86"/>
      <c r="T827" s="89"/>
      <c r="U827" s="89"/>
      <c r="V827" s="89"/>
      <c r="W827" s="84"/>
      <c r="X827" s="86"/>
      <c r="Y827" s="90"/>
      <c r="Z827" s="84"/>
      <c r="AA827" s="84"/>
      <c r="AB827" s="86"/>
      <c r="AC827" s="84"/>
      <c r="AD827" s="91"/>
      <c r="AE827" s="91"/>
      <c r="AF827" s="92"/>
      <c r="AG827" s="91"/>
      <c r="AH827" s="91"/>
      <c r="AI827" s="91"/>
      <c r="AJ827" s="91"/>
      <c r="AK827" s="91"/>
      <c r="AL827" s="91"/>
      <c r="AM827" s="91"/>
      <c r="AN827" s="91"/>
      <c r="AO827" s="91"/>
    </row>
    <row r="828" customFormat="false" ht="15.75" hidden="false" customHeight="true" outlineLevel="0" collapsed="false">
      <c r="A828" s="82"/>
      <c r="B828" s="82"/>
      <c r="C828" s="83"/>
      <c r="D828" s="84"/>
      <c r="E828" s="85"/>
      <c r="F828" s="86"/>
      <c r="G828" s="82"/>
      <c r="H828" s="82"/>
      <c r="I828" s="82"/>
      <c r="J828" s="82"/>
      <c r="K828" s="87"/>
      <c r="L828" s="87"/>
      <c r="M828" s="88"/>
      <c r="N828" s="89"/>
      <c r="O828" s="89"/>
      <c r="P828" s="89"/>
      <c r="Q828" s="89"/>
      <c r="R828" s="86"/>
      <c r="S828" s="86"/>
      <c r="T828" s="89"/>
      <c r="U828" s="89"/>
      <c r="V828" s="89"/>
      <c r="W828" s="84"/>
      <c r="X828" s="86"/>
      <c r="Y828" s="90"/>
      <c r="Z828" s="84"/>
      <c r="AA828" s="84"/>
      <c r="AB828" s="86"/>
      <c r="AC828" s="84"/>
      <c r="AD828" s="91"/>
      <c r="AE828" s="91"/>
      <c r="AF828" s="92"/>
      <c r="AG828" s="91"/>
      <c r="AH828" s="91"/>
      <c r="AI828" s="91"/>
      <c r="AJ828" s="91"/>
      <c r="AK828" s="91"/>
      <c r="AL828" s="91"/>
      <c r="AM828" s="91"/>
      <c r="AN828" s="91"/>
      <c r="AO828" s="91"/>
    </row>
    <row r="829" customFormat="false" ht="15.75" hidden="false" customHeight="true" outlineLevel="0" collapsed="false">
      <c r="A829" s="82"/>
      <c r="B829" s="82"/>
      <c r="C829" s="83"/>
      <c r="D829" s="84"/>
      <c r="E829" s="85"/>
      <c r="F829" s="86"/>
      <c r="G829" s="82"/>
      <c r="H829" s="82"/>
      <c r="I829" s="82"/>
      <c r="J829" s="82"/>
      <c r="K829" s="87"/>
      <c r="L829" s="87"/>
      <c r="M829" s="88"/>
      <c r="N829" s="89"/>
      <c r="O829" s="89"/>
      <c r="P829" s="89"/>
      <c r="Q829" s="89"/>
      <c r="R829" s="86"/>
      <c r="S829" s="86"/>
      <c r="T829" s="89"/>
      <c r="U829" s="89"/>
      <c r="V829" s="89"/>
      <c r="W829" s="84"/>
      <c r="X829" s="86"/>
      <c r="Y829" s="90"/>
      <c r="Z829" s="84"/>
      <c r="AA829" s="84"/>
      <c r="AB829" s="86"/>
      <c r="AC829" s="84"/>
      <c r="AD829" s="91"/>
      <c r="AE829" s="91"/>
      <c r="AF829" s="92"/>
      <c r="AG829" s="91"/>
      <c r="AH829" s="91"/>
      <c r="AI829" s="91"/>
      <c r="AJ829" s="91"/>
      <c r="AK829" s="91"/>
      <c r="AL829" s="91"/>
      <c r="AM829" s="91"/>
      <c r="AN829" s="91"/>
      <c r="AO829" s="91"/>
    </row>
    <row r="830" customFormat="false" ht="15.75" hidden="false" customHeight="true" outlineLevel="0" collapsed="false">
      <c r="A830" s="82"/>
      <c r="B830" s="82"/>
      <c r="C830" s="83"/>
      <c r="D830" s="84"/>
      <c r="E830" s="85"/>
      <c r="F830" s="86"/>
      <c r="G830" s="82"/>
      <c r="H830" s="82"/>
      <c r="I830" s="82"/>
      <c r="J830" s="82"/>
      <c r="K830" s="87"/>
      <c r="L830" s="87"/>
      <c r="M830" s="88"/>
      <c r="N830" s="89"/>
      <c r="O830" s="89"/>
      <c r="P830" s="89"/>
      <c r="Q830" s="89"/>
      <c r="R830" s="86"/>
      <c r="S830" s="86"/>
      <c r="T830" s="89"/>
      <c r="U830" s="89"/>
      <c r="V830" s="89"/>
      <c r="W830" s="84"/>
      <c r="X830" s="86"/>
      <c r="Y830" s="90"/>
      <c r="Z830" s="84"/>
      <c r="AA830" s="84"/>
      <c r="AB830" s="86"/>
      <c r="AC830" s="84"/>
      <c r="AD830" s="91"/>
      <c r="AE830" s="91"/>
      <c r="AF830" s="92"/>
      <c r="AG830" s="91"/>
      <c r="AH830" s="91"/>
      <c r="AI830" s="91"/>
      <c r="AJ830" s="91"/>
      <c r="AK830" s="91"/>
      <c r="AL830" s="91"/>
      <c r="AM830" s="91"/>
      <c r="AN830" s="91"/>
      <c r="AO830" s="91"/>
    </row>
    <row r="1048472" customFormat="false" ht="15.75" hidden="false" customHeight="true" outlineLevel="0" collapsed="false">
      <c r="A1048472" s="1" t="s">
        <v>0</v>
      </c>
      <c r="B1048472" s="1"/>
      <c r="C1048472" s="2" t="s">
        <v>1</v>
      </c>
      <c r="D1048472" s="3"/>
      <c r="E1048472" s="4"/>
      <c r="F1048472" s="5"/>
      <c r="G1048472" s="6"/>
      <c r="H1048472" s="7"/>
      <c r="I1048472" s="7"/>
      <c r="J1048472" s="5"/>
      <c r="K1048472" s="1"/>
      <c r="L1048472" s="6"/>
      <c r="M1048472" s="5"/>
      <c r="N1048472" s="7"/>
      <c r="O1048472" s="5"/>
      <c r="P1048472" s="7"/>
      <c r="Q1048472" s="7"/>
      <c r="R1048472" s="7"/>
      <c r="S1048472" s="7"/>
      <c r="T1048472" s="7"/>
      <c r="U1048472" s="8"/>
      <c r="V1048472" s="7"/>
      <c r="W1048472" s="7"/>
      <c r="X1048472" s="7"/>
      <c r="Y1048472" s="9" t="s">
        <v>2</v>
      </c>
      <c r="Z1048472" s="1"/>
      <c r="AA1048472" s="1"/>
      <c r="AB1048472" s="10"/>
      <c r="AC1048472" s="1"/>
      <c r="AD1048472" s="7"/>
      <c r="AE1048472" s="6"/>
      <c r="AF1048472" s="6"/>
      <c r="AG1048472" s="7"/>
      <c r="AH1048472" s="7"/>
      <c r="AI1048472" s="7"/>
      <c r="AJ1048472" s="7"/>
      <c r="AK1048472" s="7"/>
      <c r="AL1048472" s="7"/>
      <c r="AM1048472" s="7"/>
      <c r="AN1048472" s="7"/>
      <c r="AO1048472" s="7"/>
    </row>
    <row r="1048473" customFormat="false" ht="15.75" hidden="false" customHeight="true" outlineLevel="0" collapsed="false">
      <c r="A1048473" s="11" t="s">
        <v>3</v>
      </c>
      <c r="B1048473" s="11" t="s">
        <v>4</v>
      </c>
      <c r="C1048473" s="11" t="s">
        <v>5</v>
      </c>
      <c r="D1048473" s="12" t="s">
        <v>6</v>
      </c>
      <c r="E1048473" s="13" t="s">
        <v>7</v>
      </c>
      <c r="F1048473" s="14" t="s">
        <v>8</v>
      </c>
      <c r="G1048473" s="15" t="s">
        <v>9</v>
      </c>
      <c r="H1048473" s="16" t="s">
        <v>10</v>
      </c>
      <c r="I1048473" s="16" t="s">
        <v>11</v>
      </c>
      <c r="J1048473" s="17" t="s">
        <v>12</v>
      </c>
      <c r="K1048473" s="14" t="s">
        <v>13</v>
      </c>
      <c r="L1048473" s="15" t="s">
        <v>14</v>
      </c>
      <c r="M1048473" s="14" t="s">
        <v>15</v>
      </c>
      <c r="N1048473" s="17" t="s">
        <v>16</v>
      </c>
      <c r="O1048473" s="17" t="s">
        <v>17</v>
      </c>
      <c r="P1048473" s="17" t="s">
        <v>18</v>
      </c>
      <c r="Q1048473" s="17"/>
      <c r="R1048473" s="18"/>
      <c r="S1048473" s="16"/>
      <c r="T1048473" s="17"/>
      <c r="U1048473" s="18"/>
      <c r="V1048473" s="17" t="s">
        <v>19</v>
      </c>
      <c r="W1048473" s="17" t="s">
        <v>20</v>
      </c>
      <c r="X1048473" s="17" t="s">
        <v>21</v>
      </c>
      <c r="Y1048473" s="19" t="s">
        <v>22</v>
      </c>
      <c r="Z1048473" s="20" t="s">
        <v>23</v>
      </c>
      <c r="AA1048473" s="20" t="s">
        <v>24</v>
      </c>
      <c r="AB1048473" s="21" t="s">
        <v>25</v>
      </c>
      <c r="AC1048473" s="20" t="s">
        <v>26</v>
      </c>
      <c r="AD1048473" s="20" t="s">
        <v>27</v>
      </c>
      <c r="AE1048473" s="21" t="s">
        <v>28</v>
      </c>
      <c r="AF1048473" s="22" t="s">
        <v>29</v>
      </c>
      <c r="AG1048473" s="21"/>
      <c r="AH1048473" s="21" t="s">
        <v>30</v>
      </c>
      <c r="AI1048473" s="21" t="s">
        <v>31</v>
      </c>
      <c r="AJ1048473" s="21" t="s">
        <v>32</v>
      </c>
      <c r="AK1048473" s="21" t="s">
        <v>33</v>
      </c>
      <c r="AL1048473" s="21" t="s">
        <v>34</v>
      </c>
      <c r="AM1048473" s="21" t="s">
        <v>35</v>
      </c>
      <c r="AN1048473" s="21" t="s">
        <v>36</v>
      </c>
      <c r="AO1048473" s="21"/>
    </row>
    <row r="1048474" customFormat="false" ht="15.75" hidden="false" customHeight="true" outlineLevel="0" collapsed="false">
      <c r="A1048474" s="23"/>
      <c r="B1048474" s="23"/>
      <c r="C1048474" s="24" t="s">
        <v>37</v>
      </c>
      <c r="D1048474" s="25" t="e">
        <f aca="false">COUNTA(#REF!)</f>
        <v>#REF!</v>
      </c>
      <c r="E1048474" s="26"/>
      <c r="F1048474" s="25"/>
      <c r="G1048474" s="27"/>
      <c r="H1048474" s="28" t="s">
        <v>38</v>
      </c>
      <c r="I1048474" s="28" t="s">
        <v>38</v>
      </c>
      <c r="J1048474" s="29" t="s">
        <v>39</v>
      </c>
      <c r="K1048474" s="23"/>
      <c r="L1048474" s="23"/>
      <c r="M1048474" s="30"/>
      <c r="N1048474" s="31"/>
      <c r="O1048474" s="32"/>
      <c r="P1048474" s="33"/>
      <c r="Q1048474" s="32"/>
      <c r="R1048474" s="32"/>
      <c r="S1048474" s="32"/>
      <c r="T1048474" s="32"/>
      <c r="U1048474" s="32"/>
      <c r="V1048474" s="32"/>
      <c r="W1048474" s="34"/>
      <c r="X1048474" s="34"/>
      <c r="Y1048474" s="34"/>
      <c r="Z1048474" s="23"/>
      <c r="AA1048474" s="23"/>
      <c r="AB1048474" s="35"/>
      <c r="AC1048474" s="23"/>
      <c r="AD1048474" s="34"/>
      <c r="AE1048474" s="36" t="b">
        <f aca="false">FALSE()</f>
        <v>0</v>
      </c>
      <c r="AF1048474" s="23"/>
      <c r="AG1048474" s="34"/>
      <c r="AH1048474" s="34"/>
      <c r="AI1048474" s="34"/>
      <c r="AJ1048474" s="34"/>
      <c r="AK1048474" s="34"/>
      <c r="AL1048474" s="34"/>
      <c r="AM1048474" s="34"/>
      <c r="AN1048474" s="34"/>
      <c r="AO1048474" s="34"/>
    </row>
    <row r="1048475" customFormat="false" ht="15.75" hidden="false" customHeight="true" outlineLevel="0" collapsed="false">
      <c r="A1048475" s="37" t="str">
        <f aca="false">IFERROR(__xludf.dummyfunction("SORT({FILTER('NTT_Th Nam'!A4:AN1521,'NTT_Th Nam'!E4:E1521&lt;&gt;"""");
FILTER('NTT_Th Tùng'!A4:AN1521,'NTT_Th Tùng'!E4:E1521&lt;&gt;"""");FILTER('Tổng ôn'!A4:AN1521,'Tổng ôn'!E4:E1521&lt;&gt;"""");FILTER(TC_TSA!A4:AN1521,TC_TSA!E4:E1521&lt;&gt;"""");FILTER(TC_HSA!A4:AN1521,TC_H"&amp;"SA!E4:E1521&lt;&gt;"""");FILTER('TC_V-ACT'!A4:AN1521,'TC_V-ACT'!E4:E1521&lt;&gt;"""")},5,TRUE)"),"Toán")</f>
        <v>Toán</v>
      </c>
      <c r="B1048475" s="37" t="str">
        <f aca="false">IFERROR(__xludf.dummyfunction("""COMPUTED_VALUE"""),"NT_T_01")</f>
        <v>NT_T_01</v>
      </c>
      <c r="C1048475" s="38" t="str">
        <f aca="false">IFERROR(__xludf.dummyfunction("""COMPUTED_VALUE"""),"Nhập môn chủ đề ứng dụng đạo hàm")</f>
        <v>Nhập môn chủ đề ứng dụng đạo hàm</v>
      </c>
      <c r="D1048475" s="39" t="str">
        <f aca="false">IFERROR(__xludf.dummyfunction("""COMPUTED_VALUE"""),"Nguyễn Thanh Tùng")</f>
        <v>Nguyễn Thanh Tùng</v>
      </c>
      <c r="E1048475" s="40" t="n">
        <f aca="false">IFERROR(__xludf.dummyfunction("""COMPUTED_VALUE"""),46116)</f>
        <v>46116</v>
      </c>
      <c r="F1048475" s="41" t="n">
        <f aca="false">IFERROR(__xludf.dummyfunction("""COMPUTED_VALUE"""),7)</f>
        <v>7</v>
      </c>
      <c r="G1048475" s="37" t="str">
        <f aca="false">IFERROR(__xludf.dummyfunction("""COMPUTED_VALUE"""),"20:00-22:00")</f>
        <v>20:00-22:00</v>
      </c>
      <c r="H1048475" s="42" t="str">
        <f aca="false">IFERROR(__xludf.dummyfunction("""COMPUTED_VALUE"""),"https://hocmai.vn/mod/scorm/view_file.php?id=179705")</f>
        <v>https://hocmai.vn/mod/scorm/view_file.php?id=179705</v>
      </c>
      <c r="I1048475" s="42" t="str">
        <f aca="false">IFERROR(__xludf.dummyfunction("""COMPUTED_VALUE"""),"https://hocmai.vn/mod/scorm/view_file.php?id=179746")</f>
        <v>https://hocmai.vn/mod/scorm/view_file.php?id=179746</v>
      </c>
      <c r="J1048475" s="42" t="str">
        <f aca="false">IFERROR(__xludf.dummyfunction("""COMPUTED_VALUE"""),"https://drive.google.com/drive/folders/1pooVkDuKbZux71nx9JQOPCtMkkO-NiVH?usp=drive_link")</f>
        <v>https://drive.google.com/drive/folders/1pooVkDuKbZux71nx9JQOPCtMkkO-NiVH?usp=drive_link</v>
      </c>
      <c r="K1048475" s="37" t="str">
        <f aca="false">IFERROR(__xludf.dummyfunction("""COMPUTED_VALUE"""),"Chientd2")</f>
        <v>Chientd2</v>
      </c>
      <c r="L1048475" s="37" t="str">
        <f aca="false">IFERROR(__xludf.dummyfunction("""COMPUTED_VALUE"""),"Tưởng Thị Huyền Trang")</f>
        <v>Tưởng Thị Huyền Trang</v>
      </c>
      <c r="M1048475" s="43" t="str">
        <f aca="false">IFERROR(__xludf.dummyfunction("""COMPUTED_VALUE"""),"https://hocmai.sharepoint.com/Education_Development/Lists/San_xuat_video/DispForm.aspx?ID=12140")</f>
        <v>https://hocmai.sharepoint.com/Education_Development/Lists/San_xuat_video/DispForm.aspx?ID=12140</v>
      </c>
      <c r="N1048475" s="41" t="n">
        <f aca="false">IFERROR(__xludf.dummyfunction("""COMPUTED_VALUE"""),3312)</f>
        <v>3312</v>
      </c>
      <c r="O1048475" s="41" t="n">
        <f aca="false">IFERROR(__xludf.dummyfunction("""COMPUTED_VALUE"""),166582)</f>
        <v>166582</v>
      </c>
      <c r="P1048475" s="41"/>
      <c r="Q1048475" s="41" t="n">
        <f aca="false">IFERROR(__xludf.dummyfunction("""COMPUTED_VALUE"""),7881)</f>
        <v>7881</v>
      </c>
      <c r="R1048475" s="41"/>
      <c r="S1048475" s="41"/>
      <c r="T1048475" s="41" t="n">
        <f aca="false">IFERROR(__xludf.dummyfunction("""COMPUTED_VALUE"""),7882)</f>
        <v>7882</v>
      </c>
      <c r="U1048475" s="41" t="n">
        <f aca="false">IFERROR(__xludf.dummyfunction("""COMPUTED_VALUE"""),22095)</f>
        <v>22095</v>
      </c>
      <c r="V1048475" s="40" t="n">
        <f aca="false">IFERROR(__xludf.dummyfunction("""COMPUTED_VALUE"""),46119)</f>
        <v>46119</v>
      </c>
      <c r="W1048475" s="39" t="str">
        <f aca="false">IFERROR(__xludf.dummyfunction("""COMPUTED_VALUE"""),"Hoàn thành XB")</f>
        <v>Hoàn thành XB</v>
      </c>
      <c r="X1048475" s="41" t="str">
        <f aca="false">IFERROR(__xludf.dummyfunction("""COMPUTED_VALUE"""),"Chientd2")</f>
        <v>Chientd2</v>
      </c>
      <c r="Y1048475" s="44"/>
      <c r="Z1048475" s="42" t="str">
        <f aca="false">IFERROR(__xludf.dummyfunction("""COMPUTED_VALUE"""),"https://s3.evgcloud.net/livestream/video/mp4/2026/04/04/336_3367b21041d85e947b681e0b1d2ab785e71_RELAY-20260404195951-cv.mp4")</f>
        <v>https://s3.evgcloud.net/livestream/video/mp4/2026/04/04/336_3367b21041d85e947b681e0b1d2ab785e71_RELAY-20260404195951-cv.mp4</v>
      </c>
      <c r="AA1048475" s="45" t="str">
        <f aca="false">IFERROR(__xludf.dummyfunction("""COMPUTED_VALUE"""),"Mở đầu &amp; Website
Giới thiệu khóa học, cách tải tài liệu và sử dụng hệ thống học tập
/hau_ky_s5_new/2026-2027_s5/Toan/Lop_12/Nen_tang_Toan/gv.tungnt/1/01
Mục tiêu bài học
Tổng quan kiến thức đạo hàm 11 cần thiết cho chương trình lớp 12
/hau_ky_s5_new/2026"&amp;"-2027_s5/Toan/Lop_12/Nen_tang_Toan/gv.tungnt/1/02
Đạo hàm bằng định nghĩa
Ôn tập công thức Lim và giải chi tiết 3 ví dụ vận dụng bản chất đạo hàm
/hau_ky_s5_new/2026-2027_s5/Toan/Lop_12/Nen_tang_Toan/gv.tungnt/1/03
Các quy tắc cơ bản
Đạo hàm tổng, hiệu,"&amp;" tích (u.v), thương (u/v) và đạo hàm hàm hợp
/hau_ky_s5_new/2026-2027_s5/Toan/Lop_12/Nen_tang_Toan/gv.tungnt/1/04
Luyện tập đạo hàm cơ bản
Giải chi tiết các bài tập từ câu 4 đến câu 13 trong tài liệu học tập
/hau_ky_s5_new/2026-2027_s5/Toan/Lop_12/Nen_ta"&amp;"ng_Toan/gv.tungnt/1/05
Đạo hàm Lượng giác
Các công thức Sin, Cos, Tan, Cot và bài tập vận dụng lượng giác chuyên sâu (P1)
/hau_ky_s5_new/2026-2027_s5/Toan/Lop_12/Nen_tang_Toan/gv.tungnt/1/06
Đạo hàm Lượng giác
Các công thức Sin, Cos, Tan, Cot và bài tập"&amp;" vận dụng lượng giác chuyên sâu (P2)
/hau_ky_s5_new/2026-2027_s5/Toan/Lop_12/Nen_tang_Toan/gv.tungnt/1/07
Hàm số Mũ &amp; Logarit
Đạo hàm e^x, a^x, ln x, log_a x và kỹ thuật logarit hóa hai vế
/hau_ky_s5_new/2026-2027_s5/Toan/Lop_12/Nen_tang_Toan/gv.tungnt/1"&amp;"/08
Luyện tập tổng hợp
Giải bài tập trắc nghiệm tổng hợp và phân tích lỗi sai về điều kiện xác định
/hau_ky_s5_new/2026-2027_s5/Toan/Lop_12/Nen_tang_Toan/gv.tungnt/1/09
Công thức tính nhanh
Kỹ thuật tính nhanh cho hàm bậc nhất/bậc nhất và bậc hai/bậc nh"&amp;"ất
/hau_ky_s5_new/2026-2027_s5/Toan/Lop_12/Nen_tang_Toan/gv.tungnt/1/10
Tổng kết &amp; Dặn dò
Nhấn mạnh tinh thần học tập và kết thúc buổi học đầu tiên
/hau_ky_s5_new/2026-2027_s5/Toan/Lop_12/Nen_tang_Toan/gv.tungnt/1/11")</f>
        <v>Mở đầu &amp; Website
Giới thiệu khóa học, cách tải tài liệu và sử dụng hệ thống học tập
/hau_ky_s5_new/2026-2027_s5/Toan/Lop_12/Nen_tang_Toan/gv.tungnt/1/01
Mục tiêu bài học
Tổng quan kiến thức đạo hàm 11 cần thiết cho chương trình lớp 12
/hau_ky_s5_new/2026-2027_s5/Toan/Lop_12/Nen_tang_Toan/gv.tungnt/1/02
Đạo hàm bằng định nghĩa
Ôn tập công thức Lim và giải chi tiết 3 ví dụ vận dụng bản chất đạo hàm
/hau_ky_s5_new/2026-2027_s5/Toan/Lop_12/Nen_tang_Toan/gv.tungnt/1/03
Các quy tắc cơ bản
Đạo hàm tổng, hiệu, tích (u.v), thương (u/v) và đạo hàm hàm hợp
/hau_ky_s5_new/2026-2027_s5/Toan/Lop_12/Nen_tang_Toan/gv.tungnt/1/04
Luyện tập đạo hàm cơ bản
Giải chi tiết các bài tập từ câu 4 đến câu 13 trong tài liệu học tập
/hau_ky_s5_new/2026-2027_s5/Toan/Lop_12/Nen_tang_Toan/gv.tungnt/1/05
Đạo hàm Lượng giác
Các công thức Sin, Cos, Tan, Cot và bài tập vận dụng lượng giác chuyên sâu (P1)
/hau_ky_s5_new/2026-2027_s5/Toan/Lop_12/Nen_tang_Toan/gv.tungnt/1/06
Đạo hàm Lượng giác
Các công thức Sin, Cos, Tan, Cot và bài tập vận dụng lượng giác chuyên sâu (P2)
/hau_ky_s5_new/2026-2027_s5/Toan/Lop_12/Nen_tang_Toan/gv.tungnt/1/07
Hàm số Mũ &amp; Logarit
Đạo hàm e^x, a^x, ln x, log_a x và kỹ thuật logarit hóa hai vế
/hau_ky_s5_new/2026-2027_s5/Toan/Lop_12/Nen_tang_Toan/gv.tungnt/1/08
Luyện tập tổng hợp
Giải bài tập trắc nghiệm tổng hợp và phân tích lỗi sai về điều kiện xác định
/hau_ky_s5_new/2026-2027_s5/Toan/Lop_12/Nen_tang_Toan/gv.tungnt/1/09
Công thức tính nhanh
Kỹ thuật tính nhanh cho hàm bậc nhất/bậc nhất và bậc hai/bậc nhất
/hau_ky_s5_new/2026-2027_s5/Toan/Lop_12/Nen_tang_Toan/gv.tungnt/1/10
Tổng kết &amp; Dặn dò
Nhấn mạnh tinh thần học tập và kết thúc buổi học đầu tiên
/hau_ky_s5_new/2026-2027_s5/Toan/Lop_12/Nen_tang_Toan/gv.tungnt/1/11</v>
      </c>
      <c r="AB1048475" s="41" t="n">
        <f aca="false">IFERROR(__xludf.dummyfunction("""COMPUTED_VALUE"""),4)</f>
        <v>4</v>
      </c>
      <c r="AC1048475" s="45" t="str">
        <f aca="false">IFERROR(__xludf.dummyfunction("""COMPUTED_VALUE"""),"nentangtoan")</f>
        <v>nentangtoan</v>
      </c>
      <c r="AD1048475" s="46"/>
      <c r="AE1048475" s="47"/>
      <c r="AF1048475" s="48" t="str">
        <f aca="false">IFERROR(__xludf.dummyfunction("""COMPUTED_VALUE"""),"lophoctoan-946116")</f>
        <v>lophoctoan-946116</v>
      </c>
      <c r="AG1048475" s="49" t="str">
        <f aca="false">IFERROR(__xludf.dummyfunction("""COMPUTED_VALUE"""),"")</f>
        <v/>
      </c>
      <c r="AH1048475" s="50" t="b">
        <f aca="false">IFERROR(__xludf.dummyfunction("""COMPUTED_VALUE"""),TRUE())</f>
        <v>1</v>
      </c>
      <c r="AI1048475" s="51"/>
      <c r="AJ1048475" s="51"/>
      <c r="AK1048475" s="51"/>
      <c r="AL1048475" s="51"/>
      <c r="AM1048475" s="51"/>
      <c r="AN1048475" s="51"/>
      <c r="AO1048475" s="49"/>
    </row>
    <row r="1048476" customFormat="false" ht="15.75" hidden="false" customHeight="true" outlineLevel="0" collapsed="false">
      <c r="A1048476" s="37" t="str">
        <f aca="false">IFERROR(__xludf.dummyfunction("""COMPUTED_VALUE"""),"Toán")</f>
        <v>Toán</v>
      </c>
      <c r="B1048476" s="37" t="str">
        <f aca="false">IFERROR(__xludf.dummyfunction("""COMPUTED_VALUE"""),"NT_T_02")</f>
        <v>NT_T_02</v>
      </c>
      <c r="C1048476" s="38" t="str">
        <f aca="false">IFERROR(__xludf.dummyfunction("""COMPUTED_VALUE"""),"Hai bài toán khoảng cách trong không gian")</f>
        <v>Hai bài toán khoảng cách trong không gian</v>
      </c>
      <c r="D1048476" s="39" t="str">
        <f aca="false">IFERROR(__xludf.dummyfunction("""COMPUTED_VALUE"""),"Nguyễn Thanh Tùng")</f>
        <v>Nguyễn Thanh Tùng</v>
      </c>
      <c r="E1048476" s="40" t="n">
        <f aca="false">IFERROR(__xludf.dummyfunction("""COMPUTED_VALUE"""),46120)</f>
        <v>46120</v>
      </c>
      <c r="F1048476" s="41" t="n">
        <f aca="false">IFERROR(__xludf.dummyfunction("""COMPUTED_VALUE"""),4)</f>
        <v>4</v>
      </c>
      <c r="G1048476" s="37" t="str">
        <f aca="false">IFERROR(__xludf.dummyfunction("""COMPUTED_VALUE"""),"20:00-22:00")</f>
        <v>20:00-22:00</v>
      </c>
      <c r="H1048476" s="42" t="str">
        <f aca="false">IFERROR(__xludf.dummyfunction("""COMPUTED_VALUE"""),"https://hocmai.vn/mod/scorm/view_file.php?id=179750")</f>
        <v>https://hocmai.vn/mod/scorm/view_file.php?id=179750</v>
      </c>
      <c r="I1048476" s="42" t="str">
        <f aca="false">IFERROR(__xludf.dummyfunction("""COMPUTED_VALUE"""),"https://hocmai.vn/mod/scorm/view_file.php?id=179806")</f>
        <v>https://hocmai.vn/mod/scorm/view_file.php?id=179806</v>
      </c>
      <c r="J1048476" s="42" t="str">
        <f aca="false">IFERROR(__xludf.dummyfunction("""COMPUTED_VALUE"""),"https://drive.google.com/drive/folders/17Ns1XGnRDURERaThSuyC4O983qcqrHni?usp=drive_link")</f>
        <v>https://drive.google.com/drive/folders/17Ns1XGnRDURERaThSuyC4O983qcqrHni?usp=drive_link</v>
      </c>
      <c r="K1048476" s="37" t="str">
        <f aca="false">IFERROR(__xludf.dummyfunction("""COMPUTED_VALUE"""),"Chientd2")</f>
        <v>Chientd2</v>
      </c>
      <c r="L1048476" s="37" t="str">
        <f aca="false">IFERROR(__xludf.dummyfunction("""COMPUTED_VALUE"""),"Tưởng Thị Huyền Trang")</f>
        <v>Tưởng Thị Huyền Trang</v>
      </c>
      <c r="M1048476" s="43" t="str">
        <f aca="false">IFERROR(__xludf.dummyfunction("""COMPUTED_VALUE"""),"https://hocmai.sharepoint.com/Education_Development/Lists/San_xuat_video/DispForm.aspx?ID=12141")</f>
        <v>https://hocmai.sharepoint.com/Education_Development/Lists/San_xuat_video/DispForm.aspx?ID=12141</v>
      </c>
      <c r="N1048476" s="41" t="n">
        <f aca="false">IFERROR(__xludf.dummyfunction("""COMPUTED_VALUE"""),3312)</f>
        <v>3312</v>
      </c>
      <c r="O1048476" s="41" t="n">
        <f aca="false">IFERROR(__xludf.dummyfunction("""COMPUTED_VALUE"""),166583)</f>
        <v>166583</v>
      </c>
      <c r="P1048476" s="41"/>
      <c r="Q1048476" s="41" t="n">
        <f aca="false">IFERROR(__xludf.dummyfunction("""COMPUTED_VALUE"""),7883)</f>
        <v>7883</v>
      </c>
      <c r="R1048476" s="41"/>
      <c r="S1048476" s="41"/>
      <c r="T1048476" s="41" t="n">
        <f aca="false">IFERROR(__xludf.dummyfunction("""COMPUTED_VALUE"""),7884)</f>
        <v>7884</v>
      </c>
      <c r="U1048476" s="41" t="n">
        <f aca="false">IFERROR(__xludf.dummyfunction("""COMPUTED_VALUE"""),22150)</f>
        <v>22150</v>
      </c>
      <c r="V1048476" s="40" t="n">
        <f aca="false">IFERROR(__xludf.dummyfunction("""COMPUTED_VALUE"""),46123)</f>
        <v>46123</v>
      </c>
      <c r="W1048476" s="39" t="str">
        <f aca="false">IFERROR(__xludf.dummyfunction("""COMPUTED_VALUE"""),"Hoàn thành XB")</f>
        <v>Hoàn thành XB</v>
      </c>
      <c r="X1048476" s="41" t="str">
        <f aca="false">IFERROR(__xludf.dummyfunction("""COMPUTED_VALUE"""),"Chientd2")</f>
        <v>Chientd2</v>
      </c>
      <c r="Y1048476" s="44"/>
      <c r="Z1048476" s="42" t="str">
        <f aca="false">IFERROR(__xludf.dummyfunction("""COMPUTED_VALUE"""),"https://s3.evgcloud.net/livestream/video/mp4/2026/04/08/336_3367b21041d85e947b681e0b1d2ab785e71_RELAY-20260408201630-cv.mp4")</f>
        <v>https://s3.evgcloud.net/livestream/video/mp4/2026/04/08/336_3367b21041d85e947b681e0b1d2ab785e71_RELAY-20260408201630-cv.mp4</v>
      </c>
      <c r="AA1048476" s="45" t="str">
        <f aca="false">IFERROR(__xludf.dummyfunction("""COMPUTED_VALUE"""),"/hau_ky_s5_new/2026-2027_s5/Toan/Lop_12/Nen_tang_Toan/gv.tungnt/2/01
/hau_ky_s5_new/2026-2027_s5/Toan/Lop_12/Nen_tang_Toan/gv.tungnt/2/02
/hau_ky_s5_new/2026-2027_s5/Toan/Lop_12/Nen_tang_Toan/gv.tungnt/2/03
/hau_ky_s5_new/2026-2027_s5/Toan/Lop_12/Nen_tang"&amp;"_Toan/gv.tungnt/2/04
/hau_ky_s5_new/2026-2027_s5/Toan/Lop_12/Nen_tang_Toan/gv.tungnt/2/05
/hau_ky_s5_new/2026-2027_s5/Toan/Lop_12/Nen_tang_Toan/gv.tungnt/2/06
/hau_ky_s5_new/2026-2027_s5/Toan/Lop_12/Nen_tang_Toan/gv.tungnt/2/07")</f>
        <v>/hau_ky_s5_new/2026-2027_s5/Toan/Lop_12/Nen_tang_Toan/gv.tungnt/2/01
/hau_ky_s5_new/2026-2027_s5/Toan/Lop_12/Nen_tang_Toan/gv.tungnt/2/02
/hau_ky_s5_new/2026-2027_s5/Toan/Lop_12/Nen_tang_Toan/gv.tungnt/2/03
/hau_ky_s5_new/2026-2027_s5/Toan/Lop_12/Nen_tang_Toan/gv.tungnt/2/04
/hau_ky_s5_new/2026-2027_s5/Toan/Lop_12/Nen_tang_Toan/gv.tungnt/2/05
/hau_ky_s5_new/2026-2027_s5/Toan/Lop_12/Nen_tang_Toan/gv.tungnt/2/06
/hau_ky_s5_new/2026-2027_s5/Toan/Lop_12/Nen_tang_Toan/gv.tungnt/2/07</v>
      </c>
      <c r="AB1048476" s="41" t="n">
        <f aca="false">IFERROR(__xludf.dummyfunction("""COMPUTED_VALUE"""),4)</f>
        <v>4</v>
      </c>
      <c r="AC1048476" s="45" t="str">
        <f aca="false">IFERROR(__xludf.dummyfunction("""COMPUTED_VALUE"""),"nentangtoan")</f>
        <v>nentangtoan</v>
      </c>
      <c r="AD1048476" s="52"/>
      <c r="AE1048476" s="47"/>
      <c r="AF1048476" s="47" t="str">
        <f aca="false">IFERROR(__xludf.dummyfunction("""COMPUTED_VALUE"""),"lophoctoan-946120")</f>
        <v>lophoctoan-946120</v>
      </c>
      <c r="AG1048476" s="52" t="str">
        <f aca="false">IFERROR(__xludf.dummyfunction("""COMPUTED_VALUE"""),"")</f>
        <v/>
      </c>
      <c r="AH1048476" s="53" t="b">
        <f aca="false">IFERROR(__xludf.dummyfunction("""COMPUTED_VALUE"""),TRUE())</f>
        <v>1</v>
      </c>
      <c r="AI1048476" s="35"/>
      <c r="AJ1048476" s="35"/>
      <c r="AK1048476" s="35"/>
      <c r="AL1048476" s="35"/>
      <c r="AM1048476" s="35"/>
      <c r="AN1048476" s="35"/>
      <c r="AO1048476" s="52"/>
    </row>
    <row r="1048477" customFormat="false" ht="15.75" hidden="false" customHeight="true" outlineLevel="0" collapsed="false">
      <c r="A1048477" s="37" t="str">
        <f aca="false">IFERROR(__xludf.dummyfunction("""COMPUTED_VALUE"""),"Toán")</f>
        <v>Toán</v>
      </c>
      <c r="B1048477" s="37" t="str">
        <f aca="false">IFERROR(__xludf.dummyfunction("""COMPUTED_VALUE"""),"NT_T_03")</f>
        <v>NT_T_03</v>
      </c>
      <c r="C1048477" s="38" t="str">
        <f aca="false">IFERROR(__xludf.dummyfunction("""COMPUTED_VALUE"""),"Ứng dụng đạo hàm giải bài toán chuyển động, tăng trưởng cơ bản")</f>
        <v>Ứng dụng đạo hàm giải bài toán chuyển động, tăng trưởng cơ bản</v>
      </c>
      <c r="D1048477" s="39" t="str">
        <f aca="false">IFERROR(__xludf.dummyfunction("""COMPUTED_VALUE"""),"Nguyễn Thanh Tùng")</f>
        <v>Nguyễn Thanh Tùng</v>
      </c>
      <c r="E1048477" s="40" t="n">
        <f aca="false">IFERROR(__xludf.dummyfunction("""COMPUTED_VALUE"""),46123)</f>
        <v>46123</v>
      </c>
      <c r="F1048477" s="41" t="n">
        <f aca="false">IFERROR(__xludf.dummyfunction("""COMPUTED_VALUE"""),7)</f>
        <v>7</v>
      </c>
      <c r="G1048477" s="37" t="str">
        <f aca="false">IFERROR(__xludf.dummyfunction("""COMPUTED_VALUE"""),"20:00-22:00")</f>
        <v>20:00-22:00</v>
      </c>
      <c r="H1048477" s="42" t="str">
        <f aca="false">IFERROR(__xludf.dummyfunction("""COMPUTED_VALUE"""),"https://hocmai.vn/mod/scorm/view_file.php?id=179810")</f>
        <v>https://hocmai.vn/mod/scorm/view_file.php?id=179810</v>
      </c>
      <c r="I1048477" s="42" t="str">
        <f aca="false">IFERROR(__xludf.dummyfunction("""COMPUTED_VALUE"""),"https://hocmai.vn/mod/scorm/view_file.php?id=179848")</f>
        <v>https://hocmai.vn/mod/scorm/view_file.php?id=179848</v>
      </c>
      <c r="J1048477" s="42" t="str">
        <f aca="false">IFERROR(__xludf.dummyfunction("""COMPUTED_VALUE"""),"https://drive.google.com/drive/folders/1xgHxIawL2ZhDklUCtuAFi7FxgJkjde7U?usp=drive_link")</f>
        <v>https://drive.google.com/drive/folders/1xgHxIawL2ZhDklUCtuAFi7FxgJkjde7U?usp=drive_link</v>
      </c>
      <c r="K1048477" s="37" t="str">
        <f aca="false">IFERROR(__xludf.dummyfunction("""COMPUTED_VALUE"""),"Chientd2")</f>
        <v>Chientd2</v>
      </c>
      <c r="L1048477" s="37" t="str">
        <f aca="false">IFERROR(__xludf.dummyfunction("""COMPUTED_VALUE"""),"Tưởng Thị Huyền Trang")</f>
        <v>Tưởng Thị Huyền Trang</v>
      </c>
      <c r="M1048477" s="43" t="str">
        <f aca="false">IFERROR(__xludf.dummyfunction("""COMPUTED_VALUE"""),"https://hocmai.sharepoint.com/Education_Development/Lists/San_xuat_video/DispForm.aspx?ID=12142")</f>
        <v>https://hocmai.sharepoint.com/Education_Development/Lists/San_xuat_video/DispForm.aspx?ID=12142</v>
      </c>
      <c r="N1048477" s="41" t="n">
        <f aca="false">IFERROR(__xludf.dummyfunction("""COMPUTED_VALUE"""),3312)</f>
        <v>3312</v>
      </c>
      <c r="O1048477" s="41" t="n">
        <f aca="false">IFERROR(__xludf.dummyfunction("""COMPUTED_VALUE"""),166584)</f>
        <v>166584</v>
      </c>
      <c r="P1048477" s="41"/>
      <c r="Q1048477" s="41" t="n">
        <f aca="false">IFERROR(__xludf.dummyfunction("""COMPUTED_VALUE"""),7885)</f>
        <v>7885</v>
      </c>
      <c r="R1048477" s="41"/>
      <c r="S1048477" s="41"/>
      <c r="T1048477" s="41" t="n">
        <f aca="false">IFERROR(__xludf.dummyfunction("""COMPUTED_VALUE"""),7886)</f>
        <v>7886</v>
      </c>
      <c r="U1048477" s="41" t="n">
        <f aca="false">IFERROR(__xludf.dummyfunction("""COMPUTED_VALUE"""),22173)</f>
        <v>22173</v>
      </c>
      <c r="V1048477" s="40" t="n">
        <f aca="false">IFERROR(__xludf.dummyfunction("""COMPUTED_VALUE"""),46126)</f>
        <v>46126</v>
      </c>
      <c r="W1048477" s="39" t="str">
        <f aca="false">IFERROR(__xludf.dummyfunction("""COMPUTED_VALUE"""),"Hoàn thành XB")</f>
        <v>Hoàn thành XB</v>
      </c>
      <c r="X1048477" s="41" t="str">
        <f aca="false">IFERROR(__xludf.dummyfunction("""COMPUTED_VALUE"""),"Chientd2")</f>
        <v>Chientd2</v>
      </c>
      <c r="Y1048477" s="44"/>
      <c r="Z1048477" s="42" t="str">
        <f aca="false">IFERROR(__xludf.dummyfunction("""COMPUTED_VALUE"""),"https://s3.evgcloud.net/livestream/video/mp4/2026/04/11/336_3367b21041d85e947b681e0b1d2ab785e71_RELAY-20260411195610-cv.mp4")</f>
        <v>https://s3.evgcloud.net/livestream/video/mp4/2026/04/11/336_3367b21041d85e947b681e0b1d2ab785e71_RELAY-20260411195610-cv.mp4</v>
      </c>
      <c r="AA1048477" s="45" t="str">
        <f aca="false">IFERROR(__xludf.dummyfunction("""COMPUTED_VALUE"""),"/hau_ky_s5_new/2026-2027_s5/Toan/Lop_12/Nen_tang_Toan/gv.tungnt/3/01
/hau_ky_s5_new/2026-2027_s5/Toan/Lop_12/Nen_tang_Toan/gv.tungnt/3/02
/hau_ky_s5_new/2026-2027_s5/Toan/Lop_12/Nen_tang_Toan/gv.tungnt/3/03
/hau_ky_s5_new/2026-2027_s5/Toan/Lop_12/Nen_tang"&amp;"_Toan/gv.tungnt/3/04
/hau_ky_s5_new/2026-2027_s5/Toan/Lop_12/Nen_tang_Toan/gv.tungnt/3/05")</f>
        <v>/hau_ky_s5_new/2026-2027_s5/Toan/Lop_12/Nen_tang_Toan/gv.tungnt/3/01
/hau_ky_s5_new/2026-2027_s5/Toan/Lop_12/Nen_tang_Toan/gv.tungnt/3/02
/hau_ky_s5_new/2026-2027_s5/Toan/Lop_12/Nen_tang_Toan/gv.tungnt/3/03
/hau_ky_s5_new/2026-2027_s5/Toan/Lop_12/Nen_tang_Toan/gv.tungnt/3/04
/hau_ky_s5_new/2026-2027_s5/Toan/Lop_12/Nen_tang_Toan/gv.tungnt/3/05</v>
      </c>
      <c r="AB1048477" s="41" t="n">
        <f aca="false">IFERROR(__xludf.dummyfunction("""COMPUTED_VALUE"""),4)</f>
        <v>4</v>
      </c>
      <c r="AC1048477" s="45" t="str">
        <f aca="false">IFERROR(__xludf.dummyfunction("""COMPUTED_VALUE"""),"nentangtoan")</f>
        <v>nentangtoan</v>
      </c>
      <c r="AD1048477" s="52"/>
      <c r="AE1048477" s="47"/>
      <c r="AF1048477" s="47" t="str">
        <f aca="false">IFERROR(__xludf.dummyfunction("""COMPUTED_VALUE"""),"lophoctoan-946123")</f>
        <v>lophoctoan-946123</v>
      </c>
      <c r="AG1048477" s="52" t="str">
        <f aca="false">IFERROR(__xludf.dummyfunction("""COMPUTED_VALUE"""),"")</f>
        <v/>
      </c>
      <c r="AH1048477" s="53" t="b">
        <f aca="false">IFERROR(__xludf.dummyfunction("""COMPUTED_VALUE"""),TRUE())</f>
        <v>1</v>
      </c>
      <c r="AI1048477" s="35"/>
      <c r="AJ1048477" s="35"/>
      <c r="AK1048477" s="35"/>
      <c r="AL1048477" s="35"/>
      <c r="AM1048477" s="35"/>
      <c r="AN1048477" s="35"/>
      <c r="AO1048477" s="52"/>
    </row>
    <row r="1048478" customFormat="false" ht="14.25" hidden="false" customHeight="true" outlineLevel="0" collapsed="false">
      <c r="A1048478" s="37" t="str">
        <f aca="false">IFERROR(__xludf.dummyfunction("""COMPUTED_VALUE"""),"Toán")</f>
        <v>Toán</v>
      </c>
      <c r="B1048478" s="37" t="str">
        <f aca="false">IFERROR(__xludf.dummyfunction("""COMPUTED_VALUE"""),"NT_T_04")</f>
        <v>NT_T_04</v>
      </c>
      <c r="C1048478" s="38" t="str">
        <f aca="false">IFERROR(__xludf.dummyfunction("""COMPUTED_VALUE"""),"Góc trong không gian (P1)")</f>
        <v>Góc trong không gian (P1)</v>
      </c>
      <c r="D1048478" s="39" t="str">
        <f aca="false">IFERROR(__xludf.dummyfunction("""COMPUTED_VALUE"""),"Nguyễn Thanh Tùng")</f>
        <v>Nguyễn Thanh Tùng</v>
      </c>
      <c r="E1048478" s="40" t="n">
        <f aca="false">IFERROR(__xludf.dummyfunction("""COMPUTED_VALUE"""),46127)</f>
        <v>46127</v>
      </c>
      <c r="F1048478" s="41" t="n">
        <f aca="false">IFERROR(__xludf.dummyfunction("""COMPUTED_VALUE"""),4)</f>
        <v>4</v>
      </c>
      <c r="G1048478" s="37" t="str">
        <f aca="false">IFERROR(__xludf.dummyfunction("""COMPUTED_VALUE"""),"20:00-22:00")</f>
        <v>20:00-22:00</v>
      </c>
      <c r="H1048478" s="54" t="str">
        <f aca="false">IFERROR(__xludf.dummyfunction("""COMPUTED_VALUE"""),"https://hocmai.vn/mod/scorm/view_file.php?id=179871")</f>
        <v>https://hocmai.vn/mod/scorm/view_file.php?id=179871</v>
      </c>
      <c r="I1048478" s="42" t="str">
        <f aca="false">IFERROR(__xludf.dummyfunction("""COMPUTED_VALUE"""),"https://hocmai.vn/mod/scorm/view_file.php?id=179887")</f>
        <v>https://hocmai.vn/mod/scorm/view_file.php?id=179887</v>
      </c>
      <c r="J1048478" s="55" t="str">
        <f aca="false">IFERROR(__xludf.dummyfunction("""COMPUTED_VALUE"""),"https://drive.google.com/drive/folders/1d3LM0qCEksmEq7FP7DMglByLFRM_pOyE?usp=drive_link")</f>
        <v>https://drive.google.com/drive/folders/1d3LM0qCEksmEq7FP7DMglByLFRM_pOyE?usp=drive_link</v>
      </c>
      <c r="K1048478" s="37" t="str">
        <f aca="false">IFERROR(__xludf.dummyfunction("""COMPUTED_VALUE"""),"Chientd2")</f>
        <v>Chientd2</v>
      </c>
      <c r="L1048478" s="37" t="str">
        <f aca="false">IFERROR(__xludf.dummyfunction("""COMPUTED_VALUE"""),"Tưởng Thị Huyền Trang")</f>
        <v>Tưởng Thị Huyền Trang</v>
      </c>
      <c r="M1048478" s="43" t="str">
        <f aca="false">IFERROR(__xludf.dummyfunction("""COMPUTED_VALUE"""),"https://hocmai.sharepoint.com/Education_Development/Lists/San_xuat_video/DispForm.aspx?ID=12143")</f>
        <v>https://hocmai.sharepoint.com/Education_Development/Lists/San_xuat_video/DispForm.aspx?ID=12143</v>
      </c>
      <c r="N1048478" s="41" t="n">
        <f aca="false">IFERROR(__xludf.dummyfunction("""COMPUTED_VALUE"""),3312)</f>
        <v>3312</v>
      </c>
      <c r="O1048478" s="41" t="n">
        <f aca="false">IFERROR(__xludf.dummyfunction("""COMPUTED_VALUE"""),166585)</f>
        <v>166585</v>
      </c>
      <c r="P1048478" s="41"/>
      <c r="Q1048478" s="41" t="n">
        <f aca="false">IFERROR(__xludf.dummyfunction("""COMPUTED_VALUE"""),7887)</f>
        <v>7887</v>
      </c>
      <c r="R1048478" s="41"/>
      <c r="S1048478" s="41"/>
      <c r="T1048478" s="41" t="n">
        <f aca="false">IFERROR(__xludf.dummyfunction("""COMPUTED_VALUE"""),7888)</f>
        <v>7888</v>
      </c>
      <c r="U1048478" s="41" t="n">
        <f aca="false">IFERROR(__xludf.dummyfunction("""COMPUTED_VALUE"""),22323)</f>
        <v>22323</v>
      </c>
      <c r="V1048478" s="40" t="n">
        <f aca="false">IFERROR(__xludf.dummyfunction("""COMPUTED_VALUE"""),46130)</f>
        <v>46130</v>
      </c>
      <c r="W1048478" s="39" t="str">
        <f aca="false">IFERROR(__xludf.dummyfunction("""COMPUTED_VALUE"""),"Hoàn thành XB")</f>
        <v>Hoàn thành XB</v>
      </c>
      <c r="X1048478" s="41" t="str">
        <f aca="false">IFERROR(__xludf.dummyfunction("""COMPUTED_VALUE"""),"Chientd2")</f>
        <v>Chientd2</v>
      </c>
      <c r="Y1048478" s="44"/>
      <c r="Z1048478" s="42" t="str">
        <f aca="false">IFERROR(__xludf.dummyfunction("""COMPUTED_VALUE"""),"https://s3.evgcloud.net/livestream/video/mp4/2026/04/15/336_336735e1943dfd144858558d92cc3a5e700_RELAY-20260415195526-cv.mp4")</f>
        <v>https://s3.evgcloud.net/livestream/video/mp4/2026/04/15/336_336735e1943dfd144858558d92cc3a5e700_RELAY-20260415195526-cv.mp4</v>
      </c>
      <c r="AA1048478" s="45" t="str">
        <f aca="false">IFERROR(__xludf.dummyfunction("""COMPUTED_VALUE"""),"/hau_ky_s5_new/2026-2027_s5/Toan/Lop_12/Nen_tang_Toan/gv.tungnt/4/01
/hau_ky_s5_new/2026-2027_s5/Toan/Lop_12/Nen_tang_Toan/gv.tungnt/4/02
/hau_ky_s5_new/2026-2027_s5/Toan/Lop_12/Nen_tang_Toan/gv.tungnt/4/03
/hau_ky_s5_new/2026-2027_s5/Toan/Lop_12/Nen_tang"&amp;"_Toan/gv.tungnt/4/04
/hau_ky_s5_new/2026-2027_s5/Toan/Lop_12/Nen_tang_Toan/gv.tungnt/4/05
/hau_ky_s5_new/2026-2027_s5/Toan/Lop_12/Nen_tang_Toan/gv.tungnt/4/06")</f>
        <v>/hau_ky_s5_new/2026-2027_s5/Toan/Lop_12/Nen_tang_Toan/gv.tungnt/4/01
/hau_ky_s5_new/2026-2027_s5/Toan/Lop_12/Nen_tang_Toan/gv.tungnt/4/02
/hau_ky_s5_new/2026-2027_s5/Toan/Lop_12/Nen_tang_Toan/gv.tungnt/4/03
/hau_ky_s5_new/2026-2027_s5/Toan/Lop_12/Nen_tang_Toan/gv.tungnt/4/04
/hau_ky_s5_new/2026-2027_s5/Toan/Lop_12/Nen_tang_Toan/gv.tungnt/4/05
/hau_ky_s5_new/2026-2027_s5/Toan/Lop_12/Nen_tang_Toan/gv.tungnt/4/06</v>
      </c>
      <c r="AB1048478" s="41" t="n">
        <f aca="false">IFERROR(__xludf.dummyfunction("""COMPUTED_VALUE"""),4)</f>
        <v>4</v>
      </c>
      <c r="AC1048478" s="45" t="str">
        <f aca="false">IFERROR(__xludf.dummyfunction("""COMPUTED_VALUE"""),"nentangtoan")</f>
        <v>nentangtoan</v>
      </c>
      <c r="AD1048478" s="52"/>
      <c r="AE1048478" s="47"/>
      <c r="AF1048478" s="47" t="str">
        <f aca="false">IFERROR(__xludf.dummyfunction("""COMPUTED_VALUE"""),"lophoctoan-946127")</f>
        <v>lophoctoan-946127</v>
      </c>
      <c r="AG1048478" s="52" t="str">
        <f aca="false">IFERROR(__xludf.dummyfunction("""COMPUTED_VALUE"""),"")</f>
        <v/>
      </c>
      <c r="AH1048478" s="53" t="b">
        <f aca="false">IFERROR(__xludf.dummyfunction("""COMPUTED_VALUE"""),TRUE())</f>
        <v>1</v>
      </c>
      <c r="AI1048478" s="35"/>
      <c r="AJ1048478" s="35"/>
      <c r="AK1048478" s="35"/>
      <c r="AL1048478" s="35"/>
      <c r="AM1048478" s="35"/>
      <c r="AN1048478" s="35"/>
      <c r="AO1048478" s="52"/>
    </row>
    <row r="1048479" customFormat="false" ht="15.75" hidden="false" customHeight="true" outlineLevel="0" collapsed="false">
      <c r="A1048479" s="37" t="str">
        <f aca="false">IFERROR(__xludf.dummyfunction("""COMPUTED_VALUE"""),"Toán")</f>
        <v>Toán</v>
      </c>
      <c r="B1048479" s="37" t="str">
        <f aca="false">IFERROR(__xludf.dummyfunction("""COMPUTED_VALUE"""),"NT_T_05")</f>
        <v>NT_T_05</v>
      </c>
      <c r="C1048479" s="38" t="str">
        <f aca="false">IFERROR(__xludf.dummyfunction("""COMPUTED_VALUE"""),"Tiếp tuyến của đồ thị hàm số")</f>
        <v>Tiếp tuyến của đồ thị hàm số</v>
      </c>
      <c r="D1048479" s="39" t="str">
        <f aca="false">IFERROR(__xludf.dummyfunction("""COMPUTED_VALUE"""),"Nguyễn Thanh Tùng")</f>
        <v>Nguyễn Thanh Tùng</v>
      </c>
      <c r="E1048479" s="40" t="n">
        <f aca="false">IFERROR(__xludf.dummyfunction("""COMPUTED_VALUE"""),46130)</f>
        <v>46130</v>
      </c>
      <c r="F1048479" s="41" t="n">
        <f aca="false">IFERROR(__xludf.dummyfunction("""COMPUTED_VALUE"""),7)</f>
        <v>7</v>
      </c>
      <c r="G1048479" s="37" t="str">
        <f aca="false">IFERROR(__xludf.dummyfunction("""COMPUTED_VALUE"""),"20:00-22:00")</f>
        <v>20:00-22:00</v>
      </c>
      <c r="H1048479" s="42" t="str">
        <f aca="false">IFERROR(__xludf.dummyfunction("""COMPUTED_VALUE"""),"https://hocmai.vn/mod/scorm/view_file.php?id=179894")</f>
        <v>https://hocmai.vn/mod/scorm/view_file.php?id=179894</v>
      </c>
      <c r="I1048479" s="42" t="str">
        <f aca="false">IFERROR(__xludf.dummyfunction("""COMPUTED_VALUE"""),"https://hocmai.vn/mod/scorm/view_file.php?id=179931")</f>
        <v>https://hocmai.vn/mod/scorm/view_file.php?id=179931</v>
      </c>
      <c r="J1048479" s="42" t="str">
        <f aca="false">IFERROR(__xludf.dummyfunction("""COMPUTED_VALUE"""),"https://drive.google.com/drive/folders/1GS701cWItnDxX4jwqGOpGUWAv3aPv2xC?usp=drive_link")</f>
        <v>https://drive.google.com/drive/folders/1GS701cWItnDxX4jwqGOpGUWAv3aPv2xC?usp=drive_link</v>
      </c>
      <c r="K1048479" s="37" t="str">
        <f aca="false">IFERROR(__xludf.dummyfunction("""COMPUTED_VALUE"""),"Chientd2")</f>
        <v>Chientd2</v>
      </c>
      <c r="L1048479" s="37" t="str">
        <f aca="false">IFERROR(__xludf.dummyfunction("""COMPUTED_VALUE"""),"Tưởng Thị Huyền Trang")</f>
        <v>Tưởng Thị Huyền Trang</v>
      </c>
      <c r="M1048479" s="43" t="str">
        <f aca="false">IFERROR(__xludf.dummyfunction("""COMPUTED_VALUE"""),"https://hocmai.sharepoint.com/Education_Development/Lists/San_xuat_video/DispForm.aspx?ID=12144")</f>
        <v>https://hocmai.sharepoint.com/Education_Development/Lists/San_xuat_video/DispForm.aspx?ID=12144</v>
      </c>
      <c r="N1048479" s="41" t="n">
        <f aca="false">IFERROR(__xludf.dummyfunction("""COMPUTED_VALUE"""),3312)</f>
        <v>3312</v>
      </c>
      <c r="O1048479" s="41" t="n">
        <f aca="false">IFERROR(__xludf.dummyfunction("""COMPUTED_VALUE"""),166586)</f>
        <v>166586</v>
      </c>
      <c r="P1048479" s="41"/>
      <c r="Q1048479" s="41" t="n">
        <f aca="false">IFERROR(__xludf.dummyfunction("""COMPUTED_VALUE"""),7889)</f>
        <v>7889</v>
      </c>
      <c r="R1048479" s="41"/>
      <c r="S1048479" s="41"/>
      <c r="T1048479" s="41" t="n">
        <f aca="false">IFERROR(__xludf.dummyfunction("""COMPUTED_VALUE"""),7890)</f>
        <v>7890</v>
      </c>
      <c r="U1048479" s="41" t="n">
        <f aca="false">IFERROR(__xludf.dummyfunction("""COMPUTED_VALUE"""),22377)</f>
        <v>22377</v>
      </c>
      <c r="V1048479" s="40" t="n">
        <f aca="false">IFERROR(__xludf.dummyfunction("""COMPUTED_VALUE"""),46133)</f>
        <v>46133</v>
      </c>
      <c r="W1048479" s="39" t="str">
        <f aca="false">IFERROR(__xludf.dummyfunction("""COMPUTED_VALUE"""),"Hoàn thành XB")</f>
        <v>Hoàn thành XB</v>
      </c>
      <c r="X1048479" s="41" t="str">
        <f aca="false">IFERROR(__xludf.dummyfunction("""COMPUTED_VALUE"""),"Chientd2")</f>
        <v>Chientd2</v>
      </c>
      <c r="Y1048479" s="44"/>
      <c r="Z1048479" s="56" t="str">
        <f aca="false">IFERROR(__xludf.dummyfunction("""COMPUTED_VALUE"""),"https://s3.evgcloud.net/livestream/video/mp4/2026/04/18/336_33675f560e9966149c5bb6da16e6905fa9f_RELAY-20260418195744-cv.mp4")</f>
        <v>https://s3.evgcloud.net/livestream/video/mp4/2026/04/18/336_33675f560e9966149c5bb6da16e6905fa9f_RELAY-20260418195744-cv.mp4</v>
      </c>
      <c r="AA1048479" s="57" t="str">
        <f aca="false">IFERROR(__xludf.dummyfunction("""COMPUTED_VALUE"""),"/hau_ky_s5_new/2026-2027_s5/Toan/Lop_12/Nen_tang_Toan/gv.tungnt/5/01
/hau_ky_s5_new/2026-2027_s5/Toan/Lop_12/Nen_tang_Toan/gv.tungnt/5/02
/hau_ky_s5_new/2026-2027_s5/Toan/Lop_12/Nen_tang_Toan/gv.tungnt/5/03
/hau_ky_s5_new/2026-2027_s5/Toan/Lop_12/Nen_tang"&amp;"_Toan/gv.tungnt/5/04
/hau_ky_s5_new/2026-2027_s5/Toan/Lop_12/Nen_tang_Toan/gv.tungnt/5/05
/hau_ky_s5_new/2026-2027_s5/Toan/Lop_12/Nen_tang_Toan/gv.tungnt/5/06
/hau_ky_s5_new/2026-2027_s5/Toan/Lop_12/Nen_tang_Toan/gv.tungnt/5/07")</f>
        <v>/hau_ky_s5_new/2026-2027_s5/Toan/Lop_12/Nen_tang_Toan/gv.tungnt/5/01
/hau_ky_s5_new/2026-2027_s5/Toan/Lop_12/Nen_tang_Toan/gv.tungnt/5/02
/hau_ky_s5_new/2026-2027_s5/Toan/Lop_12/Nen_tang_Toan/gv.tungnt/5/03
/hau_ky_s5_new/2026-2027_s5/Toan/Lop_12/Nen_tang_Toan/gv.tungnt/5/04
/hau_ky_s5_new/2026-2027_s5/Toan/Lop_12/Nen_tang_Toan/gv.tungnt/5/05
/hau_ky_s5_new/2026-2027_s5/Toan/Lop_12/Nen_tang_Toan/gv.tungnt/5/06
/hau_ky_s5_new/2026-2027_s5/Toan/Lop_12/Nen_tang_Toan/gv.tungnt/5/07</v>
      </c>
      <c r="AB1048479" s="41" t="n">
        <f aca="false">IFERROR(__xludf.dummyfunction("""COMPUTED_VALUE"""),4)</f>
        <v>4</v>
      </c>
      <c r="AC1048479" s="57" t="str">
        <f aca="false">IFERROR(__xludf.dummyfunction("""COMPUTED_VALUE"""),"nentangtoan")</f>
        <v>nentangtoan</v>
      </c>
      <c r="AD1048479" s="46"/>
      <c r="AE1048479" s="46"/>
      <c r="AF1048479" s="47" t="str">
        <f aca="false">IFERROR(__xludf.dummyfunction("""COMPUTED_VALUE"""),"lophoctoan-946130")</f>
        <v>lophoctoan-946130</v>
      </c>
      <c r="AG1048479" s="46" t="str">
        <f aca="false">IFERROR(__xludf.dummyfunction("""COMPUTED_VALUE"""),"")</f>
        <v/>
      </c>
      <c r="AH1048479" s="53" t="b">
        <f aca="false">IFERROR(__xludf.dummyfunction("""COMPUTED_VALUE"""),TRUE())</f>
        <v>1</v>
      </c>
      <c r="AI1048479" s="35"/>
      <c r="AJ1048479" s="35"/>
      <c r="AK1048479" s="35"/>
      <c r="AL1048479" s="35"/>
      <c r="AM1048479" s="35"/>
      <c r="AN1048479" s="35"/>
      <c r="AO1048479" s="46"/>
    </row>
    <row r="1048480" customFormat="false" ht="15.75" hidden="false" customHeight="true" outlineLevel="0" collapsed="false">
      <c r="A1048480" s="37" t="str">
        <f aca="false">IFERROR(__xludf.dummyfunction("""COMPUTED_VALUE"""),"Toán")</f>
        <v>Toán</v>
      </c>
      <c r="B1048480" s="37" t="str">
        <f aca="false">IFERROR(__xludf.dummyfunction("""COMPUTED_VALUE"""),"NT_N_01")</f>
        <v>NT_N_01</v>
      </c>
      <c r="C1048480" s="38" t="str">
        <f aca="false">IFERROR(__xludf.dummyfunction("""COMPUTED_VALUE"""),"Phương trình, bất phương trình mũ – logarit dạng cơ bản")</f>
        <v>Phương trình, bất phương trình mũ – logarit dạng cơ bản</v>
      </c>
      <c r="D1048480" s="39" t="str">
        <f aca="false">IFERROR(__xludf.dummyfunction("""COMPUTED_VALUE"""),"Nguyễn Hoài Nam")</f>
        <v>Nguyễn Hoài Nam</v>
      </c>
      <c r="E1048480" s="40" t="n">
        <f aca="false">IFERROR(__xludf.dummyfunction("""COMPUTED_VALUE"""),46133)</f>
        <v>46133</v>
      </c>
      <c r="F1048480" s="41" t="n">
        <f aca="false">IFERROR(__xludf.dummyfunction("""COMPUTED_VALUE"""),3)</f>
        <v>3</v>
      </c>
      <c r="G1048480" s="37" t="str">
        <f aca="false">IFERROR(__xludf.dummyfunction("""COMPUTED_VALUE"""),"21:00-22:30")</f>
        <v>21:00-22:30</v>
      </c>
      <c r="H1048480" s="42" t="str">
        <f aca="false">IFERROR(__xludf.dummyfunction("""COMPUTED_VALUE"""),"https://hocmai.vn/mod/scorm/view_file.php?inpopup=true&amp;id=179950")</f>
        <v>https://hocmai.vn/mod/scorm/view_file.php?inpopup=true&amp;id=179950</v>
      </c>
      <c r="I1048480" s="42" t="str">
        <f aca="false">IFERROR(__xludf.dummyfunction("""COMPUTED_VALUE"""),"https://hocmai.vn/mod/scorm/view_file.php?inpopup=true&amp;id=179951")</f>
        <v>https://hocmai.vn/mod/scorm/view_file.php?inpopup=true&amp;id=179951</v>
      </c>
      <c r="J1048480" s="55" t="str">
        <f aca="false">IFERROR(__xludf.dummyfunction("""COMPUTED_VALUE"""),"https://drive.google.com/file/d/1mqz0vNOCcxBMRRvZ1gBnEo11x1iuIBUR/view?usp=drive_link")</f>
        <v>https://drive.google.com/file/d/1mqz0vNOCcxBMRRvZ1gBnEo11x1iuIBUR/view?usp=drive_link</v>
      </c>
      <c r="K1048480" s="37" t="str">
        <f aca="false">IFERROR(__xludf.dummyfunction("""COMPUTED_VALUE"""),"thinhnh")</f>
        <v>thinhnh</v>
      </c>
      <c r="L1048480" s="37" t="str">
        <f aca="false">IFERROR(__xludf.dummyfunction("""COMPUTED_VALUE"""),"Lê Quốc Việt")</f>
        <v>Lê Quốc Việt</v>
      </c>
      <c r="M1048480" s="43" t="str">
        <f aca="false">IFERROR(__xludf.dummyfunction("""COMPUTED_VALUE"""),"https://hocmai.sharepoint.com/Education_Development/Lists/San_xuat_video/DispForm.aspx?ID=12188")</f>
        <v>https://hocmai.sharepoint.com/Education_Development/Lists/San_xuat_video/DispForm.aspx?ID=12188</v>
      </c>
      <c r="N1048480" s="58" t="n">
        <f aca="false">IFERROR(__xludf.dummyfunction("""COMPUTED_VALUE"""),3313)</f>
        <v>3313</v>
      </c>
      <c r="O1048480" s="41" t="n">
        <f aca="false">IFERROR(__xludf.dummyfunction("""COMPUTED_VALUE"""),166626)</f>
        <v>166626</v>
      </c>
      <c r="P1048480" s="41"/>
      <c r="Q1048480" s="41" t="n">
        <f aca="false">IFERROR(__xludf.dummyfunction("""COMPUTED_VALUE"""),7997)</f>
        <v>7997</v>
      </c>
      <c r="R1048480" s="41"/>
      <c r="S1048480" s="41"/>
      <c r="T1048480" s="41" t="n">
        <f aca="false">IFERROR(__xludf.dummyfunction("""COMPUTED_VALUE"""),7998)</f>
        <v>7998</v>
      </c>
      <c r="U1048480" s="41" t="n">
        <f aca="false">IFERROR(__xludf.dummyfunction("""COMPUTED_VALUE"""),22419)</f>
        <v>22419</v>
      </c>
      <c r="V1048480" s="40" t="n">
        <f aca="false">IFERROR(__xludf.dummyfunction("""COMPUTED_VALUE"""),46133)</f>
        <v>46133</v>
      </c>
      <c r="W1048480" s="39" t="str">
        <f aca="false">IFERROR(__xludf.dummyfunction("""COMPUTED_VALUE"""),"Hoàn thành XB")</f>
        <v>Hoàn thành XB</v>
      </c>
      <c r="X1048480" s="41" t="str">
        <f aca="false">IFERROR(__xludf.dummyfunction("""COMPUTED_VALUE"""),"thinhnh")</f>
        <v>thinhnh</v>
      </c>
      <c r="Y1048480" s="44"/>
      <c r="Z1048480" s="42" t="str">
        <f aca="false">IFERROR(__xludf.dummyfunction("""COMPUTED_VALUE"""),"https://s3.evgcloud.net/livestream/video/mp4/2026/04/22/336_336c10bed572efe47edb6c03e1f78d13d85_RELAY-20260421213059-cv.mp4")</f>
        <v>https://s3.evgcloud.net/livestream/video/mp4/2026/04/22/336_336c10bed572efe47edb6c03e1f78d13d85_RELAY-20260421213059-cv.mp4</v>
      </c>
      <c r="AA1048480" s="45" t="str">
        <f aca="false">IFERROR(__xludf.dummyfunction("""COMPUTED_VALUE"""),"/hau_ky_s5_new/2026-2027_s5/Toan/Lop_12/Nen_tang_Toan/gv.namnh/1/01
/hau_ky_s5_new/2026-2027_s5/Toan/Lop_12/Nen_tang_Toan/gv.namnh/1/02
/hau_ky_s5_new/2026-2027_s5/Toan/Lop_12/Nen_tang_Toan/gv.namnh/1/03
/hau_ky_s5_new/2026-2027_s5/Toan/Lop_12/Nen_tang_To"&amp;"an/gv.namnh/1/04
/hau_ky_s5_new/2026-2027_s5/Toan/Lop_12/Nen_tang_Toan/gv.namnh/1/05
/hau_ky_s5_new/2026-2027_s5/Toan/Lop_12/Nen_tang_Toan/gv.namnh/1/06")</f>
        <v>/hau_ky_s5_new/2026-2027_s5/Toan/Lop_12/Nen_tang_Toan/gv.namnh/1/01
/hau_ky_s5_new/2026-2027_s5/Toan/Lop_12/Nen_tang_Toan/gv.namnh/1/02
/hau_ky_s5_new/2026-2027_s5/Toan/Lop_12/Nen_tang_Toan/gv.namnh/1/03
/hau_ky_s5_new/2026-2027_s5/Toan/Lop_12/Nen_tang_Toan/gv.namnh/1/04
/hau_ky_s5_new/2026-2027_s5/Toan/Lop_12/Nen_tang_Toan/gv.namnh/1/05
/hau_ky_s5_new/2026-2027_s5/Toan/Lop_12/Nen_tang_Toan/gv.namnh/1/06</v>
      </c>
      <c r="AB1048480" s="41" t="n">
        <f aca="false">IFERROR(__xludf.dummyfunction("""COMPUTED_VALUE"""),4)</f>
        <v>4</v>
      </c>
      <c r="AC1048480" s="45"/>
      <c r="AD1048480" s="52" t="str">
        <f aca="false">IFERROR(__xludf.dummyfunction("""COMPUTED_VALUE"""),"nentangtoan_thaynam")</f>
        <v>nentangtoan_thaynam</v>
      </c>
      <c r="AE1048480" s="47"/>
      <c r="AF1048480" s="47" t="str">
        <f aca="false">IFERROR(__xludf.dummyfunction("""COMPUTED_VALUE"""),"lophoctoan-946133")</f>
        <v>lophoctoan-946133</v>
      </c>
      <c r="AG1048480" s="52" t="str">
        <f aca="false">IFERROR(__xludf.dummyfunction("""COMPUTED_VALUE"""),"")</f>
        <v/>
      </c>
      <c r="AH1048480" s="53" t="b">
        <f aca="false">IFERROR(__xludf.dummyfunction("""COMPUTED_VALUE"""),TRUE())</f>
        <v>1</v>
      </c>
      <c r="AI1048480" s="35"/>
      <c r="AJ1048480" s="35"/>
      <c r="AK1048480" s="35"/>
      <c r="AL1048480" s="35"/>
      <c r="AM1048480" s="35"/>
      <c r="AN1048480" s="35"/>
      <c r="AO1048480" s="52"/>
    </row>
    <row r="1048481" customFormat="false" ht="15.75" hidden="false" customHeight="true" outlineLevel="0" collapsed="false">
      <c r="A1048481" s="37" t="str">
        <f aca="false">IFERROR(__xludf.dummyfunction("""COMPUTED_VALUE"""),"Toán")</f>
        <v>Toán</v>
      </c>
      <c r="B1048481" s="37" t="str">
        <f aca="false">IFERROR(__xludf.dummyfunction("""COMPUTED_VALUE"""),"NT_T_06")</f>
        <v>NT_T_06</v>
      </c>
      <c r="C1048481" s="38" t="str">
        <f aca="false">IFERROR(__xludf.dummyfunction("""COMPUTED_VALUE"""),"Thể tích của khối đa diện")</f>
        <v>Thể tích của khối đa diện</v>
      </c>
      <c r="D1048481" s="39" t="str">
        <f aca="false">IFERROR(__xludf.dummyfunction("""COMPUTED_VALUE"""),"Nguyễn Thanh Tùng")</f>
        <v>Nguyễn Thanh Tùng</v>
      </c>
      <c r="E1048481" s="40" t="n">
        <f aca="false">IFERROR(__xludf.dummyfunction("""COMPUTED_VALUE"""),46134)</f>
        <v>46134</v>
      </c>
      <c r="F1048481" s="41" t="n">
        <f aca="false">IFERROR(__xludf.dummyfunction("""COMPUTED_VALUE"""),4)</f>
        <v>4</v>
      </c>
      <c r="G1048481" s="37" t="str">
        <f aca="false">IFERROR(__xludf.dummyfunction("""COMPUTED_VALUE"""),"20:00-22:00")</f>
        <v>20:00-22:00</v>
      </c>
      <c r="H1048481" s="42" t="str">
        <f aca="false">IFERROR(__xludf.dummyfunction("""COMPUTED_VALUE"""),"https://hocmai.vn/mod/scorm/view_file.php?id=179920")</f>
        <v>https://hocmai.vn/mod/scorm/view_file.php?id=179920</v>
      </c>
      <c r="I1048481" s="42" t="str">
        <f aca="false">IFERROR(__xludf.dummyfunction("""COMPUTED_VALUE"""),"https://hocmai.vn/mod/scorm/view_file.php?id=179955")</f>
        <v>https://hocmai.vn/mod/scorm/view_file.php?id=179955</v>
      </c>
      <c r="J1048481" s="55" t="str">
        <f aca="false">IFERROR(__xludf.dummyfunction("""COMPUTED_VALUE"""),"https://drive.google.com/drive/folders/1DbLJ9b34GfUr-wesgEFZKBUqvYDCFa_M?usp=drive_link")</f>
        <v>https://drive.google.com/drive/folders/1DbLJ9b34GfUr-wesgEFZKBUqvYDCFa_M?usp=drive_link</v>
      </c>
      <c r="K1048481" s="37" t="str">
        <f aca="false">IFERROR(__xludf.dummyfunction("""COMPUTED_VALUE"""),"Chientd2")</f>
        <v>Chientd2</v>
      </c>
      <c r="L1048481" s="37" t="str">
        <f aca="false">IFERROR(__xludf.dummyfunction("""COMPUTED_VALUE"""),"Tưởng Thị Huyền Trang")</f>
        <v>Tưởng Thị Huyền Trang</v>
      </c>
      <c r="M1048481" s="43" t="str">
        <f aca="false">IFERROR(__xludf.dummyfunction("""COMPUTED_VALUE"""),"https://hocmai.sharepoint.com/Education_Development/Lists/San_xuat_video/DispForm.aspx?ID=12145")</f>
        <v>https://hocmai.sharepoint.com/Education_Development/Lists/San_xuat_video/DispForm.aspx?ID=12145</v>
      </c>
      <c r="N1048481" s="41" t="n">
        <f aca="false">IFERROR(__xludf.dummyfunction("""COMPUTED_VALUE"""),3312)</f>
        <v>3312</v>
      </c>
      <c r="O1048481" s="41" t="n">
        <f aca="false">IFERROR(__xludf.dummyfunction("""COMPUTED_VALUE"""),166587)</f>
        <v>166587</v>
      </c>
      <c r="P1048481" s="41"/>
      <c r="Q1048481" s="41" t="n">
        <f aca="false">IFERROR(__xludf.dummyfunction("""COMPUTED_VALUE"""),7891)</f>
        <v>7891</v>
      </c>
      <c r="R1048481" s="41"/>
      <c r="S1048481" s="41"/>
      <c r="T1048481" s="41" t="n">
        <f aca="false">IFERROR(__xludf.dummyfunction("""COMPUTED_VALUE"""),7892)</f>
        <v>7892</v>
      </c>
      <c r="U1048481" s="41" t="n">
        <f aca="false">IFERROR(__xludf.dummyfunction("""COMPUTED_VALUE"""),22418)</f>
        <v>22418</v>
      </c>
      <c r="V1048481" s="40" t="n">
        <f aca="false">IFERROR(__xludf.dummyfunction("""COMPUTED_VALUE"""),46137)</f>
        <v>46137</v>
      </c>
      <c r="W1048481" s="39" t="str">
        <f aca="false">IFERROR(__xludf.dummyfunction("""COMPUTED_VALUE"""),"Hoàn thành XB")</f>
        <v>Hoàn thành XB</v>
      </c>
      <c r="X1048481" s="41" t="str">
        <f aca="false">IFERROR(__xludf.dummyfunction("""COMPUTED_VALUE"""),"Chientd2")</f>
        <v>Chientd2</v>
      </c>
      <c r="Y1048481" s="44"/>
      <c r="Z1048481" s="56" t="str">
        <f aca="false">IFERROR(__xludf.dummyfunction("""COMPUTED_VALUE"""),"https://s3.evgcloud.net/livestream/video/mp4/2026/04/22/336_33675f560e9966149c5bb6da16e6905fa9f_RELAY-20260422195858-cv.mp4")</f>
        <v>https://s3.evgcloud.net/livestream/video/mp4/2026/04/22/336_33675f560e9966149c5bb6da16e6905fa9f_RELAY-20260422195858-cv.mp4</v>
      </c>
      <c r="AA1048481" s="57" t="str">
        <f aca="false">IFERROR(__xludf.dummyfunction("""COMPUTED_VALUE"""),"/hau_ky_s5_new/2026-2027_s5/Toan/Lop_12/Nen_tang_Toan/gv.tungnt/6/01
/hau_ky_s5_new/2026-2027_s5/Toan/Lop_12/Nen_tang_Toan/gv.tungnt/6/02
/hau_ky_s5_new/2026-2027_s5/Toan/Lop_12/Nen_tang_Toan/gv.tungnt/6/03
/hau_ky_s5_new/2026-2027_s5/Toan/Lop_12/Nen_tang"&amp;"_Toan/gv.tungnt/6/04
/hau_ky_s5_new/2026-2027_s5/Toan/Lop_12/Nen_tang_Toan/gv.tungnt/6/05")</f>
        <v>/hau_ky_s5_new/2026-2027_s5/Toan/Lop_12/Nen_tang_Toan/gv.tungnt/6/01
/hau_ky_s5_new/2026-2027_s5/Toan/Lop_12/Nen_tang_Toan/gv.tungnt/6/02
/hau_ky_s5_new/2026-2027_s5/Toan/Lop_12/Nen_tang_Toan/gv.tungnt/6/03
/hau_ky_s5_new/2026-2027_s5/Toan/Lop_12/Nen_tang_Toan/gv.tungnt/6/04
/hau_ky_s5_new/2026-2027_s5/Toan/Lop_12/Nen_tang_Toan/gv.tungnt/6/05</v>
      </c>
      <c r="AB1048481" s="41" t="n">
        <f aca="false">IFERROR(__xludf.dummyfunction("""COMPUTED_VALUE"""),4)</f>
        <v>4</v>
      </c>
      <c r="AC1048481" s="57" t="str">
        <f aca="false">IFERROR(__xludf.dummyfunction("""COMPUTED_VALUE"""),"nentangtoan")</f>
        <v>nentangtoan</v>
      </c>
      <c r="AD1048481" s="46"/>
      <c r="AE1048481" s="46"/>
      <c r="AF1048481" s="47" t="str">
        <f aca="false">IFERROR(__xludf.dummyfunction("""COMPUTED_VALUE"""),"lophoctoan-946134")</f>
        <v>lophoctoan-946134</v>
      </c>
      <c r="AG1048481" s="46" t="str">
        <f aca="false">IFERROR(__xludf.dummyfunction("""COMPUTED_VALUE"""),"")</f>
        <v/>
      </c>
      <c r="AH1048481" s="53" t="b">
        <f aca="false">IFERROR(__xludf.dummyfunction("""COMPUTED_VALUE"""),TRUE())</f>
        <v>1</v>
      </c>
      <c r="AI1048481" s="35"/>
      <c r="AJ1048481" s="35"/>
      <c r="AK1048481" s="35"/>
      <c r="AL1048481" s="35"/>
      <c r="AM1048481" s="35"/>
      <c r="AN1048481" s="35"/>
      <c r="AO1048481" s="46"/>
    </row>
    <row r="1048482" customFormat="false" ht="15.75" hidden="false" customHeight="true" outlineLevel="0" collapsed="false">
      <c r="A1048482" s="37" t="str">
        <f aca="false">IFERROR(__xludf.dummyfunction("""COMPUTED_VALUE"""),"Toán")</f>
        <v>Toán</v>
      </c>
      <c r="B1048482" s="37" t="str">
        <f aca="false">IFERROR(__xludf.dummyfunction("""COMPUTED_VALUE"""),"NT_T_07")</f>
        <v>NT_T_07</v>
      </c>
      <c r="C1048482" s="59" t="str">
        <f aca="false">IFERROR(__xludf.dummyfunction("""COMPUTED_VALUE"""),"Dãy số, cấp số cộng, cấp số nhân")</f>
        <v>Dãy số, cấp số cộng, cấp số nhân</v>
      </c>
      <c r="D1048482" s="39" t="str">
        <f aca="false">IFERROR(__xludf.dummyfunction("""COMPUTED_VALUE"""),"Nguyễn Thanh Tùng")</f>
        <v>Nguyễn Thanh Tùng</v>
      </c>
      <c r="E1048482" s="40" t="n">
        <f aca="false">IFERROR(__xludf.dummyfunction("""COMPUTED_VALUE"""),46137)</f>
        <v>46137</v>
      </c>
      <c r="F1048482" s="41" t="n">
        <f aca="false">IFERROR(__xludf.dummyfunction("""COMPUTED_VALUE"""),7)</f>
        <v>7</v>
      </c>
      <c r="G1048482" s="37" t="str">
        <f aca="false">IFERROR(__xludf.dummyfunction("""COMPUTED_VALUE"""),"20:00-22:00")</f>
        <v>20:00-22:00</v>
      </c>
      <c r="H1048482" s="42" t="str">
        <f aca="false">IFERROR(__xludf.dummyfunction("""COMPUTED_VALUE"""),"https://hocmai.vn/mod/scorm/view_file.php?id=180003")</f>
        <v>https://hocmai.vn/mod/scorm/view_file.php?id=180003</v>
      </c>
      <c r="I1048482" s="42" t="str">
        <f aca="false">IFERROR(__xludf.dummyfunction("""COMPUTED_VALUE"""),"https://hocmai.vn/mod/scorm/view_file.php?id=180011")</f>
        <v>https://hocmai.vn/mod/scorm/view_file.php?id=180011</v>
      </c>
      <c r="J1048482" s="42" t="str">
        <f aca="false">IFERROR(__xludf.dummyfunction("""COMPUTED_VALUE"""),"https://drive.google.com/drive/folders/13bqChLqEsjd6J_9-2kM5bpISg1_-BJHL?usp=drive_link")</f>
        <v>https://drive.google.com/drive/folders/13bqChLqEsjd6J_9-2kM5bpISg1_-BJHL?usp=drive_link</v>
      </c>
      <c r="K1048482" s="37" t="str">
        <f aca="false">IFERROR(__xludf.dummyfunction("""COMPUTED_VALUE"""),"Chientd2")</f>
        <v>Chientd2</v>
      </c>
      <c r="L1048482" s="37" t="str">
        <f aca="false">IFERROR(__xludf.dummyfunction("""COMPUTED_VALUE"""),"Tưởng Thị Huyền Trang")</f>
        <v>Tưởng Thị Huyền Trang</v>
      </c>
      <c r="M1048482" s="43" t="str">
        <f aca="false">IFERROR(__xludf.dummyfunction("""COMPUTED_VALUE"""),"https://hocmai.sharepoint.com/Education_Development/Lists/San_xuat_video/DispForm.aspx?ID=12146")</f>
        <v>https://hocmai.sharepoint.com/Education_Development/Lists/San_xuat_video/DispForm.aspx?ID=12146</v>
      </c>
      <c r="N1048482" s="41" t="n">
        <f aca="false">IFERROR(__xludf.dummyfunction("""COMPUTED_VALUE"""),3312)</f>
        <v>3312</v>
      </c>
      <c r="O1048482" s="41" t="n">
        <f aca="false">IFERROR(__xludf.dummyfunction("""COMPUTED_VALUE"""),166588)</f>
        <v>166588</v>
      </c>
      <c r="P1048482" s="41"/>
      <c r="Q1048482" s="41" t="n">
        <f aca="false">IFERROR(__xludf.dummyfunction("""COMPUTED_VALUE"""),7893)</f>
        <v>7893</v>
      </c>
      <c r="R1048482" s="41"/>
      <c r="S1048482" s="41"/>
      <c r="T1048482" s="41" t="n">
        <f aca="false">IFERROR(__xludf.dummyfunction("""COMPUTED_VALUE"""),7894)</f>
        <v>7894</v>
      </c>
      <c r="U1048482" s="41" t="n">
        <f aca="false">IFERROR(__xludf.dummyfunction("""COMPUTED_VALUE"""),22781)</f>
        <v>22781</v>
      </c>
      <c r="V1048482" s="40" t="n">
        <f aca="false">IFERROR(__xludf.dummyfunction("""COMPUTED_VALUE"""),46140)</f>
        <v>46140</v>
      </c>
      <c r="W1048482" s="39" t="str">
        <f aca="false">IFERROR(__xludf.dummyfunction("""COMPUTED_VALUE"""),"Hoàn thành XB")</f>
        <v>Hoàn thành XB</v>
      </c>
      <c r="X1048482" s="41" t="str">
        <f aca="false">IFERROR(__xludf.dummyfunction("""COMPUTED_VALUE"""),"Chientd2")</f>
        <v>Chientd2</v>
      </c>
      <c r="Y1048482" s="44"/>
      <c r="Z1048482" s="56" t="str">
        <f aca="false">IFERROR(__xludf.dummyfunction("""COMPUTED_VALUE"""),"https://s3.evgcloud.net/livestream/video/mp4/2026/04/25/336_33675f560e9966149c5bb6da16e6905fa9f_RELAY-20260425195542-cv.mp4")</f>
        <v>https://s3.evgcloud.net/livestream/video/mp4/2026/04/25/336_33675f560e9966149c5bb6da16e6905fa9f_RELAY-20260425195542-cv.mp4</v>
      </c>
      <c r="AA1048482" s="57" t="str">
        <f aca="false">IFERROR(__xludf.dummyfunction("""COMPUTED_VALUE"""),"/hau_ky_s5_new/2026-2027_s5/Toan/Lop_12/Nen_tang_Toan/gv.tungnt/7/01
/hau_ky_s5_new/2026-2027_s5/Toan/Lop_12/Nen_tang_Toan/gv.tungnt/7/02
/hau_ky_s5_new/2026-2027_s5/Toan/Lop_12/Nen_tang_Toan/gv.tungnt/7/03
/hau_ky_s5_new/2026-2027_s5/Toan/Lop_12/Nen_tang"&amp;"_Toan/gv.tungnt/7/04
/hau_ky_s5_new/2026-2027_s5/Toan/Lop_12/Nen_tang_Toan/gv.tungnt/7/05
/hau_ky_s5_new/2026-2027_s5/Toan/Lop_12/Nen_tang_Toan/gv.tungnt/7/06")</f>
        <v>/hau_ky_s5_new/2026-2027_s5/Toan/Lop_12/Nen_tang_Toan/gv.tungnt/7/01
/hau_ky_s5_new/2026-2027_s5/Toan/Lop_12/Nen_tang_Toan/gv.tungnt/7/02
/hau_ky_s5_new/2026-2027_s5/Toan/Lop_12/Nen_tang_Toan/gv.tungnt/7/03
/hau_ky_s5_new/2026-2027_s5/Toan/Lop_12/Nen_tang_Toan/gv.tungnt/7/04
/hau_ky_s5_new/2026-2027_s5/Toan/Lop_12/Nen_tang_Toan/gv.tungnt/7/05
/hau_ky_s5_new/2026-2027_s5/Toan/Lop_12/Nen_tang_Toan/gv.tungnt/7/06</v>
      </c>
      <c r="AB1048482" s="41" t="n">
        <f aca="false">IFERROR(__xludf.dummyfunction("""COMPUTED_VALUE"""),4)</f>
        <v>4</v>
      </c>
      <c r="AC1048482" s="57" t="str">
        <f aca="false">IFERROR(__xludf.dummyfunction("""COMPUTED_VALUE"""),"nentangtoan")</f>
        <v>nentangtoan</v>
      </c>
      <c r="AD1048482" s="46"/>
      <c r="AE1048482" s="46"/>
      <c r="AF1048482" s="47" t="str">
        <f aca="false">IFERROR(__xludf.dummyfunction("""COMPUTED_VALUE"""),"lophoctoan-946137")</f>
        <v>lophoctoan-946137</v>
      </c>
      <c r="AG1048482" s="46" t="str">
        <f aca="false">IFERROR(__xludf.dummyfunction("""COMPUTED_VALUE"""),"")</f>
        <v/>
      </c>
      <c r="AH1048482" s="53" t="b">
        <f aca="false">IFERROR(__xludf.dummyfunction("""COMPUTED_VALUE"""),TRUE())</f>
        <v>1</v>
      </c>
      <c r="AI1048482" s="35"/>
      <c r="AJ1048482" s="35"/>
      <c r="AK1048482" s="35"/>
      <c r="AL1048482" s="35"/>
      <c r="AM1048482" s="35"/>
      <c r="AN1048482" s="35"/>
      <c r="AO1048482" s="46"/>
    </row>
    <row r="1048483" customFormat="false" ht="15.75" hidden="false" customHeight="true" outlineLevel="0" collapsed="false">
      <c r="A1048483" s="37" t="str">
        <f aca="false">IFERROR(__xludf.dummyfunction("""COMPUTED_VALUE"""),"Toán")</f>
        <v>Toán</v>
      </c>
      <c r="B1048483" s="37" t="str">
        <f aca="false">IFERROR(__xludf.dummyfunction("""COMPUTED_VALUE"""),"NT_N_02")</f>
        <v>NT_N_02</v>
      </c>
      <c r="C1048483" s="38" t="str">
        <f aca="false">IFERROR(__xludf.dummyfunction("""COMPUTED_VALUE"""),"Khoảng cách trong không gian - Thể tích của khối đa diện")</f>
        <v>Khoảng cách trong không gian - Thể tích của khối đa diện</v>
      </c>
      <c r="D1048483" s="39" t="str">
        <f aca="false">IFERROR(__xludf.dummyfunction("""COMPUTED_VALUE"""),"Nguyễn Hoài Nam")</f>
        <v>Nguyễn Hoài Nam</v>
      </c>
      <c r="E1048483" s="40" t="n">
        <f aca="false">IFERROR(__xludf.dummyfunction("""COMPUTED_VALUE"""),46140)</f>
        <v>46140</v>
      </c>
      <c r="F1048483" s="41" t="n">
        <f aca="false">IFERROR(__xludf.dummyfunction("""COMPUTED_VALUE"""),3)</f>
        <v>3</v>
      </c>
      <c r="G1048483" s="37" t="str">
        <f aca="false">IFERROR(__xludf.dummyfunction("""COMPUTED_VALUE"""),"21:00-22:30")</f>
        <v>21:00-22:30</v>
      </c>
      <c r="H1048483" s="42" t="str">
        <f aca="false">IFERROR(__xludf.dummyfunction("""COMPUTED_VALUE"""),"https://hocmai.vn/mod/scorm/view_file.php?inpopup=true&amp;id=180033")</f>
        <v>https://hocmai.vn/mod/scorm/view_file.php?inpopup=true&amp;id=180033</v>
      </c>
      <c r="I1048483" s="42" t="str">
        <f aca="false">IFERROR(__xludf.dummyfunction("""COMPUTED_VALUE"""),"https://hocmai.vn/mod/scorm/view_file.php?inpopup=true&amp;id=180040")</f>
        <v>https://hocmai.vn/mod/scorm/view_file.php?inpopup=true&amp;id=180040</v>
      </c>
      <c r="J1048483" s="37"/>
      <c r="K1048483" s="37" t="str">
        <f aca="false">IFERROR(__xludf.dummyfunction("""COMPUTED_VALUE"""),"thinhnh")</f>
        <v>thinhnh</v>
      </c>
      <c r="L1048483" s="37" t="str">
        <f aca="false">IFERROR(__xludf.dummyfunction("""COMPUTED_VALUE"""),"Lê Quốc Việt")</f>
        <v>Lê Quốc Việt</v>
      </c>
      <c r="M1048483" s="43" t="str">
        <f aca="false">IFERROR(__xludf.dummyfunction("""COMPUTED_VALUE"""),"https://hocmai.sharepoint.com/Education_Development/Lists/San_xuat_video/DispForm.aspx?ID=12189")</f>
        <v>https://hocmai.sharepoint.com/Education_Development/Lists/San_xuat_video/DispForm.aspx?ID=12189</v>
      </c>
      <c r="N1048483" s="58" t="n">
        <f aca="false">IFERROR(__xludf.dummyfunction("""COMPUTED_VALUE"""),3313)</f>
        <v>3313</v>
      </c>
      <c r="O1048483" s="41" t="n">
        <f aca="false">IFERROR(__xludf.dummyfunction("""COMPUTED_VALUE"""),166627)</f>
        <v>166627</v>
      </c>
      <c r="P1048483" s="41"/>
      <c r="Q1048483" s="41" t="n">
        <f aca="false">IFERROR(__xludf.dummyfunction("""COMPUTED_VALUE"""),7999)</f>
        <v>7999</v>
      </c>
      <c r="R1048483" s="41"/>
      <c r="S1048483" s="41"/>
      <c r="T1048483" s="41" t="n">
        <f aca="false">IFERROR(__xludf.dummyfunction("""COMPUTED_VALUE"""),8000)</f>
        <v>8000</v>
      </c>
      <c r="U1048483" s="41" t="n">
        <f aca="false">IFERROR(__xludf.dummyfunction("""COMPUTED_VALUE"""),22809)</f>
        <v>22809</v>
      </c>
      <c r="V1048483" s="40" t="n">
        <f aca="false">IFERROR(__xludf.dummyfunction("""COMPUTED_VALUE"""),46140)</f>
        <v>46140</v>
      </c>
      <c r="W1048483" s="39" t="str">
        <f aca="false">IFERROR(__xludf.dummyfunction("""COMPUTED_VALUE"""),"Hoàn thành XB")</f>
        <v>Hoàn thành XB</v>
      </c>
      <c r="X1048483" s="41" t="str">
        <f aca="false">IFERROR(__xludf.dummyfunction("""COMPUTED_VALUE"""),"thinhnh")</f>
        <v>thinhnh</v>
      </c>
      <c r="Y1048483" s="44"/>
      <c r="Z1048483" s="56" t="str">
        <f aca="false">IFERROR(__xludf.dummyfunction("""COMPUTED_VALUE"""),"https://s3.evgcloud.net/livestream/video/mp4/2026/04/29/336_33675f560e9966149c5bb6da16e6905fa9f_RELAY-20260428212501-cv.mp4")</f>
        <v>https://s3.evgcloud.net/livestream/video/mp4/2026/04/29/336_33675f560e9966149c5bb6da16e6905fa9f_RELAY-20260428212501-cv.mp4</v>
      </c>
      <c r="AA1048483" s="57" t="str">
        <f aca="false">IFERROR(__xludf.dummyfunction("""COMPUTED_VALUE"""),"/hau_ky_s5_new/2026-2027_s5/Toan/Lop_12/Nen_tang_Toan/gv.namnh/2/01
/hau_ky_s5_new/2026-2027_s5/Toan/Lop_12/Nen_tang_Toan/gv.namnh/2/02
/hau_ky_s5_new/2026-2027_s5/Toan/Lop_12/Nen_tang_Toan/gv.namnh/2/03
/hau_ky_s5_new/2026-2027_s5/Toan/Lop_12/Nen_tang_To"&amp;"an/gv.namnh/2/04
/hau_ky_s5_new/2026-2027_s5/Toan/Lop_12/Nen_tang_Toan/gv.namnh/2/05
/hau_ky_s5_new/2026-2027_s5/Toan/Lop_12/Nen_tang_Toan/gv.namnh/2/06")</f>
        <v>/hau_ky_s5_new/2026-2027_s5/Toan/Lop_12/Nen_tang_Toan/gv.namnh/2/01
/hau_ky_s5_new/2026-2027_s5/Toan/Lop_12/Nen_tang_Toan/gv.namnh/2/02
/hau_ky_s5_new/2026-2027_s5/Toan/Lop_12/Nen_tang_Toan/gv.namnh/2/03
/hau_ky_s5_new/2026-2027_s5/Toan/Lop_12/Nen_tang_Toan/gv.namnh/2/04
/hau_ky_s5_new/2026-2027_s5/Toan/Lop_12/Nen_tang_Toan/gv.namnh/2/05
/hau_ky_s5_new/2026-2027_s5/Toan/Lop_12/Nen_tang_Toan/gv.namnh/2/06</v>
      </c>
      <c r="AB1048483" s="41" t="n">
        <f aca="false">IFERROR(__xludf.dummyfunction("""COMPUTED_VALUE"""),4)</f>
        <v>4</v>
      </c>
      <c r="AC1048483" s="57"/>
      <c r="AD1048483" s="46" t="str">
        <f aca="false">IFERROR(__xludf.dummyfunction("""COMPUTED_VALUE"""),"nentangtoan_thaynam")</f>
        <v>nentangtoan_thaynam</v>
      </c>
      <c r="AE1048483" s="46"/>
      <c r="AF1048483" s="47" t="str">
        <f aca="false">IFERROR(__xludf.dummyfunction("""COMPUTED_VALUE"""),"lophoctoan-946140")</f>
        <v>lophoctoan-946140</v>
      </c>
      <c r="AG1048483" s="46" t="str">
        <f aca="false">IFERROR(__xludf.dummyfunction("""COMPUTED_VALUE"""),"")</f>
        <v/>
      </c>
      <c r="AH1048483" s="53" t="b">
        <f aca="false">IFERROR(__xludf.dummyfunction("""COMPUTED_VALUE"""),TRUE())</f>
        <v>1</v>
      </c>
      <c r="AI1048483" s="35"/>
      <c r="AJ1048483" s="35"/>
      <c r="AK1048483" s="35"/>
      <c r="AL1048483" s="35"/>
      <c r="AM1048483" s="35"/>
      <c r="AN1048483" s="35"/>
      <c r="AO1048483" s="46"/>
    </row>
    <row r="1048484" customFormat="false" ht="15.75" hidden="false" customHeight="true" outlineLevel="0" collapsed="false">
      <c r="A1048484" s="37" t="str">
        <f aca="false">IFERROR(__xludf.dummyfunction("""COMPUTED_VALUE"""),"Toán")</f>
        <v>Toán</v>
      </c>
      <c r="B1048484" s="37" t="str">
        <f aca="false">IFERROR(__xludf.dummyfunction("""COMPUTED_VALUE"""),"NT_T_08")</f>
        <v>NT_T_08</v>
      </c>
      <c r="C1048484" s="38" t="str">
        <f aca="false">IFERROR(__xludf.dummyfunction("""COMPUTED_VALUE"""),"Phương trình, bất phương trình mũ – logarit dạng cơ bản")</f>
        <v>Phương trình, bất phương trình mũ – logarit dạng cơ bản</v>
      </c>
      <c r="D1048484" s="39" t="str">
        <f aca="false">IFERROR(__xludf.dummyfunction("""COMPUTED_VALUE"""),"Nguyễn Thanh Tùng")</f>
        <v>Nguyễn Thanh Tùng</v>
      </c>
      <c r="E1048484" s="40" t="n">
        <f aca="false">IFERROR(__xludf.dummyfunction("""COMPUTED_VALUE"""),46141)</f>
        <v>46141</v>
      </c>
      <c r="F1048484" s="41" t="n">
        <f aca="false">IFERROR(__xludf.dummyfunction("""COMPUTED_VALUE"""),4)</f>
        <v>4</v>
      </c>
      <c r="G1048484" s="37" t="str">
        <f aca="false">IFERROR(__xludf.dummyfunction("""COMPUTED_VALUE"""),"20:00-22:00")</f>
        <v>20:00-22:00</v>
      </c>
      <c r="H1048484" s="42" t="str">
        <f aca="false">IFERROR(__xludf.dummyfunction("""COMPUTED_VALUE"""),"https://hocmai.vn/mod/scorm/view_file.php?id=180020")</f>
        <v>https://hocmai.vn/mod/scorm/view_file.php?id=180020</v>
      </c>
      <c r="I1048484" s="42" t="str">
        <f aca="false">IFERROR(__xludf.dummyfunction("""COMPUTED_VALUE"""),"https://hocmai.vn/mod/scorm/view_file.php?id=180027")</f>
        <v>https://hocmai.vn/mod/scorm/view_file.php?id=180027</v>
      </c>
      <c r="J1048484" s="42" t="str">
        <f aca="false">IFERROR(__xludf.dummyfunction("""COMPUTED_VALUE"""),"https://drive.google.com/drive/folders/1SrhX0P8LFpuSfjj8sL52PlP7AguTZgoW?usp=drive_link")</f>
        <v>https://drive.google.com/drive/folders/1SrhX0P8LFpuSfjj8sL52PlP7AguTZgoW?usp=drive_link</v>
      </c>
      <c r="K1048484" s="37" t="str">
        <f aca="false">IFERROR(__xludf.dummyfunction("""COMPUTED_VALUE"""),"Chientd2")</f>
        <v>Chientd2</v>
      </c>
      <c r="L1048484" s="37" t="str">
        <f aca="false">IFERROR(__xludf.dummyfunction("""COMPUTED_VALUE"""),"Tưởng Thị Huyền Trang")</f>
        <v>Tưởng Thị Huyền Trang</v>
      </c>
      <c r="M1048484" s="43" t="str">
        <f aca="false">IFERROR(__xludf.dummyfunction("""COMPUTED_VALUE"""),"https://hocmai.sharepoint.com/Education_Development/Lists/San_xuat_video/DispForm.aspx?ID=12147")</f>
        <v>https://hocmai.sharepoint.com/Education_Development/Lists/San_xuat_video/DispForm.aspx?ID=12147</v>
      </c>
      <c r="N1048484" s="41" t="n">
        <f aca="false">IFERROR(__xludf.dummyfunction("""COMPUTED_VALUE"""),3312)</f>
        <v>3312</v>
      </c>
      <c r="O1048484" s="41" t="n">
        <f aca="false">IFERROR(__xludf.dummyfunction("""COMPUTED_VALUE"""),166589)</f>
        <v>166589</v>
      </c>
      <c r="P1048484" s="41"/>
      <c r="Q1048484" s="41" t="n">
        <f aca="false">IFERROR(__xludf.dummyfunction("""COMPUTED_VALUE"""),7895)</f>
        <v>7895</v>
      </c>
      <c r="R1048484" s="41"/>
      <c r="S1048484" s="41"/>
      <c r="T1048484" s="41" t="n">
        <f aca="false">IFERROR(__xludf.dummyfunction("""COMPUTED_VALUE"""),7896)</f>
        <v>7896</v>
      </c>
      <c r="U1048484" s="41" t="n">
        <f aca="false">IFERROR(__xludf.dummyfunction("""COMPUTED_VALUE"""),22799)</f>
        <v>22799</v>
      </c>
      <c r="V1048484" s="40" t="n">
        <f aca="false">IFERROR(__xludf.dummyfunction("""COMPUTED_VALUE"""),46144)</f>
        <v>46144</v>
      </c>
      <c r="W1048484" s="39" t="str">
        <f aca="false">IFERROR(__xludf.dummyfunction("""COMPUTED_VALUE"""),"Hoàn thành XB")</f>
        <v>Hoàn thành XB</v>
      </c>
      <c r="X1048484" s="41" t="str">
        <f aca="false">IFERROR(__xludf.dummyfunction("""COMPUTED_VALUE"""),"Chientd2")</f>
        <v>Chientd2</v>
      </c>
      <c r="Y1048484" s="44"/>
      <c r="Z1048484" s="56" t="str">
        <f aca="false">IFERROR(__xludf.dummyfunction("""COMPUTED_VALUE"""),"https://s3.evgcloud.net/livestream/video/mp4/2026/04/29/336_33675f560e9966149c5bb6da16e6905fa9f_RELAY-20260429195834-cv.mp4")</f>
        <v>https://s3.evgcloud.net/livestream/video/mp4/2026/04/29/336_33675f560e9966149c5bb6da16e6905fa9f_RELAY-20260429195834-cv.mp4</v>
      </c>
      <c r="AA1048484" s="57" t="str">
        <f aca="false">IFERROR(__xludf.dummyfunction("""COMPUTED_VALUE"""),"/hau_ky_s5_new/2026-2027_s5/Toan/Lop_12/Nen_tang_Toan/gv.tungnt/8/01
/hau_ky_s5_new/2026-2027_s5/Toan/Lop_12/Nen_tang_Toan/gv.tungnt/8/02
/hau_ky_s5_new/2026-2027_s5/Toan/Lop_12/Nen_tang_Toan/gv.tungnt/8/03
/hau_ky_s5_new/2026-2027_s5/Toan/Lop_12/Nen_tang"&amp;"_Toan/gv.tungnt/8/04
/hau_ky_s5_new/2026-2027_s5/Toan/Lop_12/Nen_tang_Toan/gv.tungnt/8/05
/hau_ky_s5_new/2026-2027_s5/Toan/Lop_12/Nen_tang_Toan/gv.tungnt/8/06
/hau_ky_s5_new/2026-2027_s5/Toan/Lop_12/Nen_tang_Toan/gv.tungnt/8/07
/hau_ky_s5_new/2026-2027_s5"&amp;"/Toan/Lop_12/Nen_tang_Toan/gv.tungnt/8/08")</f>
        <v>/hau_ky_s5_new/2026-2027_s5/Toan/Lop_12/Nen_tang_Toan/gv.tungnt/8/01
/hau_ky_s5_new/2026-2027_s5/Toan/Lop_12/Nen_tang_Toan/gv.tungnt/8/02
/hau_ky_s5_new/2026-2027_s5/Toan/Lop_12/Nen_tang_Toan/gv.tungnt/8/03
/hau_ky_s5_new/2026-2027_s5/Toan/Lop_12/Nen_tang_Toan/gv.tungnt/8/04
/hau_ky_s5_new/2026-2027_s5/Toan/Lop_12/Nen_tang_Toan/gv.tungnt/8/05
/hau_ky_s5_new/2026-2027_s5/Toan/Lop_12/Nen_tang_Toan/gv.tungnt/8/06
/hau_ky_s5_new/2026-2027_s5/Toan/Lop_12/Nen_tang_Toan/gv.tungnt/8/07
/hau_ky_s5_new/2026-2027_s5/Toan/Lop_12/Nen_tang_Toan/gv.tungnt/8/08</v>
      </c>
      <c r="AB1048484" s="41" t="n">
        <f aca="false">IFERROR(__xludf.dummyfunction("""COMPUTED_VALUE"""),4)</f>
        <v>4</v>
      </c>
      <c r="AC1048484" s="57" t="str">
        <f aca="false">IFERROR(__xludf.dummyfunction("""COMPUTED_VALUE"""),"nentangtoan")</f>
        <v>nentangtoan</v>
      </c>
      <c r="AD1048484" s="46"/>
      <c r="AE1048484" s="46"/>
      <c r="AF1048484" s="47" t="str">
        <f aca="false">IFERROR(__xludf.dummyfunction("""COMPUTED_VALUE"""),"lophoctoan-946141")</f>
        <v>lophoctoan-946141</v>
      </c>
      <c r="AG1048484" s="46" t="str">
        <f aca="false">IFERROR(__xludf.dummyfunction("""COMPUTED_VALUE"""),"")</f>
        <v/>
      </c>
      <c r="AH1048484" s="53" t="b">
        <f aca="false">IFERROR(__xludf.dummyfunction("""COMPUTED_VALUE"""),TRUE())</f>
        <v>1</v>
      </c>
      <c r="AI1048484" s="35"/>
      <c r="AJ1048484" s="35"/>
      <c r="AK1048484" s="35"/>
      <c r="AL1048484" s="35"/>
      <c r="AM1048484" s="35"/>
      <c r="AN1048484" s="35"/>
      <c r="AO1048484" s="46"/>
    </row>
    <row r="1048485" customFormat="false" ht="15.75" hidden="false" customHeight="true" outlineLevel="0" collapsed="false">
      <c r="A1048485" s="37" t="str">
        <f aca="false">IFERROR(__xludf.dummyfunction("""COMPUTED_VALUE"""),"Toán")</f>
        <v>Toán</v>
      </c>
      <c r="B1048485" s="37" t="str">
        <f aca="false">IFERROR(__xludf.dummyfunction("""COMPUTED_VALUE"""),"NT_T_09")</f>
        <v>NT_T_09</v>
      </c>
      <c r="C1048485" s="38" t="str">
        <f aca="false">IFERROR(__xludf.dummyfunction("""COMPUTED_VALUE"""),"Các bài toán lãi suất và tăng trưởng")</f>
        <v>Các bài toán lãi suất và tăng trưởng</v>
      </c>
      <c r="D1048485" s="39" t="str">
        <f aca="false">IFERROR(__xludf.dummyfunction("""COMPUTED_VALUE"""),"Nguyễn Thanh Tùng")</f>
        <v>Nguyễn Thanh Tùng</v>
      </c>
      <c r="E1048485" s="40" t="n">
        <f aca="false">IFERROR(__xludf.dummyfunction("""COMPUTED_VALUE"""),46144)</f>
        <v>46144</v>
      </c>
      <c r="F1048485" s="41" t="n">
        <f aca="false">IFERROR(__xludf.dummyfunction("""COMPUTED_VALUE"""),7)</f>
        <v>7</v>
      </c>
      <c r="G1048485" s="37" t="str">
        <f aca="false">IFERROR(__xludf.dummyfunction("""COMPUTED_VALUE"""),"20:00-22:00")</f>
        <v>20:00-22:00</v>
      </c>
      <c r="H1048485" s="42" t="str">
        <f aca="false">IFERROR(__xludf.dummyfunction("""COMPUTED_VALUE"""),"https://hocmai.vn/mod/scorm/view_file.php?id=180049")</f>
        <v>https://hocmai.vn/mod/scorm/view_file.php?id=180049</v>
      </c>
      <c r="I1048485" s="42" t="str">
        <f aca="false">IFERROR(__xludf.dummyfunction("""COMPUTED_VALUE"""),"https://hocmai.vn/mod/scorm/view_file.php?id=180029")</f>
        <v>https://hocmai.vn/mod/scorm/view_file.php?id=180029</v>
      </c>
      <c r="J1048485" s="42" t="str">
        <f aca="false">IFERROR(__xludf.dummyfunction("""COMPUTED_VALUE"""),"https://drive.google.com/drive/folders/1KTWBEmjJ46Mw-BVWSU_L-xmKo5r5FG35?usp=drive_link")</f>
        <v>https://drive.google.com/drive/folders/1KTWBEmjJ46Mw-BVWSU_L-xmKo5r5FG35?usp=drive_link</v>
      </c>
      <c r="K1048485" s="37" t="str">
        <f aca="false">IFERROR(__xludf.dummyfunction("""COMPUTED_VALUE"""),"Chientd2")</f>
        <v>Chientd2</v>
      </c>
      <c r="L1048485" s="37" t="str">
        <f aca="false">IFERROR(__xludf.dummyfunction("""COMPUTED_VALUE"""),"Tưởng Thị Huyền Trang")</f>
        <v>Tưởng Thị Huyền Trang</v>
      </c>
      <c r="M1048485" s="60" t="str">
        <f aca="false">IFERROR(__xludf.dummyfunction("""COMPUTED_VALUE"""),"https://hocmai.sharepoint.com/Education_Development/Lists/San_xuat_video/DispForm.aspx?ID=12148")</f>
        <v>https://hocmai.sharepoint.com/Education_Development/Lists/San_xuat_video/DispForm.aspx?ID=12148</v>
      </c>
      <c r="N1048485" s="41" t="n">
        <f aca="false">IFERROR(__xludf.dummyfunction("""COMPUTED_VALUE"""),3312)</f>
        <v>3312</v>
      </c>
      <c r="O1048485" s="41" t="n">
        <f aca="false">IFERROR(__xludf.dummyfunction("""COMPUTED_VALUE"""),166590)</f>
        <v>166590</v>
      </c>
      <c r="P1048485" s="41"/>
      <c r="Q1048485" s="41" t="n">
        <f aca="false">IFERROR(__xludf.dummyfunction("""COMPUTED_VALUE"""),7897)</f>
        <v>7897</v>
      </c>
      <c r="R1048485" s="41"/>
      <c r="S1048485" s="41"/>
      <c r="T1048485" s="41" t="n">
        <f aca="false">IFERROR(__xludf.dummyfunction("""COMPUTED_VALUE"""),7898)</f>
        <v>7898</v>
      </c>
      <c r="U1048485" s="41" t="n">
        <f aca="false">IFERROR(__xludf.dummyfunction("""COMPUTED_VALUE"""),22800)</f>
        <v>22800</v>
      </c>
      <c r="V1048485" s="40" t="n">
        <f aca="false">IFERROR(__xludf.dummyfunction("""COMPUTED_VALUE"""),46147)</f>
        <v>46147</v>
      </c>
      <c r="W1048485" s="39" t="str">
        <f aca="false">IFERROR(__xludf.dummyfunction("""COMPUTED_VALUE"""),"Hoàn thành XB")</f>
        <v>Hoàn thành XB</v>
      </c>
      <c r="X1048485" s="41" t="str">
        <f aca="false">IFERROR(__xludf.dummyfunction("""COMPUTED_VALUE"""),"Chientd2")</f>
        <v>Chientd2</v>
      </c>
      <c r="Y1048485" s="44"/>
      <c r="Z1048485" s="57"/>
      <c r="AA1048485" s="57" t="str">
        <f aca="false">IFERROR(__xludf.dummyfunction("""COMPUTED_VALUE"""),"/hau_ky_s5_new/2026-2027_s5/Toan/Lop_12/Nen_tang_Toan/gv.tungnt/9/01
/hau_ky_s5_new/2026-2027_s5/Toan/Lop_12/Nen_tang_Toan/gv.tungnt/9/02
/hau_ky_s5_new/2026-2027_s5/Toan/Lop_12/Nen_tang_Toan/gv.tungnt/9/03
/hau_ky_s5_new/2026-2027_s5/Toan/Lop_12/Nen_tang"&amp;"_Toan/gv.tungnt/9/04
/hau_ky_s5_new/2026-2027_s5/Toan/Lop_12/Nen_tang_Toan/gv.tungnt/9/05
/hau_ky_s5_new/2026-2027_s5/Toan/Lop_12/Nen_tang_Toan/gv.tungnt/9/06")</f>
        <v>/hau_ky_s5_new/2026-2027_s5/Toan/Lop_12/Nen_tang_Toan/gv.tungnt/9/01
/hau_ky_s5_new/2026-2027_s5/Toan/Lop_12/Nen_tang_Toan/gv.tungnt/9/02
/hau_ky_s5_new/2026-2027_s5/Toan/Lop_12/Nen_tang_Toan/gv.tungnt/9/03
/hau_ky_s5_new/2026-2027_s5/Toan/Lop_12/Nen_tang_Toan/gv.tungnt/9/04
/hau_ky_s5_new/2026-2027_s5/Toan/Lop_12/Nen_tang_Toan/gv.tungnt/9/05
/hau_ky_s5_new/2026-2027_s5/Toan/Lop_12/Nen_tang_Toan/gv.tungnt/9/06</v>
      </c>
      <c r="AB1048485" s="41" t="n">
        <f aca="false">IFERROR(__xludf.dummyfunction("""COMPUTED_VALUE"""),5)</f>
        <v>5</v>
      </c>
      <c r="AC1048485" s="57" t="str">
        <f aca="false">IFERROR(__xludf.dummyfunction("""COMPUTED_VALUE"""),"nentangtoan")</f>
        <v>nentangtoan</v>
      </c>
      <c r="AD1048485" s="46"/>
      <c r="AE1048485" s="46"/>
      <c r="AF1048485" s="47" t="str">
        <f aca="false">IFERROR(__xludf.dummyfunction("""COMPUTED_VALUE"""),"lophoctoan-946144")</f>
        <v>lophoctoan-946144</v>
      </c>
      <c r="AG1048485" s="46" t="str">
        <f aca="false">IFERROR(__xludf.dummyfunction("""COMPUTED_VALUE"""),"")</f>
        <v/>
      </c>
      <c r="AH1048485" s="53" t="b">
        <f aca="false">IFERROR(__xludf.dummyfunction("""COMPUTED_VALUE"""),TRUE())</f>
        <v>1</v>
      </c>
      <c r="AI1048485" s="35"/>
      <c r="AJ1048485" s="35"/>
      <c r="AK1048485" s="35"/>
      <c r="AL1048485" s="35"/>
      <c r="AM1048485" s="35"/>
      <c r="AN1048485" s="35"/>
      <c r="AO1048485" s="46"/>
    </row>
    <row r="1048486" customFormat="false" ht="15" hidden="false" customHeight="true" outlineLevel="0" collapsed="false">
      <c r="A1048486" s="37" t="str">
        <f aca="false">IFERROR(__xludf.dummyfunction("""COMPUTED_VALUE"""),"Toán")</f>
        <v>Toán</v>
      </c>
      <c r="B1048486" s="37" t="str">
        <f aca="false">IFERROR(__xludf.dummyfunction("""COMPUTED_VALUE"""),"NT_N_03")</f>
        <v>NT_N_03</v>
      </c>
      <c r="C1048486" s="38" t="str">
        <f aca="false">IFERROR(__xludf.dummyfunction("""COMPUTED_VALUE"""),"Ứng dụng đạo hàm giải bài toán chuyển động cơ bản")</f>
        <v>Ứng dụng đạo hàm giải bài toán chuyển động cơ bản</v>
      </c>
      <c r="D1048486" s="39" t="str">
        <f aca="false">IFERROR(__xludf.dummyfunction("""COMPUTED_VALUE"""),"Nguyễn Hoài Nam")</f>
        <v>Nguyễn Hoài Nam</v>
      </c>
      <c r="E1048486" s="40" t="n">
        <f aca="false">IFERROR(__xludf.dummyfunction("""COMPUTED_VALUE"""),46147)</f>
        <v>46147</v>
      </c>
      <c r="F1048486" s="41" t="n">
        <f aca="false">IFERROR(__xludf.dummyfunction("""COMPUTED_VALUE"""),3)</f>
        <v>3</v>
      </c>
      <c r="G1048486" s="37" t="str">
        <f aca="false">IFERROR(__xludf.dummyfunction("""COMPUTED_VALUE"""),"21:00-22:30")</f>
        <v>21:00-22:30</v>
      </c>
      <c r="H1048486" s="42" t="str">
        <f aca="false">IFERROR(__xludf.dummyfunction("""COMPUTED_VALUE"""),"https://hocmai.vn/mod/scorm/view_file.php?inpopup=true&amp;id=180066")</f>
        <v>https://hocmai.vn/mod/scorm/view_file.php?inpopup=true&amp;id=180066</v>
      </c>
      <c r="I1048486" s="42" t="str">
        <f aca="false">IFERROR(__xludf.dummyfunction("""COMPUTED_VALUE"""),"https://hocmai.vn/mod/scorm/view_file.php?inpopup=true&amp;id=180078")</f>
        <v>https://hocmai.vn/mod/scorm/view_file.php?inpopup=true&amp;id=180078</v>
      </c>
      <c r="J1048486" s="37"/>
      <c r="K1048486" s="37" t="str">
        <f aca="false">IFERROR(__xludf.dummyfunction("""COMPUTED_VALUE"""),"thinhnh")</f>
        <v>thinhnh</v>
      </c>
      <c r="L1048486" s="37" t="str">
        <f aca="false">IFERROR(__xludf.dummyfunction("""COMPUTED_VALUE"""),"Lê Quốc Việt")</f>
        <v>Lê Quốc Việt</v>
      </c>
      <c r="M1048486" s="43" t="str">
        <f aca="false">IFERROR(__xludf.dummyfunction("""COMPUTED_VALUE"""),"https://hocmai.sharepoint.com/Education_Development/Lists/San_xuat_video/DispForm.aspx?ID=12190")</f>
        <v>https://hocmai.sharepoint.com/Education_Development/Lists/San_xuat_video/DispForm.aspx?ID=12190</v>
      </c>
      <c r="N1048486" s="58" t="n">
        <f aca="false">IFERROR(__xludf.dummyfunction("""COMPUTED_VALUE"""),3313)</f>
        <v>3313</v>
      </c>
      <c r="O1048486" s="41" t="n">
        <f aca="false">IFERROR(__xludf.dummyfunction("""COMPUTED_VALUE"""),166628)</f>
        <v>166628</v>
      </c>
      <c r="P1048486" s="41"/>
      <c r="Q1048486" s="41" t="n">
        <f aca="false">IFERROR(__xludf.dummyfunction("""COMPUTED_VALUE"""),8001)</f>
        <v>8001</v>
      </c>
      <c r="R1048486" s="41"/>
      <c r="S1048486" s="41"/>
      <c r="T1048486" s="41" t="n">
        <f aca="false">IFERROR(__xludf.dummyfunction("""COMPUTED_VALUE"""),8002)</f>
        <v>8002</v>
      </c>
      <c r="U1048486" s="41" t="n">
        <f aca="false">IFERROR(__xludf.dummyfunction("""COMPUTED_VALUE"""),22864)</f>
        <v>22864</v>
      </c>
      <c r="V1048486" s="40" t="n">
        <f aca="false">IFERROR(__xludf.dummyfunction("""COMPUTED_VALUE"""),46147)</f>
        <v>46147</v>
      </c>
      <c r="W1048486" s="39" t="str">
        <f aca="false">IFERROR(__xludf.dummyfunction("""COMPUTED_VALUE"""),"Hoàn thành XB")</f>
        <v>Hoàn thành XB</v>
      </c>
      <c r="X1048486" s="41" t="str">
        <f aca="false">IFERROR(__xludf.dummyfunction("""COMPUTED_VALUE"""),"thinhnh")</f>
        <v>thinhnh</v>
      </c>
      <c r="Y1048486" s="44"/>
      <c r="Z1048486" s="56" t="str">
        <f aca="false">IFERROR(__xludf.dummyfunction("""COMPUTED_VALUE"""),"https://s3.evgcloud.net/livestream/video/mp4/2026/05/05/336_33675f560e9966149c5bb6da16e6905fa9f_RELAY-20260505205417-cv.mp4")</f>
        <v>https://s3.evgcloud.net/livestream/video/mp4/2026/05/05/336_33675f560e9966149c5bb6da16e6905fa9f_RELAY-20260505205417-cv.mp4</v>
      </c>
      <c r="AA1048486" s="57" t="str">
        <f aca="false">IFERROR(__xludf.dummyfunction("""COMPUTED_VALUE"""),"/hau_ky_s5_new/2026-2027_s5/Toan/Lop_12/Nen_tang_Toan/gv.namnh/3/01
/hau_ky_s5_new/2026-2027_s5/Toan/Lop_12/Nen_tang_Toan/gv.namnh/3/02
/hau_ky_s5_new/2026-2027_s5/Toan/Lop_12/Nen_tang_Toan/gv.namnh/3/03
/hau_ky_s5_new/2026-2027_s5/Toan/Lop_12/Nen_tang_To"&amp;"an/gv.namnh/3/04")</f>
        <v>/hau_ky_s5_new/2026-2027_s5/Toan/Lop_12/Nen_tang_Toan/gv.namnh/3/01
/hau_ky_s5_new/2026-2027_s5/Toan/Lop_12/Nen_tang_Toan/gv.namnh/3/02
/hau_ky_s5_new/2026-2027_s5/Toan/Lop_12/Nen_tang_Toan/gv.namnh/3/03
/hau_ky_s5_new/2026-2027_s5/Toan/Lop_12/Nen_tang_Toan/gv.namnh/3/04</v>
      </c>
      <c r="AB1048486" s="41" t="n">
        <f aca="false">IFERROR(__xludf.dummyfunction("""COMPUTED_VALUE"""),5)</f>
        <v>5</v>
      </c>
      <c r="AC1048486" s="57" t="str">
        <f aca="false">IFERROR(__xludf.dummyfunction("""COMPUTED_VALUE"""),"Đang lỗi link 2,3,4
=&gt; Đã được xử lí")</f>
        <v>Đang lỗi link 2,3,4
=&gt; Đã được xử lí</v>
      </c>
      <c r="AD1048486" s="46" t="str">
        <f aca="false">IFERROR(__xludf.dummyfunction("""COMPUTED_VALUE"""),"nentangtoan_thaynam")</f>
        <v>nentangtoan_thaynam</v>
      </c>
      <c r="AE1048486" s="46"/>
      <c r="AF1048486" s="47" t="str">
        <f aca="false">IFERROR(__xludf.dummyfunction("""COMPUTED_VALUE"""),"lophoctoan-946147")</f>
        <v>lophoctoan-946147</v>
      </c>
      <c r="AG1048486" s="46" t="str">
        <f aca="false">IFERROR(__xludf.dummyfunction("""COMPUTED_VALUE"""),"")</f>
        <v/>
      </c>
      <c r="AH1048486" s="53" t="b">
        <f aca="false">IFERROR(__xludf.dummyfunction("""COMPUTED_VALUE"""),TRUE())</f>
        <v>1</v>
      </c>
      <c r="AI1048486" s="35"/>
      <c r="AJ1048486" s="35"/>
      <c r="AK1048486" s="35"/>
      <c r="AL1048486" s="35"/>
      <c r="AM1048486" s="35"/>
      <c r="AN1048486" s="35"/>
      <c r="AO1048486" s="46"/>
    </row>
    <row r="1048487" customFormat="false" ht="15.75" hidden="false" customHeight="true" outlineLevel="0" collapsed="false">
      <c r="A1048487" s="37" t="str">
        <f aca="false">IFERROR(__xludf.dummyfunction("""COMPUTED_VALUE"""),"Toán")</f>
        <v>Toán</v>
      </c>
      <c r="B1048487" s="37" t="str">
        <f aca="false">IFERROR(__xludf.dummyfunction("""COMPUTED_VALUE"""),"NT_T_10")</f>
        <v>NT_T_10</v>
      </c>
      <c r="C1048487" s="38" t="str">
        <f aca="false">IFERROR(__xludf.dummyfunction("""COMPUTED_VALUE"""),"Hàm số lượng giác và phương trình lượng giác")</f>
        <v>Hàm số lượng giác và phương trình lượng giác</v>
      </c>
      <c r="D1048487" s="39" t="str">
        <f aca="false">IFERROR(__xludf.dummyfunction("""COMPUTED_VALUE"""),"Nguyễn Thanh Tùng")</f>
        <v>Nguyễn Thanh Tùng</v>
      </c>
      <c r="E1048487" s="40" t="n">
        <f aca="false">IFERROR(__xludf.dummyfunction("""COMPUTED_VALUE"""),46148)</f>
        <v>46148</v>
      </c>
      <c r="F1048487" s="41" t="n">
        <f aca="false">IFERROR(__xludf.dummyfunction("""COMPUTED_VALUE"""),4)</f>
        <v>4</v>
      </c>
      <c r="G1048487" s="37" t="str">
        <f aca="false">IFERROR(__xludf.dummyfunction("""COMPUTED_VALUE"""),"20:00-22:00")</f>
        <v>20:00-22:00</v>
      </c>
      <c r="H1048487" s="42" t="str">
        <f aca="false">IFERROR(__xludf.dummyfunction("""COMPUTED_VALUE"""),"https://hocmai.vn/mod/scorm/view_file.php?id=180080")</f>
        <v>https://hocmai.vn/mod/scorm/view_file.php?id=180080</v>
      </c>
      <c r="I1048487" s="42" t="str">
        <f aca="false">IFERROR(__xludf.dummyfunction("""COMPUTED_VALUE"""),"https://hocmai.vn/mod/scorm/view_file.php?id=180081")</f>
        <v>https://hocmai.vn/mod/scorm/view_file.php?id=180081</v>
      </c>
      <c r="J1048487" s="42" t="str">
        <f aca="false">IFERROR(__xludf.dummyfunction("""COMPUTED_VALUE"""),"https://drive.google.com/drive/folders/1TQSr2qDRiDocCiTniIcIV9cdzinOy8bF?usp=drive_link")</f>
        <v>https://drive.google.com/drive/folders/1TQSr2qDRiDocCiTniIcIV9cdzinOy8bF?usp=drive_link</v>
      </c>
      <c r="K1048487" s="37" t="str">
        <f aca="false">IFERROR(__xludf.dummyfunction("""COMPUTED_VALUE"""),"Chientd2")</f>
        <v>Chientd2</v>
      </c>
      <c r="L1048487" s="37" t="str">
        <f aca="false">IFERROR(__xludf.dummyfunction("""COMPUTED_VALUE"""),"Tưởng Thị Huyền Trang")</f>
        <v>Tưởng Thị Huyền Trang</v>
      </c>
      <c r="M1048487" s="43" t="str">
        <f aca="false">IFERROR(__xludf.dummyfunction("""COMPUTED_VALUE"""),"https://hocmai.sharepoint.com/Education_Development/Lists/San_xuat_video/DispForm.aspx?ID=12149")</f>
        <v>https://hocmai.sharepoint.com/Education_Development/Lists/San_xuat_video/DispForm.aspx?ID=12149</v>
      </c>
      <c r="N1048487" s="41" t="n">
        <f aca="false">IFERROR(__xludf.dummyfunction("""COMPUTED_VALUE"""),3312)</f>
        <v>3312</v>
      </c>
      <c r="O1048487" s="41" t="n">
        <f aca="false">IFERROR(__xludf.dummyfunction("""COMPUTED_VALUE"""),166591)</f>
        <v>166591</v>
      </c>
      <c r="P1048487" s="41"/>
      <c r="Q1048487" s="41" t="n">
        <f aca="false">IFERROR(__xludf.dummyfunction("""COMPUTED_VALUE"""),7899)</f>
        <v>7899</v>
      </c>
      <c r="R1048487" s="41"/>
      <c r="S1048487" s="41"/>
      <c r="T1048487" s="41" t="n">
        <f aca="false">IFERROR(__xludf.dummyfunction("""COMPUTED_VALUE"""),7900)</f>
        <v>7900</v>
      </c>
      <c r="U1048487" s="41" t="n">
        <f aca="false">IFERROR(__xludf.dummyfunction("""COMPUTED_VALUE"""),22868)</f>
        <v>22868</v>
      </c>
      <c r="V1048487" s="40" t="n">
        <f aca="false">IFERROR(__xludf.dummyfunction("""COMPUTED_VALUE"""),46151)</f>
        <v>46151</v>
      </c>
      <c r="W1048487" s="39" t="str">
        <f aca="false">IFERROR(__xludf.dummyfunction("""COMPUTED_VALUE"""),"Hoàn thành XB")</f>
        <v>Hoàn thành XB</v>
      </c>
      <c r="X1048487" s="41" t="str">
        <f aca="false">IFERROR(__xludf.dummyfunction("""COMPUTED_VALUE"""),"Chientd2")</f>
        <v>Chientd2</v>
      </c>
      <c r="Y1048487" s="44"/>
      <c r="Z1048487" s="57"/>
      <c r="AA1048487" s="57" t="str">
        <f aca="false">IFERROR(__xludf.dummyfunction("""COMPUTED_VALUE"""),"/hau_ky_s5_new/2026-2027_s5/Toan/Lop_12/Nen_tang_Toan/gv.tungnt/10/01
/hau_ky_s5_new/2026-2027_s5/Toan/Lop_12/Nen_tang_Toan/gv.tungnt/10/02
/hau_ky_s5_new/2026-2027_s5/Toan/Lop_12/Nen_tang_Toan/gv.tungnt/10/03
/hau_ky_s5_new/2026-2027_s5/Toan/Lop_12/Nen_t"&amp;"ang_Toan/gv.tungnt/10/04
/hau_ky_s5_new/2026-2027_s5/Toan/Lop_12/Nen_tang_Toan/gv.tungnt/10/05
/hau_ky_s5_new/2026-2027_s5/Toan/Lop_12/Nen_tang_Toan/gv.tungnt/10/06
/hau_ky_s5_new/2026-2027_s5/Toan/Lop_12/Nen_tang_Toan/gv.tungnt/10/07")</f>
        <v>/hau_ky_s5_new/2026-2027_s5/Toan/Lop_12/Nen_tang_Toan/gv.tungnt/10/01
/hau_ky_s5_new/2026-2027_s5/Toan/Lop_12/Nen_tang_Toan/gv.tungnt/10/02
/hau_ky_s5_new/2026-2027_s5/Toan/Lop_12/Nen_tang_Toan/gv.tungnt/10/03
/hau_ky_s5_new/2026-2027_s5/Toan/Lop_12/Nen_tang_Toan/gv.tungnt/10/04
/hau_ky_s5_new/2026-2027_s5/Toan/Lop_12/Nen_tang_Toan/gv.tungnt/10/05
/hau_ky_s5_new/2026-2027_s5/Toan/Lop_12/Nen_tang_Toan/gv.tungnt/10/06
/hau_ky_s5_new/2026-2027_s5/Toan/Lop_12/Nen_tang_Toan/gv.tungnt/10/07</v>
      </c>
      <c r="AB1048487" s="41" t="n">
        <f aca="false">IFERROR(__xludf.dummyfunction("""COMPUTED_VALUE"""),5)</f>
        <v>5</v>
      </c>
      <c r="AC1048487" s="57" t="str">
        <f aca="false">IFERROR(__xludf.dummyfunction("""COMPUTED_VALUE"""),"nentangtoan")</f>
        <v>nentangtoan</v>
      </c>
      <c r="AD1048487" s="46"/>
      <c r="AE1048487" s="46"/>
      <c r="AF1048487" s="47" t="str">
        <f aca="false">IFERROR(__xludf.dummyfunction("""COMPUTED_VALUE"""),"lophoctoan-946148")</f>
        <v>lophoctoan-946148</v>
      </c>
      <c r="AG1048487" s="46" t="str">
        <f aca="false">IFERROR(__xludf.dummyfunction("""COMPUTED_VALUE"""),"")</f>
        <v/>
      </c>
      <c r="AH1048487" s="53" t="b">
        <f aca="false">IFERROR(__xludf.dummyfunction("""COMPUTED_VALUE"""),TRUE())</f>
        <v>1</v>
      </c>
      <c r="AI1048487" s="35"/>
      <c r="AJ1048487" s="35"/>
      <c r="AK1048487" s="35"/>
      <c r="AL1048487" s="35"/>
      <c r="AM1048487" s="35"/>
      <c r="AN1048487" s="35"/>
      <c r="AO1048487" s="46"/>
    </row>
    <row r="1048488" customFormat="false" ht="15.75" hidden="false" customHeight="true" outlineLevel="0" collapsed="false">
      <c r="A1048488" s="37" t="str">
        <f aca="false">IFERROR(__xludf.dummyfunction("""COMPUTED_VALUE"""),"Toán")</f>
        <v>Toán</v>
      </c>
      <c r="B1048488" s="37" t="str">
        <f aca="false">IFERROR(__xludf.dummyfunction("""COMPUTED_VALUE"""),"NT_T_11")</f>
        <v>NT_T_11</v>
      </c>
      <c r="C1048488" s="38" t="str">
        <f aca="false">IFERROR(__xludf.dummyfunction("""COMPUTED_VALUE"""),"Tính đơn điệu của hàm số (P1)")</f>
        <v>Tính đơn điệu của hàm số (P1)</v>
      </c>
      <c r="D1048488" s="39" t="str">
        <f aca="false">IFERROR(__xludf.dummyfunction("""COMPUTED_VALUE"""),"Nguyễn Thanh Tùng")</f>
        <v>Nguyễn Thanh Tùng</v>
      </c>
      <c r="E1048488" s="40" t="n">
        <f aca="false">IFERROR(__xludf.dummyfunction("""COMPUTED_VALUE"""),46151)</f>
        <v>46151</v>
      </c>
      <c r="F1048488" s="41" t="n">
        <f aca="false">IFERROR(__xludf.dummyfunction("""COMPUTED_VALUE"""),7)</f>
        <v>7</v>
      </c>
      <c r="G1048488" s="37" t="str">
        <f aca="false">IFERROR(__xludf.dummyfunction("""COMPUTED_VALUE"""),"20:00-22:00")</f>
        <v>20:00-22:00</v>
      </c>
      <c r="H1048488" s="61" t="str">
        <f aca="false">IFERROR(__xludf.dummyfunction("""COMPUTED_VALUE"""),"https://hocmai.vn/mod/scorm/view_file.php?id=180091")</f>
        <v>https://hocmai.vn/mod/scorm/view_file.php?id=180091</v>
      </c>
      <c r="I1048488" s="42" t="str">
        <f aca="false">IFERROR(__xludf.dummyfunction("""COMPUTED_VALUE"""),"https://hocmai.vn/mod/scorm/view_file.php?id=180104")</f>
        <v>https://hocmai.vn/mod/scorm/view_file.php?id=180104</v>
      </c>
      <c r="J1048488" s="42" t="str">
        <f aca="false">IFERROR(__xludf.dummyfunction("""COMPUTED_VALUE"""),"https://drive.google.com/drive/folders/1W1jJMdZQDFulPLSl9-J-_6wx57IlaYWG?usp=drive_link")</f>
        <v>https://drive.google.com/drive/folders/1W1jJMdZQDFulPLSl9-J-_6wx57IlaYWG?usp=drive_link</v>
      </c>
      <c r="K1048488" s="37" t="str">
        <f aca="false">IFERROR(__xludf.dummyfunction("""COMPUTED_VALUE"""),"Chientd2")</f>
        <v>Chientd2</v>
      </c>
      <c r="L1048488" s="37" t="str">
        <f aca="false">IFERROR(__xludf.dummyfunction("""COMPUTED_VALUE"""),"Tưởng Thị Huyền Trang")</f>
        <v>Tưởng Thị Huyền Trang</v>
      </c>
      <c r="M1048488" s="43" t="str">
        <f aca="false">IFERROR(__xludf.dummyfunction("""COMPUTED_VALUE"""),"https://hocmai.sharepoint.com/Education_Development/Lists/San_xuat_video/DispForm.aspx?ID=12150")</f>
        <v>https://hocmai.sharepoint.com/Education_Development/Lists/San_xuat_video/DispForm.aspx?ID=12150</v>
      </c>
      <c r="N1048488" s="41" t="n">
        <f aca="false">IFERROR(__xludf.dummyfunction("""COMPUTED_VALUE"""),3312)</f>
        <v>3312</v>
      </c>
      <c r="O1048488" s="41" t="n">
        <f aca="false">IFERROR(__xludf.dummyfunction("""COMPUTED_VALUE"""),166544)</f>
        <v>166544</v>
      </c>
      <c r="P1048488" s="41"/>
      <c r="Q1048488" s="41" t="n">
        <f aca="false">IFERROR(__xludf.dummyfunction("""COMPUTED_VALUE"""),7902)</f>
        <v>7902</v>
      </c>
      <c r="R1048488" s="41"/>
      <c r="S1048488" s="41"/>
      <c r="T1048488" s="41" t="n">
        <f aca="false">IFERROR(__xludf.dummyfunction("""COMPUTED_VALUE"""),7903)</f>
        <v>7903</v>
      </c>
      <c r="U1048488" s="41" t="n">
        <f aca="false">IFERROR(__xludf.dummyfunction("""COMPUTED_VALUE"""),22889)</f>
        <v>22889</v>
      </c>
      <c r="V1048488" s="40" t="n">
        <f aca="false">IFERROR(__xludf.dummyfunction("""COMPUTED_VALUE"""),46154)</f>
        <v>46154</v>
      </c>
      <c r="W1048488" s="39" t="str">
        <f aca="false">IFERROR(__xludf.dummyfunction("""COMPUTED_VALUE"""),"Hoàn thành XB")</f>
        <v>Hoàn thành XB</v>
      </c>
      <c r="X1048488" s="41" t="str">
        <f aca="false">IFERROR(__xludf.dummyfunction("""COMPUTED_VALUE"""),"Chientd2")</f>
        <v>Chientd2</v>
      </c>
      <c r="Y1048488" s="44" t="str">
        <f aca="false">IFERROR(__xludf.dummyfunction("""COMPUTED_VALUE"""),"Khai giảng đồng thời lớp S")</f>
        <v>Khai giảng đồng thời lớp S</v>
      </c>
      <c r="Z1048488" s="57"/>
      <c r="AA1048488" s="57" t="str">
        <f aca="false">IFERROR(__xludf.dummyfunction("""COMPUTED_VALUE"""),"/hau_ky_s5_new/2026-2027_s5/Toan/Lop_12/Nen_tang_Toan/gv.tungnt/11/01
/hau_ky_s5_new/2026-2027_s5/Toan/Lop_12/Nen_tang_Toan/gv.tungnt/11/02
/hau_ky_s5_new/2026-2027_s5/Toan/Lop_12/Nen_tang_Toan/gv.tungnt/11/03
/hau_ky_s5_new/2026-2027_s5/Toan/Lop_12/Nen_t"&amp;"ang_Toan/gv.tungnt/11/04
/hau_ky_s5_new/2026-2027_s5/Toan/Lop_12/Nen_tang_Toan/gv.tungnt/11/05
/hau_ky_s5_new/2026-2027_s5/Toan/Lop_12/Nen_tang_Toan/gv.tungnt/11/06
/hau_ky_s5_new/2026-2027_s5/Toan/Lop_12/Nen_tang_Toan/gv.tungnt/11/07
/hau_ky_s5_new/2026-"&amp;"2027_s5/Toan/Lop_12/Nen_tang_Toan/gv.tungnt/11/08")</f>
        <v>/hau_ky_s5_new/2026-2027_s5/Toan/Lop_12/Nen_tang_Toan/gv.tungnt/11/01
/hau_ky_s5_new/2026-2027_s5/Toan/Lop_12/Nen_tang_Toan/gv.tungnt/11/02
/hau_ky_s5_new/2026-2027_s5/Toan/Lop_12/Nen_tang_Toan/gv.tungnt/11/03
/hau_ky_s5_new/2026-2027_s5/Toan/Lop_12/Nen_tang_Toan/gv.tungnt/11/04
/hau_ky_s5_new/2026-2027_s5/Toan/Lop_12/Nen_tang_Toan/gv.tungnt/11/05
/hau_ky_s5_new/2026-2027_s5/Toan/Lop_12/Nen_tang_Toan/gv.tungnt/11/06
/hau_ky_s5_new/2026-2027_s5/Toan/Lop_12/Nen_tang_Toan/gv.tungnt/11/07
/hau_ky_s5_new/2026-2027_s5/Toan/Lop_12/Nen_tang_Toan/gv.tungnt/11/08</v>
      </c>
      <c r="AB1048488" s="41" t="n">
        <f aca="false">IFERROR(__xludf.dummyfunction("""COMPUTED_VALUE"""),5)</f>
        <v>5</v>
      </c>
      <c r="AC1048488" s="57" t="str">
        <f aca="false">IFERROR(__xludf.dummyfunction("""COMPUTED_VALUE"""),"nentangtoan")</f>
        <v>nentangtoan</v>
      </c>
      <c r="AD1048488" s="46"/>
      <c r="AE1048488" s="46"/>
      <c r="AF1048488" s="47" t="str">
        <f aca="false">IFERROR(__xludf.dummyfunction("""COMPUTED_VALUE"""),"lophoctoan-946151")</f>
        <v>lophoctoan-946151</v>
      </c>
      <c r="AG1048488" s="46" t="str">
        <f aca="false">IFERROR(__xludf.dummyfunction("""COMPUTED_VALUE"""),"")</f>
        <v/>
      </c>
      <c r="AH1048488" s="53" t="b">
        <f aca="false">IFERROR(__xludf.dummyfunction("""COMPUTED_VALUE"""),TRUE())</f>
        <v>1</v>
      </c>
      <c r="AI1048488" s="35"/>
      <c r="AJ1048488" s="35"/>
      <c r="AK1048488" s="35"/>
      <c r="AL1048488" s="35"/>
      <c r="AM1048488" s="35"/>
      <c r="AN1048488" s="35"/>
      <c r="AO1048488" s="46"/>
    </row>
    <row r="1048489" customFormat="false" ht="15.75" hidden="false" customHeight="true" outlineLevel="0" collapsed="false">
      <c r="A1048489" s="37" t="str">
        <f aca="false">IFERROR(__xludf.dummyfunction("""COMPUTED_VALUE"""),"Toán")</f>
        <v>Toán</v>
      </c>
      <c r="B1048489" s="37" t="str">
        <f aca="false">IFERROR(__xludf.dummyfunction("""COMPUTED_VALUE"""),"NT_N_04")</f>
        <v>NT_N_04</v>
      </c>
      <c r="C1048489" s="38" t="str">
        <f aca="false">IFERROR(__xludf.dummyfunction("""COMPUTED_VALUE"""),"Góc trong không gian")</f>
        <v>Góc trong không gian</v>
      </c>
      <c r="D1048489" s="39" t="str">
        <f aca="false">IFERROR(__xludf.dummyfunction("""COMPUTED_VALUE"""),"Nguyễn Hoài Nam")</f>
        <v>Nguyễn Hoài Nam</v>
      </c>
      <c r="E1048489" s="40" t="n">
        <f aca="false">IFERROR(__xludf.dummyfunction("""COMPUTED_VALUE"""),46154)</f>
        <v>46154</v>
      </c>
      <c r="F1048489" s="41" t="n">
        <f aca="false">IFERROR(__xludf.dummyfunction("""COMPUTED_VALUE"""),3)</f>
        <v>3</v>
      </c>
      <c r="G1048489" s="37" t="str">
        <f aca="false">IFERROR(__xludf.dummyfunction("""COMPUTED_VALUE"""),"21:00-22:30")</f>
        <v>21:00-22:30</v>
      </c>
      <c r="H1048489" s="42" t="str">
        <f aca="false">IFERROR(__xludf.dummyfunction("""COMPUTED_VALUE"""),"https://hocmai.vn/mod/scorm/view_file.php?inpopup=true&amp;id=180111")</f>
        <v>https://hocmai.vn/mod/scorm/view_file.php?inpopup=true&amp;id=180111</v>
      </c>
      <c r="I1048489" s="42" t="str">
        <f aca="false">IFERROR(__xludf.dummyfunction("""COMPUTED_VALUE"""),"https://hocmai.vn/mod/scorm/view_file.php?inpopup=true&amp;id=180115")</f>
        <v>https://hocmai.vn/mod/scorm/view_file.php?inpopup=true&amp;id=180115</v>
      </c>
      <c r="J1048489" s="62"/>
      <c r="K1048489" s="37" t="str">
        <f aca="false">IFERROR(__xludf.dummyfunction("""COMPUTED_VALUE"""),"thinhnh")</f>
        <v>thinhnh</v>
      </c>
      <c r="L1048489" s="37" t="str">
        <f aca="false">IFERROR(__xludf.dummyfunction("""COMPUTED_VALUE"""),"Lê Quốc Việt")</f>
        <v>Lê Quốc Việt</v>
      </c>
      <c r="M1048489" s="43" t="str">
        <f aca="false">IFERROR(__xludf.dummyfunction("""COMPUTED_VALUE"""),"https://hocmai.sharepoint.com/Education_Development/Lists/San_xuat_video/DispForm.aspx?ID=12191")</f>
        <v>https://hocmai.sharepoint.com/Education_Development/Lists/San_xuat_video/DispForm.aspx?ID=12191</v>
      </c>
      <c r="N1048489" s="58" t="n">
        <f aca="false">IFERROR(__xludf.dummyfunction("""COMPUTED_VALUE"""),3313)</f>
        <v>3313</v>
      </c>
      <c r="O1048489" s="41" t="n">
        <f aca="false">IFERROR(__xludf.dummyfunction("""COMPUTED_VALUE"""),166629)</f>
        <v>166629</v>
      </c>
      <c r="P1048489" s="41"/>
      <c r="Q1048489" s="41" t="n">
        <f aca="false">IFERROR(__xludf.dummyfunction("""COMPUTED_VALUE"""),8003)</f>
        <v>8003</v>
      </c>
      <c r="R1048489" s="41"/>
      <c r="S1048489" s="41"/>
      <c r="T1048489" s="41" t="n">
        <f aca="false">IFERROR(__xludf.dummyfunction("""COMPUTED_VALUE"""),8004)</f>
        <v>8004</v>
      </c>
      <c r="U1048489" s="41" t="n">
        <f aca="false">IFERROR(__xludf.dummyfunction("""COMPUTED_VALUE"""),22929)</f>
        <v>22929</v>
      </c>
      <c r="V1048489" s="40" t="n">
        <f aca="false">IFERROR(__xludf.dummyfunction("""COMPUTED_VALUE"""),46154)</f>
        <v>46154</v>
      </c>
      <c r="W1048489" s="39" t="str">
        <f aca="false">IFERROR(__xludf.dummyfunction("""COMPUTED_VALUE"""),"Hoàn thành XB")</f>
        <v>Hoàn thành XB</v>
      </c>
      <c r="X1048489" s="41" t="str">
        <f aca="false">IFERROR(__xludf.dummyfunction("""COMPUTED_VALUE"""),"thinhnh")</f>
        <v>thinhnh</v>
      </c>
      <c r="Y1048489" s="44"/>
      <c r="Z1048489" s="57"/>
      <c r="AA1048489" s="57" t="str">
        <f aca="false">IFERROR(__xludf.dummyfunction("""COMPUTED_VALUE"""),"/hau_ky_s5_new/2026-2027_s5/Toan/Lop_12/Nen_tang_Toan/gv.namnh/4/01
/hau_ky_s5_new/2026-2027_s5/Toan/Lop_12/Nen_tang_Toan/gv.namnh/4/02
/hau_ky_s5_new/2026-2027_s5/Toan/Lop_12/Nen_tang_Toan/gv.namnh/4/03
/hau_ky_s5_new/2026-2027_s5/Toan/Lop_12/Nen_tang_To"&amp;"an/gv.namnh/4/04
/hau_ky_s5_new/2026-2027_s5/Toan/Lop_12/Nen_tang_Toan/gv.namnh/4/05
/hau_ky_s5_new/2026-2027_s5/Toan/Lop_12/Nen_tang_Toan/gv.namnh/4/06
/hau_ky_s5_new/2026-2027_s5/Toan/Lop_12/Nen_tang_Toan/gv.namnh/4/07")</f>
        <v>/hau_ky_s5_new/2026-2027_s5/Toan/Lop_12/Nen_tang_Toan/gv.namnh/4/01
/hau_ky_s5_new/2026-2027_s5/Toan/Lop_12/Nen_tang_Toan/gv.namnh/4/02
/hau_ky_s5_new/2026-2027_s5/Toan/Lop_12/Nen_tang_Toan/gv.namnh/4/03
/hau_ky_s5_new/2026-2027_s5/Toan/Lop_12/Nen_tang_Toan/gv.namnh/4/04
/hau_ky_s5_new/2026-2027_s5/Toan/Lop_12/Nen_tang_Toan/gv.namnh/4/05
/hau_ky_s5_new/2026-2027_s5/Toan/Lop_12/Nen_tang_Toan/gv.namnh/4/06
/hau_ky_s5_new/2026-2027_s5/Toan/Lop_12/Nen_tang_Toan/gv.namnh/4/07</v>
      </c>
      <c r="AB1048489" s="41" t="n">
        <f aca="false">IFERROR(__xludf.dummyfunction("""COMPUTED_VALUE"""),5)</f>
        <v>5</v>
      </c>
      <c r="AC1048489" s="57"/>
      <c r="AD1048489" s="46" t="str">
        <f aca="false">IFERROR(__xludf.dummyfunction("""COMPUTED_VALUE"""),"nentangtoan_thaynam")</f>
        <v>nentangtoan_thaynam</v>
      </c>
      <c r="AE1048489" s="46"/>
      <c r="AF1048489" s="47" t="str">
        <f aca="false">IFERROR(__xludf.dummyfunction("""COMPUTED_VALUE"""),"lophoctoan-946154")</f>
        <v>lophoctoan-946154</v>
      </c>
      <c r="AG1048489" s="46" t="str">
        <f aca="false">IFERROR(__xludf.dummyfunction("""COMPUTED_VALUE"""),"")</f>
        <v/>
      </c>
      <c r="AH1048489" s="53" t="b">
        <f aca="false">IFERROR(__xludf.dummyfunction("""COMPUTED_VALUE"""),TRUE())</f>
        <v>1</v>
      </c>
      <c r="AI1048489" s="35"/>
      <c r="AJ1048489" s="35"/>
      <c r="AK1048489" s="35"/>
      <c r="AL1048489" s="35"/>
      <c r="AM1048489" s="35"/>
      <c r="AN1048489" s="35"/>
      <c r="AO1048489" s="46"/>
    </row>
    <row r="1048490" customFormat="false" ht="15.75" hidden="false" customHeight="true" outlineLevel="0" collapsed="false">
      <c r="A1048490" s="37" t="str">
        <f aca="false">IFERROR(__xludf.dummyfunction("""COMPUTED_VALUE"""),"Toán")</f>
        <v>Toán</v>
      </c>
      <c r="B1048490" s="37" t="str">
        <f aca="false">IFERROR(__xludf.dummyfunction("""COMPUTED_VALUE"""),"NT_T_12")</f>
        <v>NT_T_12</v>
      </c>
      <c r="C1048490" s="38" t="str">
        <f aca="false">IFERROR(__xludf.dummyfunction("""COMPUTED_VALUE"""),"Tính đơn điệu của hàm số (P2)")</f>
        <v>Tính đơn điệu của hàm số (P2)</v>
      </c>
      <c r="D1048490" s="39" t="str">
        <f aca="false">IFERROR(__xludf.dummyfunction("""COMPUTED_VALUE"""),"Nguyễn Thanh Tùng")</f>
        <v>Nguyễn Thanh Tùng</v>
      </c>
      <c r="E1048490" s="40" t="n">
        <f aca="false">IFERROR(__xludf.dummyfunction("""COMPUTED_VALUE"""),46155)</f>
        <v>46155</v>
      </c>
      <c r="F1048490" s="41" t="n">
        <f aca="false">IFERROR(__xludf.dummyfunction("""COMPUTED_VALUE"""),4)</f>
        <v>4</v>
      </c>
      <c r="G1048490" s="37" t="str">
        <f aca="false">IFERROR(__xludf.dummyfunction("""COMPUTED_VALUE"""),"20:00-22:00")</f>
        <v>20:00-22:00</v>
      </c>
      <c r="H1048490" s="42" t="str">
        <f aca="false">IFERROR(__xludf.dummyfunction("""COMPUTED_VALUE"""),"https://hocmai.vn/mod/scorm/view_file.php?id=180098")</f>
        <v>https://hocmai.vn/mod/scorm/view_file.php?id=180098</v>
      </c>
      <c r="I1048490" s="42" t="str">
        <f aca="false">IFERROR(__xludf.dummyfunction("""COMPUTED_VALUE"""),"https://hocmai.vn/mod/scorm/view_file.php?id=180120")</f>
        <v>https://hocmai.vn/mod/scorm/view_file.php?id=180120</v>
      </c>
      <c r="J1048490" s="42" t="str">
        <f aca="false">IFERROR(__xludf.dummyfunction("""COMPUTED_VALUE"""),"https://drive.google.com/drive/folders/1G5v6zUww2xBeXLEAWV2j3PEkldm5KfcR?usp=drive_link")</f>
        <v>https://drive.google.com/drive/folders/1G5v6zUww2xBeXLEAWV2j3PEkldm5KfcR?usp=drive_link</v>
      </c>
      <c r="K1048490" s="37" t="str">
        <f aca="false">IFERROR(__xludf.dummyfunction("""COMPUTED_VALUE"""),"Chientd2")</f>
        <v>Chientd2</v>
      </c>
      <c r="L1048490" s="37" t="str">
        <f aca="false">IFERROR(__xludf.dummyfunction("""COMPUTED_VALUE"""),"Tưởng Thị Huyền Trang")</f>
        <v>Tưởng Thị Huyền Trang</v>
      </c>
      <c r="M1048490" s="43" t="str">
        <f aca="false">IFERROR(__xludf.dummyfunction("""COMPUTED_VALUE"""),"https://hocmai.sharepoint.com/Education_Development/Lists/San_xuat_video/DispForm.aspx?ID=12151")</f>
        <v>https://hocmai.sharepoint.com/Education_Development/Lists/San_xuat_video/DispForm.aspx?ID=12151</v>
      </c>
      <c r="N1048490" s="41" t="n">
        <f aca="false">IFERROR(__xludf.dummyfunction("""COMPUTED_VALUE"""),3312)</f>
        <v>3312</v>
      </c>
      <c r="O1048490" s="41" t="n">
        <f aca="false">IFERROR(__xludf.dummyfunction("""COMPUTED_VALUE"""),166545)</f>
        <v>166545</v>
      </c>
      <c r="P1048490" s="41"/>
      <c r="Q1048490" s="41" t="n">
        <f aca="false">IFERROR(__xludf.dummyfunction("""COMPUTED_VALUE"""),7904)</f>
        <v>7904</v>
      </c>
      <c r="R1048490" s="41"/>
      <c r="S1048490" s="41"/>
      <c r="T1048490" s="41" t="n">
        <f aca="false">IFERROR(__xludf.dummyfunction("""COMPUTED_VALUE"""),7905)</f>
        <v>7905</v>
      </c>
      <c r="U1048490" s="41" t="n">
        <f aca="false">IFERROR(__xludf.dummyfunction("""COMPUTED_VALUE"""),22933)</f>
        <v>22933</v>
      </c>
      <c r="V1048490" s="40" t="n">
        <f aca="false">IFERROR(__xludf.dummyfunction("""COMPUTED_VALUE"""),46158)</f>
        <v>46158</v>
      </c>
      <c r="W1048490" s="39" t="str">
        <f aca="false">IFERROR(__xludf.dummyfunction("""COMPUTED_VALUE"""),"Hoàn thành XB")</f>
        <v>Hoàn thành XB</v>
      </c>
      <c r="X1048490" s="41" t="str">
        <f aca="false">IFERROR(__xludf.dummyfunction("""COMPUTED_VALUE"""),"Chientd2")</f>
        <v>Chientd2</v>
      </c>
      <c r="Y1048490" s="44"/>
      <c r="Z1048490" s="57"/>
      <c r="AA1048490" s="57" t="str">
        <f aca="false">IFERROR(__xludf.dummyfunction("""COMPUTED_VALUE"""),"/hau_ky_s5_new/2026-2027_s5/Toan/Lop_12/Nen_tang_Toan/gv.tungnt/12/01
/hau_ky_s5_new/2026-2027_s5/Toan/Lop_12/Nen_tang_Toan/gv.tungnt/12/02
/hau_ky_s5_new/2026-2027_s5/Toan/Lop_12/Nen_tang_Toan/gv.tungnt/12/03
/hau_ky_s5_new/2026-2027_s5/Toan/Lop_12/Nen_t"&amp;"ang_Toan/gv.tungnt/12/04
/hau_ky_s5_new/2026-2027_s5/Toan/Lop_12/Nen_tang_Toan/gv.tungnt/12/05
/hau_ky_s5_new/2026-2027_s5/Toan/Lop_12/Nen_tang_Toan/gv.tungnt/12/06
/hau_ky_s5_new/2026-2027_s5/Toan/Lop_12/Nen_tang_Toan/gv.tungnt/12/07
/hau_ky_s5_new/2026-"&amp;"2027_s5/Toan/Lop_12/Nen_tang_Toan/gv.tungnt/12/08")</f>
        <v>/hau_ky_s5_new/2026-2027_s5/Toan/Lop_12/Nen_tang_Toan/gv.tungnt/12/01
/hau_ky_s5_new/2026-2027_s5/Toan/Lop_12/Nen_tang_Toan/gv.tungnt/12/02
/hau_ky_s5_new/2026-2027_s5/Toan/Lop_12/Nen_tang_Toan/gv.tungnt/12/03
/hau_ky_s5_new/2026-2027_s5/Toan/Lop_12/Nen_tang_Toan/gv.tungnt/12/04
/hau_ky_s5_new/2026-2027_s5/Toan/Lop_12/Nen_tang_Toan/gv.tungnt/12/05
/hau_ky_s5_new/2026-2027_s5/Toan/Lop_12/Nen_tang_Toan/gv.tungnt/12/06
/hau_ky_s5_new/2026-2027_s5/Toan/Lop_12/Nen_tang_Toan/gv.tungnt/12/07
/hau_ky_s5_new/2026-2027_s5/Toan/Lop_12/Nen_tang_Toan/gv.tungnt/12/08</v>
      </c>
      <c r="AB1048490" s="41" t="n">
        <f aca="false">IFERROR(__xludf.dummyfunction("""COMPUTED_VALUE"""),5)</f>
        <v>5</v>
      </c>
      <c r="AC1048490" s="57" t="str">
        <f aca="false">IFERROR(__xludf.dummyfunction("""COMPUTED_VALUE"""),"nentangtoan")</f>
        <v>nentangtoan</v>
      </c>
      <c r="AD1048490" s="46"/>
      <c r="AE1048490" s="46"/>
      <c r="AF1048490" s="47" t="str">
        <f aca="false">IFERROR(__xludf.dummyfunction("""COMPUTED_VALUE"""),"lophoctoan-946155")</f>
        <v>lophoctoan-946155</v>
      </c>
      <c r="AG1048490" s="46" t="str">
        <f aca="false">IFERROR(__xludf.dummyfunction("""COMPUTED_VALUE"""),"")</f>
        <v/>
      </c>
      <c r="AH1048490" s="53" t="b">
        <f aca="false">IFERROR(__xludf.dummyfunction("""COMPUTED_VALUE"""),TRUE())</f>
        <v>1</v>
      </c>
      <c r="AI1048490" s="35"/>
      <c r="AJ1048490" s="35"/>
      <c r="AK1048490" s="35"/>
      <c r="AL1048490" s="35"/>
      <c r="AM1048490" s="35"/>
      <c r="AN1048490" s="35"/>
      <c r="AO1048490" s="46"/>
    </row>
    <row r="1048491" customFormat="false" ht="15.75" hidden="false" customHeight="true" outlineLevel="0" collapsed="false">
      <c r="A1048491" s="37" t="str">
        <f aca="false">IFERROR(__xludf.dummyfunction("""COMPUTED_VALUE"""),"Toán")</f>
        <v>Toán</v>
      </c>
      <c r="B1048491" s="37" t="str">
        <f aca="false">IFERROR(__xludf.dummyfunction("""COMPUTED_VALUE"""),"NT_T_13")</f>
        <v>NT_T_13</v>
      </c>
      <c r="C1048491" s="38" t="str">
        <f aca="false">IFERROR(__xludf.dummyfunction("""COMPUTED_VALUE"""),"Cực trị của hàm số (P1)")</f>
        <v>Cực trị của hàm số (P1)</v>
      </c>
      <c r="D1048491" s="39" t="str">
        <f aca="false">IFERROR(__xludf.dummyfunction("""COMPUTED_VALUE"""),"Nguyễn Thanh Tùng")</f>
        <v>Nguyễn Thanh Tùng</v>
      </c>
      <c r="E1048491" s="40" t="n">
        <f aca="false">IFERROR(__xludf.dummyfunction("""COMPUTED_VALUE"""),46158)</f>
        <v>46158</v>
      </c>
      <c r="F1048491" s="41" t="n">
        <f aca="false">IFERROR(__xludf.dummyfunction("""COMPUTED_VALUE"""),7)</f>
        <v>7</v>
      </c>
      <c r="G1048491" s="37" t="str">
        <f aca="false">IFERROR(__xludf.dummyfunction("""COMPUTED_VALUE"""),"20:00-22:00")</f>
        <v>20:00-22:00</v>
      </c>
      <c r="H1048491" s="42" t="str">
        <f aca="false">IFERROR(__xludf.dummyfunction("""COMPUTED_VALUE"""),"https://hocmai.vn/mod/scorm/view_file.php?id=180122")</f>
        <v>https://hocmai.vn/mod/scorm/view_file.php?id=180122</v>
      </c>
      <c r="I1048491" s="42" t="str">
        <f aca="false">IFERROR(__xludf.dummyfunction("""COMPUTED_VALUE"""),"https://hocmai.vn/mod/scorm/view_file.php?id=180132")</f>
        <v>https://hocmai.vn/mod/scorm/view_file.php?id=180132</v>
      </c>
      <c r="J1048491" s="42" t="str">
        <f aca="false">IFERROR(__xludf.dummyfunction("""COMPUTED_VALUE"""),"https://drive.google.com/drive/folders/1V9w_qNbfN-N6v0fQ5ZWj5bS9UxNAmfTD?usp=drive_link")</f>
        <v>https://drive.google.com/drive/folders/1V9w_qNbfN-N6v0fQ5ZWj5bS9UxNAmfTD?usp=drive_link</v>
      </c>
      <c r="K1048491" s="37" t="str">
        <f aca="false">IFERROR(__xludf.dummyfunction("""COMPUTED_VALUE"""),"Chientd2")</f>
        <v>Chientd2</v>
      </c>
      <c r="L1048491" s="37" t="str">
        <f aca="false">IFERROR(__xludf.dummyfunction("""COMPUTED_VALUE"""),"Tưởng Thị Huyền Trang")</f>
        <v>Tưởng Thị Huyền Trang</v>
      </c>
      <c r="M1048491" s="43" t="str">
        <f aca="false">IFERROR(__xludf.dummyfunction("""COMPUTED_VALUE"""),"https://hocmai.sharepoint.com/Education_Development/Lists/San_xuat_video/DispForm.aspx?ID=12152")</f>
        <v>https://hocmai.sharepoint.com/Education_Development/Lists/San_xuat_video/DispForm.aspx?ID=12152</v>
      </c>
      <c r="N1048491" s="41" t="n">
        <f aca="false">IFERROR(__xludf.dummyfunction("""COMPUTED_VALUE"""),3312)</f>
        <v>3312</v>
      </c>
      <c r="O1048491" s="41" t="n">
        <f aca="false">IFERROR(__xludf.dummyfunction("""COMPUTED_VALUE"""),166546)</f>
        <v>166546</v>
      </c>
      <c r="P1048491" s="41"/>
      <c r="Q1048491" s="41" t="n">
        <f aca="false">IFERROR(__xludf.dummyfunction("""COMPUTED_VALUE"""),7906)</f>
        <v>7906</v>
      </c>
      <c r="R1048491" s="41"/>
      <c r="S1048491" s="41"/>
      <c r="T1048491" s="41" t="n">
        <f aca="false">IFERROR(__xludf.dummyfunction("""COMPUTED_VALUE"""),7907)</f>
        <v>7907</v>
      </c>
      <c r="U1048491" s="41" t="n">
        <f aca="false">IFERROR(__xludf.dummyfunction("""COMPUTED_VALUE"""),22984)</f>
        <v>22984</v>
      </c>
      <c r="V1048491" s="40" t="n">
        <f aca="false">IFERROR(__xludf.dummyfunction("""COMPUTED_VALUE"""),46161)</f>
        <v>46161</v>
      </c>
      <c r="W1048491" s="39" t="str">
        <f aca="false">IFERROR(__xludf.dummyfunction("""COMPUTED_VALUE"""),"Hoàn thành XB")</f>
        <v>Hoàn thành XB</v>
      </c>
      <c r="X1048491" s="41" t="str">
        <f aca="false">IFERROR(__xludf.dummyfunction("""COMPUTED_VALUE"""),"Chientd2")</f>
        <v>Chientd2</v>
      </c>
      <c r="Y1048491" s="44"/>
      <c r="Z1048491" s="57"/>
      <c r="AA1048491" s="57" t="str">
        <f aca="false">IFERROR(__xludf.dummyfunction("""COMPUTED_VALUE"""),"/hau_ky_s5_new/2026-2027_s5/Toan/Lop_12/Nen_tang_Toan/gv.tungnt/13/01
/hau_ky_s5_new/2026-2027_s5/Toan/Lop_12/Nen_tang_Toan/gv.tungnt/13/02
/hau_ky_s5_new/2026-2027_s5/Toan/Lop_12/Nen_tang_Toan/gv.tungnt/13/03
/hau_ky_s5_new/2026-2027_s5/Toan/Lop_12/Nen_t"&amp;"ang_Toan/gv.tungnt/13/04
/hau_ky_s5_new/2026-2027_s5/Toan/Lop_12/Nen_tang_Toan/gv.tungnt/13/05
/hau_ky_s5_new/2026-2027_s5/Toan/Lop_12/Nen_tang_Toan/gv.tungnt/13/06
/hau_ky_s5_new/2026-2027_s5/Toan/Lop_12/Nen_tang_Toan/gv.tungnt/13/07
/hau_ky_s5_new/2026-"&amp;"2027_s5/Toan/Lop_12/Nen_tang_Toan/gv.tungnt/13/08
/hau_ky_s5_new/2026-2027_s5/Toan/Lop_12/Nen_tang_Toan/gv.tungnt/13/09")</f>
        <v>/hau_ky_s5_new/2026-2027_s5/Toan/Lop_12/Nen_tang_Toan/gv.tungnt/13/01
/hau_ky_s5_new/2026-2027_s5/Toan/Lop_12/Nen_tang_Toan/gv.tungnt/13/02
/hau_ky_s5_new/2026-2027_s5/Toan/Lop_12/Nen_tang_Toan/gv.tungnt/13/03
/hau_ky_s5_new/2026-2027_s5/Toan/Lop_12/Nen_tang_Toan/gv.tungnt/13/04
/hau_ky_s5_new/2026-2027_s5/Toan/Lop_12/Nen_tang_Toan/gv.tungnt/13/05
/hau_ky_s5_new/2026-2027_s5/Toan/Lop_12/Nen_tang_Toan/gv.tungnt/13/06
/hau_ky_s5_new/2026-2027_s5/Toan/Lop_12/Nen_tang_Toan/gv.tungnt/13/07
/hau_ky_s5_new/2026-2027_s5/Toan/Lop_12/Nen_tang_Toan/gv.tungnt/13/08
/hau_ky_s5_new/2026-2027_s5/Toan/Lop_12/Nen_tang_Toan/gv.tungnt/13/09</v>
      </c>
      <c r="AB1048491" s="41" t="n">
        <f aca="false">IFERROR(__xludf.dummyfunction("""COMPUTED_VALUE"""),5)</f>
        <v>5</v>
      </c>
      <c r="AC1048491" s="57" t="str">
        <f aca="false">IFERROR(__xludf.dummyfunction("""COMPUTED_VALUE"""),"nentangtoan")</f>
        <v>nentangtoan</v>
      </c>
      <c r="AD1048491" s="46"/>
      <c r="AE1048491" s="46"/>
      <c r="AF1048491" s="47" t="str">
        <f aca="false">IFERROR(__xludf.dummyfunction("""COMPUTED_VALUE"""),"lophoctoan-946158")</f>
        <v>lophoctoan-946158</v>
      </c>
      <c r="AG1048491" s="46" t="str">
        <f aca="false">IFERROR(__xludf.dummyfunction("""COMPUTED_VALUE"""),"")</f>
        <v/>
      </c>
      <c r="AH1048491" s="53" t="b">
        <f aca="false">IFERROR(__xludf.dummyfunction("""COMPUTED_VALUE"""),TRUE())</f>
        <v>1</v>
      </c>
      <c r="AI1048491" s="35"/>
      <c r="AJ1048491" s="35"/>
      <c r="AK1048491" s="35"/>
      <c r="AL1048491" s="35"/>
      <c r="AM1048491" s="35"/>
      <c r="AN1048491" s="35"/>
      <c r="AO1048491" s="46"/>
    </row>
    <row r="1048492" customFormat="false" ht="15.75" hidden="false" customHeight="true" outlineLevel="0" collapsed="false">
      <c r="A1048492" s="37" t="str">
        <f aca="false">IFERROR(__xludf.dummyfunction("""COMPUTED_VALUE"""),"Toán")</f>
        <v>Toán</v>
      </c>
      <c r="B1048492" s="37" t="str">
        <f aca="false">IFERROR(__xludf.dummyfunction("""COMPUTED_VALUE"""),"NT_N_05")</f>
        <v>NT_N_05</v>
      </c>
      <c r="C1048492" s="38" t="str">
        <f aca="false">IFERROR(__xludf.dummyfunction("""COMPUTED_VALUE"""),"Tính đơn điệu của hàm số (P1)")</f>
        <v>Tính đơn điệu của hàm số (P1)</v>
      </c>
      <c r="D1048492" s="39" t="str">
        <f aca="false">IFERROR(__xludf.dummyfunction("""COMPUTED_VALUE"""),"Nguyễn Hoài Nam")</f>
        <v>Nguyễn Hoài Nam</v>
      </c>
      <c r="E1048492" s="40" t="n">
        <f aca="false">IFERROR(__xludf.dummyfunction("""COMPUTED_VALUE"""),46161)</f>
        <v>46161</v>
      </c>
      <c r="F1048492" s="41" t="n">
        <f aca="false">IFERROR(__xludf.dummyfunction("""COMPUTED_VALUE"""),3)</f>
        <v>3</v>
      </c>
      <c r="G1048492" s="37" t="str">
        <f aca="false">IFERROR(__xludf.dummyfunction("""COMPUTED_VALUE"""),"21:00-22:30")</f>
        <v>21:00-22:30</v>
      </c>
      <c r="H1048492" s="42" t="str">
        <f aca="false">IFERROR(__xludf.dummyfunction("""COMPUTED_VALUE"""),"https://hocmai.vn/mod/scorm/view_file.php?inpopup=true&amp;id=180143")</f>
        <v>https://hocmai.vn/mod/scorm/view_file.php?inpopup=true&amp;id=180143</v>
      </c>
      <c r="I1048492" s="42" t="str">
        <f aca="false">IFERROR(__xludf.dummyfunction("""COMPUTED_VALUE"""),"https://hocmai.vn/mod/scorm/view_file.php?inpopup=true&amp;id=180134")</f>
        <v>https://hocmai.vn/mod/scorm/view_file.php?inpopup=true&amp;id=180134</v>
      </c>
      <c r="J1048492" s="37"/>
      <c r="K1048492" s="37" t="str">
        <f aca="false">IFERROR(__xludf.dummyfunction("""COMPUTED_VALUE"""),"thinhnh")</f>
        <v>thinhnh</v>
      </c>
      <c r="L1048492" s="37" t="str">
        <f aca="false">IFERROR(__xludf.dummyfunction("""COMPUTED_VALUE"""),"Lê Quốc Việt")</f>
        <v>Lê Quốc Việt</v>
      </c>
      <c r="M1048492" s="43" t="str">
        <f aca="false">IFERROR(__xludf.dummyfunction("""COMPUTED_VALUE"""),"https://hocmai.sharepoint.com/Education_Development/Lists/San_xuat_video/DispForm.aspx?ID=12192")</f>
        <v>https://hocmai.sharepoint.com/Education_Development/Lists/San_xuat_video/DispForm.aspx?ID=12192</v>
      </c>
      <c r="N1048492" s="58" t="n">
        <f aca="false">IFERROR(__xludf.dummyfunction("""COMPUTED_VALUE"""),3313)</f>
        <v>3313</v>
      </c>
      <c r="O1048492" s="41" t="n">
        <f aca="false">IFERROR(__xludf.dummyfunction("""COMPUTED_VALUE"""),166630)</f>
        <v>166630</v>
      </c>
      <c r="P1048492" s="41"/>
      <c r="Q1048492" s="41" t="n">
        <f aca="false">IFERROR(__xludf.dummyfunction("""COMPUTED_VALUE"""),8006)</f>
        <v>8006</v>
      </c>
      <c r="R1048492" s="41"/>
      <c r="S1048492" s="41"/>
      <c r="T1048492" s="41" t="n">
        <f aca="false">IFERROR(__xludf.dummyfunction("""COMPUTED_VALUE"""),8007)</f>
        <v>8007</v>
      </c>
      <c r="U1048492" s="41" t="n">
        <f aca="false">IFERROR(__xludf.dummyfunction("""COMPUTED_VALUE"""),23029)</f>
        <v>23029</v>
      </c>
      <c r="V1048492" s="40" t="n">
        <f aca="false">IFERROR(__xludf.dummyfunction("""COMPUTED_VALUE"""),46161)</f>
        <v>46161</v>
      </c>
      <c r="W1048492" s="39" t="str">
        <f aca="false">IFERROR(__xludf.dummyfunction("""COMPUTED_VALUE"""),"Hoàn thành XB")</f>
        <v>Hoàn thành XB</v>
      </c>
      <c r="X1048492" s="41" t="str">
        <f aca="false">IFERROR(__xludf.dummyfunction("""COMPUTED_VALUE"""),"thinhnh")</f>
        <v>thinhnh</v>
      </c>
      <c r="Y1048492" s="44"/>
      <c r="Z1048492" s="57"/>
      <c r="AA1048492" s="57"/>
      <c r="AB1048492" s="41" t="n">
        <f aca="false">IFERROR(__xludf.dummyfunction("""COMPUTED_VALUE"""),5)</f>
        <v>5</v>
      </c>
      <c r="AC1048492" s="57"/>
      <c r="AD1048492" s="46" t="str">
        <f aca="false">IFERROR(__xludf.dummyfunction("""COMPUTED_VALUE"""),"nentangtoan_thaynam")</f>
        <v>nentangtoan_thaynam</v>
      </c>
      <c r="AE1048492" s="46"/>
      <c r="AF1048492" s="47" t="str">
        <f aca="false">IFERROR(__xludf.dummyfunction("""COMPUTED_VALUE"""),"lophoctoan-946161")</f>
        <v>lophoctoan-946161</v>
      </c>
      <c r="AG1048492" s="46" t="str">
        <f aca="false">IFERROR(__xludf.dummyfunction("""COMPUTED_VALUE"""),"")</f>
        <v/>
      </c>
      <c r="AH1048492" s="53" t="b">
        <f aca="false">IFERROR(__xludf.dummyfunction("""COMPUTED_VALUE"""),TRUE())</f>
        <v>1</v>
      </c>
      <c r="AI1048492" s="35"/>
      <c r="AJ1048492" s="35"/>
      <c r="AK1048492" s="35"/>
      <c r="AL1048492" s="35"/>
      <c r="AM1048492" s="35"/>
      <c r="AN1048492" s="35"/>
      <c r="AO1048492" s="46"/>
    </row>
    <row r="1048493" customFormat="false" ht="15.75" hidden="false" customHeight="true" outlineLevel="0" collapsed="false">
      <c r="A1048493" s="37" t="str">
        <f aca="false">IFERROR(__xludf.dummyfunction("""COMPUTED_VALUE"""),"Toán")</f>
        <v>Toán</v>
      </c>
      <c r="B1048493" s="37" t="str">
        <f aca="false">IFERROR(__xludf.dummyfunction("""COMPUTED_VALUE"""),"NT_T_14")</f>
        <v>NT_T_14</v>
      </c>
      <c r="C1048493" s="59" t="str">
        <f aca="false">IFERROR(__xludf.dummyfunction("""COMPUTED_VALUE"""),"Cực trị của hàm số (P2)")</f>
        <v>Cực trị của hàm số (P2)</v>
      </c>
      <c r="D1048493" s="39" t="str">
        <f aca="false">IFERROR(__xludf.dummyfunction("""COMPUTED_VALUE"""),"Nguyễn Thanh Tùng")</f>
        <v>Nguyễn Thanh Tùng</v>
      </c>
      <c r="E1048493" s="40" t="n">
        <f aca="false">IFERROR(__xludf.dummyfunction("""COMPUTED_VALUE"""),46162)</f>
        <v>46162</v>
      </c>
      <c r="F1048493" s="41" t="n">
        <f aca="false">IFERROR(__xludf.dummyfunction("""COMPUTED_VALUE"""),4)</f>
        <v>4</v>
      </c>
      <c r="G1048493" s="37" t="str">
        <f aca="false">IFERROR(__xludf.dummyfunction("""COMPUTED_VALUE"""),"20:00-22:00")</f>
        <v>20:00-22:00</v>
      </c>
      <c r="H1048493" s="42" t="str">
        <f aca="false">IFERROR(__xludf.dummyfunction("""COMPUTED_VALUE"""),"https://hocmai.vn/mod/scorm/view_file.php?id=180138")</f>
        <v>https://hocmai.vn/mod/scorm/view_file.php?id=180138</v>
      </c>
      <c r="I1048493" s="42" t="str">
        <f aca="false">IFERROR(__xludf.dummyfunction("""COMPUTED_VALUE"""),"https://hocmai.vn/mod/scorm/view_file.php?id=180166")</f>
        <v>https://hocmai.vn/mod/scorm/view_file.php?id=180166</v>
      </c>
      <c r="J1048493" s="55" t="str">
        <f aca="false">IFERROR(__xludf.dummyfunction("""COMPUTED_VALUE"""),"https://drive.google.com/drive/folders/1Ycl6619I1qcaUCAjfB4uIc4j-T--DDvS?usp=drive_link")</f>
        <v>https://drive.google.com/drive/folders/1Ycl6619I1qcaUCAjfB4uIc4j-T--DDvS?usp=drive_link</v>
      </c>
      <c r="K1048493" s="37" t="str">
        <f aca="false">IFERROR(__xludf.dummyfunction("""COMPUTED_VALUE"""),"Chientd2")</f>
        <v>Chientd2</v>
      </c>
      <c r="L1048493" s="37" t="str">
        <f aca="false">IFERROR(__xludf.dummyfunction("""COMPUTED_VALUE"""),"Tưởng Thị Huyền Trang")</f>
        <v>Tưởng Thị Huyền Trang</v>
      </c>
      <c r="M1048493" s="43" t="str">
        <f aca="false">IFERROR(__xludf.dummyfunction("""COMPUTED_VALUE"""),"https://hocmai.sharepoint.com/Education_Development/Lists/San_xuat_video/DispForm.aspx?ID=12153")</f>
        <v>https://hocmai.sharepoint.com/Education_Development/Lists/San_xuat_video/DispForm.aspx?ID=12153</v>
      </c>
      <c r="N1048493" s="41" t="n">
        <f aca="false">IFERROR(__xludf.dummyfunction("""COMPUTED_VALUE"""),3312)</f>
        <v>3312</v>
      </c>
      <c r="O1048493" s="41" t="n">
        <f aca="false">IFERROR(__xludf.dummyfunction("""COMPUTED_VALUE"""),166547)</f>
        <v>166547</v>
      </c>
      <c r="P1048493" s="41"/>
      <c r="Q1048493" s="41" t="n">
        <f aca="false">IFERROR(__xludf.dummyfunction("""COMPUTED_VALUE"""),7908)</f>
        <v>7908</v>
      </c>
      <c r="R1048493" s="41"/>
      <c r="S1048493" s="41"/>
      <c r="T1048493" s="41" t="n">
        <f aca="false">IFERROR(__xludf.dummyfunction("""COMPUTED_VALUE"""),7909)</f>
        <v>7909</v>
      </c>
      <c r="U1048493" s="41" t="n">
        <f aca="false">IFERROR(__xludf.dummyfunction("""COMPUTED_VALUE"""),23039)</f>
        <v>23039</v>
      </c>
      <c r="V1048493" s="40" t="n">
        <f aca="false">IFERROR(__xludf.dummyfunction("""COMPUTED_VALUE"""),46165)</f>
        <v>46165</v>
      </c>
      <c r="W1048493" s="39" t="str">
        <f aca="false">IFERROR(__xludf.dummyfunction("""COMPUTED_VALUE"""),"Hoàn thành XB")</f>
        <v>Hoàn thành XB</v>
      </c>
      <c r="X1048493" s="41" t="str">
        <f aca="false">IFERROR(__xludf.dummyfunction("""COMPUTED_VALUE"""),"Huent7")</f>
        <v>Huent7</v>
      </c>
      <c r="Y1048493" s="44"/>
      <c r="Z1048493" s="57"/>
      <c r="AA1048493" s="57"/>
      <c r="AB1048493" s="41" t="n">
        <f aca="false">IFERROR(__xludf.dummyfunction("""COMPUTED_VALUE"""),5)</f>
        <v>5</v>
      </c>
      <c r="AC1048493" s="57" t="str">
        <f aca="false">IFERROR(__xludf.dummyfunction("""COMPUTED_VALUE"""),"nentangtoan")</f>
        <v>nentangtoan</v>
      </c>
      <c r="AD1048493" s="46" t="str">
        <f aca="false">IFERROR(__xludf.dummyfunction("""COMPUTED_VALUE"""),"Outline BG chưa khớp với nội dung GV giảng =&gt; Đã báo BTV")</f>
        <v>Outline BG chưa khớp với nội dung GV giảng =&gt; Đã báo BTV</v>
      </c>
      <c r="AE1048493" s="46"/>
      <c r="AF1048493" s="47" t="str">
        <f aca="false">IFERROR(__xludf.dummyfunction("""COMPUTED_VALUE"""),"lophoctoan-946162")</f>
        <v>lophoctoan-946162</v>
      </c>
      <c r="AG1048493" s="46" t="str">
        <f aca="false">IFERROR(__xludf.dummyfunction("""COMPUTED_VALUE"""),"")</f>
        <v/>
      </c>
      <c r="AH1048493" s="53" t="b">
        <f aca="false">IFERROR(__xludf.dummyfunction("""COMPUTED_VALUE"""),TRUE())</f>
        <v>1</v>
      </c>
      <c r="AI1048493" s="35"/>
      <c r="AJ1048493" s="35"/>
      <c r="AK1048493" s="35"/>
      <c r="AL1048493" s="35"/>
      <c r="AM1048493" s="35"/>
      <c r="AN1048493" s="35"/>
      <c r="AO1048493" s="46"/>
    </row>
    <row r="1048494" customFormat="false" ht="15.75" hidden="false" customHeight="true" outlineLevel="0" collapsed="false">
      <c r="A1048494" s="37" t="str">
        <f aca="false">IFERROR(__xludf.dummyfunction("""COMPUTED_VALUE"""),"Toán")</f>
        <v>Toán</v>
      </c>
      <c r="B1048494" s="37" t="str">
        <f aca="false">IFERROR(__xludf.dummyfunction("""COMPUTED_VALUE"""),"NT_T_15")</f>
        <v>NT_T_15</v>
      </c>
      <c r="C1048494" s="38" t="str">
        <f aca="false">IFERROR(__xludf.dummyfunction("""COMPUTED_VALUE"""),"Min – max của hàm số (P1)")</f>
        <v>Min – max của hàm số (P1)</v>
      </c>
      <c r="D1048494" s="39" t="str">
        <f aca="false">IFERROR(__xludf.dummyfunction("""COMPUTED_VALUE"""),"Nguyễn Thanh Tùng")</f>
        <v>Nguyễn Thanh Tùng</v>
      </c>
      <c r="E1048494" s="40" t="n">
        <f aca="false">IFERROR(__xludf.dummyfunction("""COMPUTED_VALUE"""),46165)</f>
        <v>46165</v>
      </c>
      <c r="F1048494" s="41" t="n">
        <f aca="false">IFERROR(__xludf.dummyfunction("""COMPUTED_VALUE"""),7)</f>
        <v>7</v>
      </c>
      <c r="G1048494" s="37" t="str">
        <f aca="false">IFERROR(__xludf.dummyfunction("""COMPUTED_VALUE"""),"20:00-22:00")</f>
        <v>20:00-22:00</v>
      </c>
      <c r="H1048494" s="42" t="str">
        <f aca="false">IFERROR(__xludf.dummyfunction("""COMPUTED_VALUE"""),"https://hocmai.vn/mod/scorm/view_file.php?id=180168")</f>
        <v>https://hocmai.vn/mod/scorm/view_file.php?id=180168</v>
      </c>
      <c r="I1048494" s="42" t="str">
        <f aca="false">IFERROR(__xludf.dummyfunction("""COMPUTED_VALUE"""),"https://hocmai.vn/mod/scorm/view_file.php?id=180176")</f>
        <v>https://hocmai.vn/mod/scorm/view_file.php?id=180176</v>
      </c>
      <c r="J1048494" s="42" t="str">
        <f aca="false">IFERROR(__xludf.dummyfunction("""COMPUTED_VALUE"""),"https://drive.google.com/drive/folders/1uoNC8cTvCsk7_S3JvgJznQIbEBC-Iyb8?usp=drive_link")</f>
        <v>https://drive.google.com/drive/folders/1uoNC8cTvCsk7_S3JvgJznQIbEBC-Iyb8?usp=drive_link</v>
      </c>
      <c r="K1048494" s="37" t="str">
        <f aca="false">IFERROR(__xludf.dummyfunction("""COMPUTED_VALUE"""),"Chientd2")</f>
        <v>Chientd2</v>
      </c>
      <c r="L1048494" s="37" t="str">
        <f aca="false">IFERROR(__xludf.dummyfunction("""COMPUTED_VALUE"""),"Tưởng Thị Huyền Trang")</f>
        <v>Tưởng Thị Huyền Trang</v>
      </c>
      <c r="M1048494" s="43" t="str">
        <f aca="false">IFERROR(__xludf.dummyfunction("""COMPUTED_VALUE"""),"https://hocmai.sharepoint.com/Education_Development/Lists/San_xuat_video/DispForm.aspx?ID=12154")</f>
        <v>https://hocmai.sharepoint.com/Education_Development/Lists/San_xuat_video/DispForm.aspx?ID=12154</v>
      </c>
      <c r="N1048494" s="41" t="n">
        <f aca="false">IFERROR(__xludf.dummyfunction("""COMPUTED_VALUE"""),3312)</f>
        <v>3312</v>
      </c>
      <c r="O1048494" s="41" t="n">
        <f aca="false">IFERROR(__xludf.dummyfunction("""COMPUTED_VALUE"""),166548)</f>
        <v>166548</v>
      </c>
      <c r="P1048494" s="41"/>
      <c r="Q1048494" s="41" t="n">
        <f aca="false">IFERROR(__xludf.dummyfunction("""COMPUTED_VALUE"""),7910)</f>
        <v>7910</v>
      </c>
      <c r="R1048494" s="63"/>
      <c r="S1048494" s="63"/>
      <c r="T1048494" s="41" t="n">
        <f aca="false">IFERROR(__xludf.dummyfunction("""COMPUTED_VALUE"""),7911)</f>
        <v>7911</v>
      </c>
      <c r="U1048494" s="41" t="n">
        <f aca="false">IFERROR(__xludf.dummyfunction("""COMPUTED_VALUE"""),23061)</f>
        <v>23061</v>
      </c>
      <c r="V1048494" s="40" t="n">
        <f aca="false">IFERROR(__xludf.dummyfunction("""COMPUTED_VALUE"""),46168)</f>
        <v>46168</v>
      </c>
      <c r="W1048494" s="39" t="str">
        <f aca="false">IFERROR(__xludf.dummyfunction("""COMPUTED_VALUE"""),"Hoàn thành XB")</f>
        <v>Hoàn thành XB</v>
      </c>
      <c r="X1048494" s="41" t="str">
        <f aca="false">IFERROR(__xludf.dummyfunction("""COMPUTED_VALUE"""),"Huent7")</f>
        <v>Huent7</v>
      </c>
      <c r="Y1048494" s="44"/>
      <c r="Z1048494" s="57"/>
      <c r="AA1048494" s="57"/>
      <c r="AB1048494" s="41" t="n">
        <f aca="false">IFERROR(__xludf.dummyfunction("""COMPUTED_VALUE"""),5)</f>
        <v>5</v>
      </c>
      <c r="AC1048494" s="57" t="str">
        <f aca="false">IFERROR(__xludf.dummyfunction("""COMPUTED_VALUE"""),"nentangtoan")</f>
        <v>nentangtoan</v>
      </c>
      <c r="AD1048494" s="46"/>
      <c r="AE1048494" s="46"/>
      <c r="AF1048494" s="47" t="str">
        <f aca="false">IFERROR(__xludf.dummyfunction("""COMPUTED_VALUE"""),"lophoctoan-946165")</f>
        <v>lophoctoan-946165</v>
      </c>
      <c r="AG1048494" s="46" t="str">
        <f aca="false">IFERROR(__xludf.dummyfunction("""COMPUTED_VALUE"""),"")</f>
        <v/>
      </c>
      <c r="AH1048494" s="53" t="b">
        <f aca="false">IFERROR(__xludf.dummyfunction("""COMPUTED_VALUE"""),TRUE())</f>
        <v>1</v>
      </c>
      <c r="AI1048494" s="35"/>
      <c r="AJ1048494" s="35"/>
      <c r="AK1048494" s="35"/>
      <c r="AL1048494" s="35"/>
      <c r="AM1048494" s="35"/>
      <c r="AN1048494" s="35"/>
      <c r="AO1048494" s="46"/>
    </row>
    <row r="1048495" customFormat="false" ht="15.75" hidden="false" customHeight="true" outlineLevel="0" collapsed="false">
      <c r="A1048495" s="37" t="str">
        <f aca="false">IFERROR(__xludf.dummyfunction("""COMPUTED_VALUE"""),"Toán")</f>
        <v>Toán</v>
      </c>
      <c r="B1048495" s="37" t="str">
        <f aca="false">IFERROR(__xludf.dummyfunction("""COMPUTED_VALUE"""),"NT_T_15")</f>
        <v>NT_T_15</v>
      </c>
      <c r="C1048495" s="38" t="str">
        <f aca="false">IFERROR(__xludf.dummyfunction("""COMPUTED_VALUE"""),"Min – max của hàm số (P2)")</f>
        <v>Min – max của hàm số (P2)</v>
      </c>
      <c r="D1048495" s="39" t="str">
        <f aca="false">IFERROR(__xludf.dummyfunction("""COMPUTED_VALUE"""),"Nguyễn Thanh Tùng")</f>
        <v>Nguyễn Thanh Tùng</v>
      </c>
      <c r="E1048495" s="40" t="n">
        <f aca="false">IFERROR(__xludf.dummyfunction("""COMPUTED_VALUE"""),46166)</f>
        <v>46166</v>
      </c>
      <c r="F1048495" s="41" t="str">
        <f aca="false">IFERROR(__xludf.dummyfunction("""COMPUTED_VALUE"""),"CN")</f>
        <v>CN</v>
      </c>
      <c r="G1048495" s="37" t="str">
        <f aca="false">IFERROR(__xludf.dummyfunction("""COMPUTED_VALUE"""),"20:00-22:00")</f>
        <v>20:00-22:00</v>
      </c>
      <c r="H1048495" s="42" t="str">
        <f aca="false">IFERROR(__xludf.dummyfunction("""COMPUTED_VALUE"""),"https://hocmai.vn/mod/scorm/view_file.php?id=180172")</f>
        <v>https://hocmai.vn/mod/scorm/view_file.php?id=180172</v>
      </c>
      <c r="I1048495" s="42" t="str">
        <f aca="false">IFERROR(__xludf.dummyfunction("""COMPUTED_VALUE"""),"https://hocmai.vn/mod/scorm/view_file.php?id=180178")</f>
        <v>https://hocmai.vn/mod/scorm/view_file.php?id=180178</v>
      </c>
      <c r="J1048495" s="42" t="str">
        <f aca="false">IFERROR(__xludf.dummyfunction("""COMPUTED_VALUE"""),"https://drive.google.com/drive/folders/1uoNC8cTvCsk7_S3JvgJznQIbEBC-Iyb8?usp=drive_link")</f>
        <v>https://drive.google.com/drive/folders/1uoNC8cTvCsk7_S3JvgJznQIbEBC-Iyb8?usp=drive_link</v>
      </c>
      <c r="K1048495" s="37" t="str">
        <f aca="false">IFERROR(__xludf.dummyfunction("""COMPUTED_VALUE"""),"Chientd2")</f>
        <v>Chientd2</v>
      </c>
      <c r="L1048495" s="37" t="str">
        <f aca="false">IFERROR(__xludf.dummyfunction("""COMPUTED_VALUE"""),"Tưởng Thị Huyền Trang")</f>
        <v>Tưởng Thị Huyền Trang</v>
      </c>
      <c r="M1048495" s="43" t="str">
        <f aca="false">IFERROR(__xludf.dummyfunction("""COMPUTED_VALUE"""),"https://hocmai.sharepoint.com/Education_Development/Lists/San_xuat_video/DispForm.aspx?ID=12154")</f>
        <v>https://hocmai.sharepoint.com/Education_Development/Lists/San_xuat_video/DispForm.aspx?ID=12154</v>
      </c>
      <c r="N1048495" s="41" t="n">
        <f aca="false">IFERROR(__xludf.dummyfunction("""COMPUTED_VALUE"""),3312)</f>
        <v>3312</v>
      </c>
      <c r="O1048495" s="41" t="n">
        <f aca="false">IFERROR(__xludf.dummyfunction("""COMPUTED_VALUE"""),166548)</f>
        <v>166548</v>
      </c>
      <c r="P1048495" s="41"/>
      <c r="Q1048495" s="41" t="n">
        <f aca="false">IFERROR(__xludf.dummyfunction("""COMPUTED_VALUE"""),7910)</f>
        <v>7910</v>
      </c>
      <c r="R1048495" s="41"/>
      <c r="S1048495" s="41"/>
      <c r="T1048495" s="41" t="n">
        <f aca="false">IFERROR(__xludf.dummyfunction("""COMPUTED_VALUE"""),7910)</f>
        <v>7910</v>
      </c>
      <c r="U1048495" s="41" t="n">
        <f aca="false">IFERROR(__xludf.dummyfunction("""COMPUTED_VALUE"""),23072)</f>
        <v>23072</v>
      </c>
      <c r="V1048495" s="40" t="n">
        <f aca="false">IFERROR(__xludf.dummyfunction("""COMPUTED_VALUE"""),46169)</f>
        <v>46169</v>
      </c>
      <c r="W1048495" s="39" t="str">
        <f aca="false">IFERROR(__xludf.dummyfunction("""COMPUTED_VALUE"""),"Hoàn thành XB")</f>
        <v>Hoàn thành XB</v>
      </c>
      <c r="X1048495" s="41" t="str">
        <f aca="false">IFERROR(__xludf.dummyfunction("""COMPUTED_VALUE"""),"Huent7")</f>
        <v>Huent7</v>
      </c>
      <c r="Y1048495" s="44"/>
      <c r="Z1048495" s="57"/>
      <c r="AA1048495" s="57"/>
      <c r="AB1048495" s="41" t="n">
        <f aca="false">IFERROR(__xludf.dummyfunction("""COMPUTED_VALUE"""),5)</f>
        <v>5</v>
      </c>
      <c r="AC1048495" s="57" t="str">
        <f aca="false">IFERROR(__xludf.dummyfunction("""COMPUTED_VALUE"""),"nentangtoan")</f>
        <v>nentangtoan</v>
      </c>
      <c r="AD1048495" s="46" t="str">
        <f aca="false">IFERROR(__xludf.dummyfunction("""COMPUTED_VALUE"""),"Chưa có outtro =&gt; Đã báo xb")</f>
        <v>Chưa có outtro =&gt; Đã báo xb</v>
      </c>
      <c r="AE1048495" s="46"/>
      <c r="AF1048495" s="47" t="str">
        <f aca="false">IFERROR(__xludf.dummyfunction("""COMPUTED_VALUE"""),"lophoctoan-946166")</f>
        <v>lophoctoan-946166</v>
      </c>
      <c r="AG1048495" s="46" t="str">
        <f aca="false">IFERROR(__xludf.dummyfunction("""COMPUTED_VALUE"""),"")</f>
        <v/>
      </c>
      <c r="AH1048495" s="53" t="b">
        <f aca="false">IFERROR(__xludf.dummyfunction("""COMPUTED_VALUE"""),TRUE())</f>
        <v>1</v>
      </c>
      <c r="AI1048495" s="35"/>
      <c r="AJ1048495" s="35"/>
      <c r="AK1048495" s="35"/>
      <c r="AL1048495" s="35"/>
      <c r="AM1048495" s="35"/>
      <c r="AN1048495" s="35"/>
      <c r="AO1048495" s="46"/>
    </row>
    <row r="1048496" customFormat="false" ht="15.75" hidden="false" customHeight="true" outlineLevel="0" collapsed="false">
      <c r="A1048496" s="37" t="str">
        <f aca="false">IFERROR(__xludf.dummyfunction("""COMPUTED_VALUE"""),"Toán")</f>
        <v>Toán</v>
      </c>
      <c r="B1048496" s="37" t="str">
        <f aca="false">IFERROR(__xludf.dummyfunction("""COMPUTED_VALUE"""),"NT_T_16")</f>
        <v>NT_T_16</v>
      </c>
      <c r="C1048496" s="59" t="str">
        <f aca="false">IFERROR(__xludf.dummyfunction("""COMPUTED_VALUE"""),"Tương giao của đồ thị hàm số")</f>
        <v>Tương giao của đồ thị hàm số</v>
      </c>
      <c r="D1048496" s="39" t="str">
        <f aca="false">IFERROR(__xludf.dummyfunction("""COMPUTED_VALUE"""),"Nguyễn Thanh Tùng")</f>
        <v>Nguyễn Thanh Tùng</v>
      </c>
      <c r="E1048496" s="40" t="n">
        <f aca="false">IFERROR(__xludf.dummyfunction("""COMPUTED_VALUE"""),46166)</f>
        <v>46166</v>
      </c>
      <c r="F1048496" s="41" t="str">
        <f aca="false">IFERROR(__xludf.dummyfunction("""COMPUTED_VALUE"""),"CN")</f>
        <v>CN</v>
      </c>
      <c r="G1048496" s="37" t="str">
        <f aca="false">IFERROR(__xludf.dummyfunction("""COMPUTED_VALUE"""),"18:00-20:00")</f>
        <v>18:00-20:00</v>
      </c>
      <c r="H1048496" s="42" t="str">
        <f aca="false">IFERROR(__xludf.dummyfunction("""COMPUTED_VALUE"""),"https://hocmai.vn/mod/scorm/view_file.php?id=180173")</f>
        <v>https://hocmai.vn/mod/scorm/view_file.php?id=180173</v>
      </c>
      <c r="I1048496" s="42" t="str">
        <f aca="false">IFERROR(__xludf.dummyfunction("""COMPUTED_VALUE"""),"https://hocmai.vn/mod/scorm/view_file.php?id=180180")</f>
        <v>https://hocmai.vn/mod/scorm/view_file.php?id=180180</v>
      </c>
      <c r="J1048496" s="55" t="str">
        <f aca="false">IFERROR(__xludf.dummyfunction("""COMPUTED_VALUE"""),"https://drive.google.com/drive/folders/1bmKFOGgfd0V_nVx289MN28FE4oYeOmCT?usp=drive_link")</f>
        <v>https://drive.google.com/drive/folders/1bmKFOGgfd0V_nVx289MN28FE4oYeOmCT?usp=drive_link</v>
      </c>
      <c r="K1048496" s="37" t="str">
        <f aca="false">IFERROR(__xludf.dummyfunction("""COMPUTED_VALUE"""),"Chientd2")</f>
        <v>Chientd2</v>
      </c>
      <c r="L1048496" s="37" t="str">
        <f aca="false">IFERROR(__xludf.dummyfunction("""COMPUTED_VALUE"""),"Tưởng Thị Huyền Trang")</f>
        <v>Tưởng Thị Huyền Trang</v>
      </c>
      <c r="M1048496" s="43" t="str">
        <f aca="false">IFERROR(__xludf.dummyfunction("""COMPUTED_VALUE"""),"https://hocmai.sharepoint.com/Education_Development/Lists/San_xuat_video/DispForm.aspx?ID=12155")</f>
        <v>https://hocmai.sharepoint.com/Education_Development/Lists/San_xuat_video/DispForm.aspx?ID=12155</v>
      </c>
      <c r="N1048496" s="41" t="n">
        <f aca="false">IFERROR(__xludf.dummyfunction("""COMPUTED_VALUE"""),3312)</f>
        <v>3312</v>
      </c>
      <c r="O1048496" s="41" t="n">
        <f aca="false">IFERROR(__xludf.dummyfunction("""COMPUTED_VALUE"""),166549)</f>
        <v>166549</v>
      </c>
      <c r="P1048496" s="41"/>
      <c r="Q1048496" s="41" t="n">
        <f aca="false">IFERROR(__xludf.dummyfunction("""COMPUTED_VALUE"""),7912)</f>
        <v>7912</v>
      </c>
      <c r="R1048496" s="41"/>
      <c r="S1048496" s="41"/>
      <c r="T1048496" s="41" t="n">
        <f aca="false">IFERROR(__xludf.dummyfunction("""COMPUTED_VALUE"""),7913)</f>
        <v>7913</v>
      </c>
      <c r="U1048496" s="41" t="n">
        <f aca="false">IFERROR(__xludf.dummyfunction("""COMPUTED_VALUE"""),23073)</f>
        <v>23073</v>
      </c>
      <c r="V1048496" s="40" t="n">
        <f aca="false">IFERROR(__xludf.dummyfunction("""COMPUTED_VALUE"""),46169)</f>
        <v>46169</v>
      </c>
      <c r="W1048496" s="39" t="str">
        <f aca="false">IFERROR(__xludf.dummyfunction("""COMPUTED_VALUE"""),"Hoàn thành XB")</f>
        <v>Hoàn thành XB</v>
      </c>
      <c r="X1048496" s="41" t="str">
        <f aca="false">IFERROR(__xludf.dummyfunction("""COMPUTED_VALUE"""),"Huent7")</f>
        <v>Huent7</v>
      </c>
      <c r="Y1048496" s="44"/>
      <c r="Z1048496" s="57"/>
      <c r="AA1048496" s="57"/>
      <c r="AB1048496" s="41" t="n">
        <f aca="false">IFERROR(__xludf.dummyfunction("""COMPUTED_VALUE"""),5)</f>
        <v>5</v>
      </c>
      <c r="AC1048496" s="57" t="str">
        <f aca="false">IFERROR(__xludf.dummyfunction("""COMPUTED_VALUE"""),"nentangtoan")</f>
        <v>nentangtoan</v>
      </c>
      <c r="AD1048496" s="46"/>
      <c r="AE1048496" s="46"/>
      <c r="AF1048496" s="47" t="str">
        <f aca="false">IFERROR(__xludf.dummyfunction("""COMPUTED_VALUE"""),"lophoctoan-946166")</f>
        <v>lophoctoan-946166</v>
      </c>
      <c r="AG1048496" s="46" t="str">
        <f aca="false">IFERROR(__xludf.dummyfunction("""COMPUTED_VALUE"""),"")</f>
        <v/>
      </c>
      <c r="AH1048496" s="53" t="b">
        <f aca="false">IFERROR(__xludf.dummyfunction("""COMPUTED_VALUE"""),TRUE())</f>
        <v>1</v>
      </c>
      <c r="AI1048496" s="35"/>
      <c r="AJ1048496" s="35"/>
      <c r="AK1048496" s="35"/>
      <c r="AL1048496" s="35"/>
      <c r="AM1048496" s="35"/>
      <c r="AN1048496" s="35"/>
      <c r="AO1048496" s="46"/>
    </row>
    <row r="1048497" customFormat="false" ht="15.75" hidden="false" customHeight="true" outlineLevel="0" collapsed="false">
      <c r="A1048497" s="37" t="str">
        <f aca="false">IFERROR(__xludf.dummyfunction("""COMPUTED_VALUE"""),"Toán")</f>
        <v>Toán</v>
      </c>
      <c r="B1048497" s="39" t="str">
        <f aca="false">IFERROR(__xludf.dummyfunction("""COMPUTED_VALUE"""),"NT_N_06")</f>
        <v>NT_N_06</v>
      </c>
      <c r="C1048497" s="37" t="str">
        <f aca="false">IFERROR(__xludf.dummyfunction("""COMPUTED_VALUE"""),"Tính đơn điệu của hàm số (P2)")</f>
        <v>Tính đơn điệu của hàm số (P2)</v>
      </c>
      <c r="D1048497" s="39" t="str">
        <f aca="false">IFERROR(__xludf.dummyfunction("""COMPUTED_VALUE"""),"Nguyễn Hoài Nam")</f>
        <v>Nguyễn Hoài Nam</v>
      </c>
      <c r="E1048497" s="40" t="n">
        <f aca="false">IFERROR(__xludf.dummyfunction("""COMPUTED_VALUE"""),46168)</f>
        <v>46168</v>
      </c>
      <c r="F1048497" s="41" t="n">
        <f aca="false">IFERROR(__xludf.dummyfunction("""COMPUTED_VALUE"""),3)</f>
        <v>3</v>
      </c>
      <c r="G1048497" s="37" t="str">
        <f aca="false">IFERROR(__xludf.dummyfunction("""COMPUTED_VALUE"""),"21:00-22:30")</f>
        <v>21:00-22:30</v>
      </c>
      <c r="H1048497" s="42" t="str">
        <f aca="false">IFERROR(__xludf.dummyfunction("""COMPUTED_VALUE"""),"https://hocmai.vn/mod/scorm/view_file.php?inpopup=true&amp;id=180185")</f>
        <v>https://hocmai.vn/mod/scorm/view_file.php?inpopup=true&amp;id=180185</v>
      </c>
      <c r="I1048497" s="42" t="str">
        <f aca="false">IFERROR(__xludf.dummyfunction("""COMPUTED_VALUE"""),"https://hocmai.vn/mod/scorm/view_file.php?inpopup=true&amp;id=180186")</f>
        <v>https://hocmai.vn/mod/scorm/view_file.php?inpopup=true&amp;id=180186</v>
      </c>
      <c r="J1048497" s="62"/>
      <c r="K1048497" s="37" t="str">
        <f aca="false">IFERROR(__xludf.dummyfunction("""COMPUTED_VALUE"""),"thinhnh")</f>
        <v>thinhnh</v>
      </c>
      <c r="L1048497" s="37" t="str">
        <f aca="false">IFERROR(__xludf.dummyfunction("""COMPUTED_VALUE"""),"Lê Quốc Việt")</f>
        <v>Lê Quốc Việt</v>
      </c>
      <c r="M1048497" s="43" t="str">
        <f aca="false">IFERROR(__xludf.dummyfunction("""COMPUTED_VALUE"""),"https://hocmai.sharepoint.com/Education_Development/Lists/San_xuat_video/DispForm.aspx?ID=12193")</f>
        <v>https://hocmai.sharepoint.com/Education_Development/Lists/San_xuat_video/DispForm.aspx?ID=12193</v>
      </c>
      <c r="N1048497" s="58" t="n">
        <f aca="false">IFERROR(__xludf.dummyfunction("""COMPUTED_VALUE"""),3313)</f>
        <v>3313</v>
      </c>
      <c r="O1048497" s="41" t="n">
        <f aca="false">IFERROR(__xludf.dummyfunction("""COMPUTED_VALUE"""),166631)</f>
        <v>166631</v>
      </c>
      <c r="P1048497" s="41"/>
      <c r="Q1048497" s="41" t="n">
        <f aca="false">IFERROR(__xludf.dummyfunction("""COMPUTED_VALUE"""),8008)</f>
        <v>8008</v>
      </c>
      <c r="R1048497" s="41"/>
      <c r="S1048497" s="41"/>
      <c r="T1048497" s="41" t="n">
        <f aca="false">IFERROR(__xludf.dummyfunction("""COMPUTED_VALUE"""),8009)</f>
        <v>8009</v>
      </c>
      <c r="U1048497" s="41" t="n">
        <f aca="false">IFERROR(__xludf.dummyfunction("""COMPUTED_VALUE"""),23100)</f>
        <v>23100</v>
      </c>
      <c r="V1048497" s="40" t="n">
        <f aca="false">IFERROR(__xludf.dummyfunction("""COMPUTED_VALUE"""),46168)</f>
        <v>46168</v>
      </c>
      <c r="W1048497" s="39" t="str">
        <f aca="false">IFERROR(__xludf.dummyfunction("""COMPUTED_VALUE"""),"Hoàn thành XB")</f>
        <v>Hoàn thành XB</v>
      </c>
      <c r="X1048497" s="41" t="str">
        <f aca="false">IFERROR(__xludf.dummyfunction("""COMPUTED_VALUE"""),"Huent7")</f>
        <v>Huent7</v>
      </c>
      <c r="Y1048497" s="44"/>
      <c r="Z1048497" s="57"/>
      <c r="AA1048497" s="57"/>
      <c r="AB1048497" s="41" t="n">
        <f aca="false">IFERROR(__xludf.dummyfunction("""COMPUTED_VALUE"""),5)</f>
        <v>5</v>
      </c>
      <c r="AC1048497" s="57" t="str">
        <f aca="false">IFERROR(__xludf.dummyfunction("""COMPUTED_VALUE"""),"Hình ảnh hơi mờ và âm thanh hơi bé =&gt; Đã báo BTV")</f>
        <v>Hình ảnh hơi mờ và âm thanh hơi bé =&gt; Đã báo BTV</v>
      </c>
      <c r="AD1048497" s="64" t="str">
        <f aca="false">IFERROR(__xludf.dummyfunction("""COMPUTED_VALUE"""),"nentangtoan_thaynam")</f>
        <v>nentangtoan_thaynam</v>
      </c>
      <c r="AE1048497" s="64"/>
      <c r="AF1048497" s="65" t="str">
        <f aca="false">IFERROR(__xludf.dummyfunction("""COMPUTED_VALUE"""),"lophoctoan-946168")</f>
        <v>lophoctoan-946168</v>
      </c>
      <c r="AG1048497" s="64" t="str">
        <f aca="false">IFERROR(__xludf.dummyfunction("""COMPUTED_VALUE"""),"")</f>
        <v/>
      </c>
      <c r="AH1048497" s="66" t="b">
        <f aca="false">IFERROR(__xludf.dummyfunction("""COMPUTED_VALUE"""),TRUE())</f>
        <v>1</v>
      </c>
      <c r="AI1048497" s="67"/>
      <c r="AJ1048497" s="67"/>
      <c r="AK1048497" s="67"/>
      <c r="AL1048497" s="67"/>
      <c r="AM1048497" s="67"/>
      <c r="AN1048497" s="67"/>
      <c r="AO1048497" s="64"/>
    </row>
    <row r="1048498" customFormat="false" ht="15.75" hidden="false" customHeight="true" outlineLevel="0" collapsed="false">
      <c r="A1048498" s="37" t="str">
        <f aca="false">IFERROR(__xludf.dummyfunction("""COMPUTED_VALUE"""),"Toán")</f>
        <v>Toán</v>
      </c>
      <c r="B1048498" s="37" t="str">
        <f aca="false">IFERROR(__xludf.dummyfunction("""COMPUTED_VALUE"""),"NT_T_17")</f>
        <v>NT_T_17</v>
      </c>
      <c r="C1048498" s="38" t="str">
        <f aca="false">IFERROR(__xludf.dummyfunction("""COMPUTED_VALUE"""),"Tiệm cận của đồ thị hàm số (P1)")</f>
        <v>Tiệm cận của đồ thị hàm số (P1)</v>
      </c>
      <c r="D1048498" s="39" t="str">
        <f aca="false">IFERROR(__xludf.dummyfunction("""COMPUTED_VALUE"""),"Nguyễn Thanh Tùng")</f>
        <v>Nguyễn Thanh Tùng</v>
      </c>
      <c r="E1048498" s="40" t="n">
        <f aca="false">IFERROR(__xludf.dummyfunction("""COMPUTED_VALUE"""),46169)</f>
        <v>46169</v>
      </c>
      <c r="F1048498" s="41" t="n">
        <f aca="false">IFERROR(__xludf.dummyfunction("""COMPUTED_VALUE"""),4)</f>
        <v>4</v>
      </c>
      <c r="G1048498" s="37" t="str">
        <f aca="false">IFERROR(__xludf.dummyfunction("""COMPUTED_VALUE"""),"20:00-22:00")</f>
        <v>20:00-22:00</v>
      </c>
      <c r="H1048498" s="42" t="str">
        <f aca="false">IFERROR(__xludf.dummyfunction("""COMPUTED_VALUE"""),"https://hocmai.vn/mod/scorm/view_file.php?id=180184")</f>
        <v>https://hocmai.vn/mod/scorm/view_file.php?id=180184</v>
      </c>
      <c r="I1048498" s="42" t="str">
        <f aca="false">IFERROR(__xludf.dummyfunction("""COMPUTED_VALUE"""),"https://hocmai.vn/mod/scorm/view_file.php?id=180192")</f>
        <v>https://hocmai.vn/mod/scorm/view_file.php?id=180192</v>
      </c>
      <c r="J1048498" s="42" t="str">
        <f aca="false">IFERROR(__xludf.dummyfunction("""COMPUTED_VALUE"""),"https://drive.google.com/drive/folders/1W27G-KXm8U1uZQxc39Owkmg_kfWtXQeY?usp=drive_link")</f>
        <v>https://drive.google.com/drive/folders/1W27G-KXm8U1uZQxc39Owkmg_kfWtXQeY?usp=drive_link</v>
      </c>
      <c r="K1048498" s="37" t="str">
        <f aca="false">IFERROR(__xludf.dummyfunction("""COMPUTED_VALUE"""),"Chientd2")</f>
        <v>Chientd2</v>
      </c>
      <c r="L1048498" s="37" t="str">
        <f aca="false">IFERROR(__xludf.dummyfunction("""COMPUTED_VALUE"""),"Tưởng Thị Huyền Trang")</f>
        <v>Tưởng Thị Huyền Trang</v>
      </c>
      <c r="M1048498" s="43" t="str">
        <f aca="false">IFERROR(__xludf.dummyfunction("""COMPUTED_VALUE"""),"https://hocmai.sharepoint.com/Education_Development/Lists/San_xuat_video/DispForm.aspx?ID=12156")</f>
        <v>https://hocmai.sharepoint.com/Education_Development/Lists/San_xuat_video/DispForm.aspx?ID=12156</v>
      </c>
      <c r="N1048498" s="41" t="n">
        <f aca="false">IFERROR(__xludf.dummyfunction("""COMPUTED_VALUE"""),3312)</f>
        <v>3312</v>
      </c>
      <c r="O1048498" s="41" t="n">
        <f aca="false">IFERROR(__xludf.dummyfunction("""COMPUTED_VALUE"""),166550)</f>
        <v>166550</v>
      </c>
      <c r="P1048498" s="41"/>
      <c r="Q1048498" s="41" t="n">
        <f aca="false">IFERROR(__xludf.dummyfunction("""COMPUTED_VALUE"""),7914)</f>
        <v>7914</v>
      </c>
      <c r="R1048498" s="41"/>
      <c r="S1048498" s="41"/>
      <c r="T1048498" s="41" t="n">
        <f aca="false">IFERROR(__xludf.dummyfunction("""COMPUTED_VALUE"""),7915)</f>
        <v>7915</v>
      </c>
      <c r="U1048498" s="41" t="n">
        <f aca="false">IFERROR(__xludf.dummyfunction("""COMPUTED_VALUE"""),23102)</f>
        <v>23102</v>
      </c>
      <c r="V1048498" s="40" t="n">
        <f aca="false">IFERROR(__xludf.dummyfunction("""COMPUTED_VALUE"""),46172)</f>
        <v>46172</v>
      </c>
      <c r="W1048498" s="39" t="str">
        <f aca="false">IFERROR(__xludf.dummyfunction("""COMPUTED_VALUE"""),"Hoàn thành XB")</f>
        <v>Hoàn thành XB</v>
      </c>
      <c r="X1048498" s="41" t="str">
        <f aca="false">IFERROR(__xludf.dummyfunction("""COMPUTED_VALUE"""),"Huent7")</f>
        <v>Huent7</v>
      </c>
      <c r="Y1048498" s="44"/>
      <c r="Z1048498" s="57"/>
      <c r="AA1048498" s="57"/>
      <c r="AB1048498" s="41" t="n">
        <f aca="false">IFERROR(__xludf.dummyfunction("""COMPUTED_VALUE"""),5)</f>
        <v>5</v>
      </c>
      <c r="AC1048498" s="57" t="str">
        <f aca="false">IFERROR(__xludf.dummyfunction("""COMPUTED_VALUE"""),"nentangtoan")</f>
        <v>nentangtoan</v>
      </c>
      <c r="AD1048498" s="46"/>
      <c r="AE1048498" s="46"/>
      <c r="AF1048498" s="47" t="str">
        <f aca="false">IFERROR(__xludf.dummyfunction("""COMPUTED_VALUE"""),"lophoctoan-946169")</f>
        <v>lophoctoan-946169</v>
      </c>
      <c r="AG1048498" s="46" t="str">
        <f aca="false">IFERROR(__xludf.dummyfunction("""COMPUTED_VALUE"""),"")</f>
        <v/>
      </c>
      <c r="AH1048498" s="53" t="b">
        <f aca="false">IFERROR(__xludf.dummyfunction("""COMPUTED_VALUE"""),TRUE())</f>
        <v>1</v>
      </c>
      <c r="AI1048498" s="35"/>
      <c r="AJ1048498" s="35"/>
      <c r="AK1048498" s="35"/>
      <c r="AL1048498" s="35"/>
      <c r="AM1048498" s="35"/>
      <c r="AN1048498" s="35"/>
      <c r="AO1048498" s="46"/>
    </row>
    <row r="1048499" customFormat="false" ht="15.75" hidden="false" customHeight="true" outlineLevel="0" collapsed="false">
      <c r="A1048499" s="37" t="str">
        <f aca="false">IFERROR(__xludf.dummyfunction("""COMPUTED_VALUE"""),"Toán")</f>
        <v>Toán</v>
      </c>
      <c r="B1048499" s="37" t="str">
        <f aca="false">IFERROR(__xludf.dummyfunction("""COMPUTED_VALUE"""),"NT_T_18")</f>
        <v>NT_T_18</v>
      </c>
      <c r="C1048499" s="38" t="str">
        <f aca="false">IFERROR(__xludf.dummyfunction("""COMPUTED_VALUE"""),"Tiệm cận của đồ thị hàm số (P2)")</f>
        <v>Tiệm cận của đồ thị hàm số (P2)</v>
      </c>
      <c r="D1048499" s="39" t="str">
        <f aca="false">IFERROR(__xludf.dummyfunction("""COMPUTED_VALUE"""),"Nguyễn Thanh Tùng")</f>
        <v>Nguyễn Thanh Tùng</v>
      </c>
      <c r="E1048499" s="40" t="n">
        <f aca="false">IFERROR(__xludf.dummyfunction("""COMPUTED_VALUE"""),46172)</f>
        <v>46172</v>
      </c>
      <c r="F1048499" s="41" t="n">
        <f aca="false">IFERROR(__xludf.dummyfunction("""COMPUTED_VALUE"""),7)</f>
        <v>7</v>
      </c>
      <c r="G1048499" s="37" t="str">
        <f aca="false">IFERROR(__xludf.dummyfunction("""COMPUTED_VALUE"""),"20:00-22:00")</f>
        <v>20:00-22:00</v>
      </c>
      <c r="H1048499" s="42" t="str">
        <f aca="false">IFERROR(__xludf.dummyfunction("""COMPUTED_VALUE"""),"https://hocmai.vn/mod/scorm/view_file.php?id=180191")</f>
        <v>https://hocmai.vn/mod/scorm/view_file.php?id=180191</v>
      </c>
      <c r="I1048499" s="42" t="str">
        <f aca="false">IFERROR(__xludf.dummyfunction("""COMPUTED_VALUE"""),"https://hocmai.vn/mod/scorm/view_file.php?id=180205")</f>
        <v>https://hocmai.vn/mod/scorm/view_file.php?id=180205</v>
      </c>
      <c r="J1048499" s="55" t="str">
        <f aca="false">IFERROR(__xludf.dummyfunction("""COMPUTED_VALUE"""),"https://drive.google.com/drive/folders/1OeTfOrGwcEPIp1PDLqo5qXJ9zWue2S-S?usp=drive_link")</f>
        <v>https://drive.google.com/drive/folders/1OeTfOrGwcEPIp1PDLqo5qXJ9zWue2S-S?usp=drive_link</v>
      </c>
      <c r="K1048499" s="37" t="str">
        <f aca="false">IFERROR(__xludf.dummyfunction("""COMPUTED_VALUE"""),"Chientd2")</f>
        <v>Chientd2</v>
      </c>
      <c r="L1048499" s="37" t="str">
        <f aca="false">IFERROR(__xludf.dummyfunction("""COMPUTED_VALUE"""),"Tưởng Thị Huyền Trang")</f>
        <v>Tưởng Thị Huyền Trang</v>
      </c>
      <c r="M1048499" s="43" t="str">
        <f aca="false">IFERROR(__xludf.dummyfunction("""COMPUTED_VALUE"""),"https://hocmai.sharepoint.com/Education_Development/Lists/San_xuat_video/DispForm.aspx?ID=12157")</f>
        <v>https://hocmai.sharepoint.com/Education_Development/Lists/San_xuat_video/DispForm.aspx?ID=12157</v>
      </c>
      <c r="N1048499" s="41" t="n">
        <f aca="false">IFERROR(__xludf.dummyfunction("""COMPUTED_VALUE"""),3312)</f>
        <v>3312</v>
      </c>
      <c r="O1048499" s="41" t="n">
        <f aca="false">IFERROR(__xludf.dummyfunction("""COMPUTED_VALUE"""),166551)</f>
        <v>166551</v>
      </c>
      <c r="P1048499" s="41"/>
      <c r="Q1048499" s="41" t="n">
        <f aca="false">IFERROR(__xludf.dummyfunction("""COMPUTED_VALUE"""),7916)</f>
        <v>7916</v>
      </c>
      <c r="R1048499" s="41"/>
      <c r="S1048499" s="41"/>
      <c r="T1048499" s="41" t="n">
        <f aca="false">IFERROR(__xludf.dummyfunction("""COMPUTED_VALUE"""),7917)</f>
        <v>7917</v>
      </c>
      <c r="U1048499" s="41" t="n">
        <f aca="false">IFERROR(__xludf.dummyfunction("""COMPUTED_VALUE"""),23108)</f>
        <v>23108</v>
      </c>
      <c r="V1048499" s="40" t="n">
        <f aca="false">IFERROR(__xludf.dummyfunction("""COMPUTED_VALUE"""),46175)</f>
        <v>46175</v>
      </c>
      <c r="W1048499" s="39" t="str">
        <f aca="false">IFERROR(__xludf.dummyfunction("""COMPUTED_VALUE"""),"Hoàn thành XB")</f>
        <v>Hoàn thành XB</v>
      </c>
      <c r="X1048499" s="41" t="str">
        <f aca="false">IFERROR(__xludf.dummyfunction("""COMPUTED_VALUE"""),"Huent7")</f>
        <v>Huent7</v>
      </c>
      <c r="Y1048499" s="44"/>
      <c r="Z1048499" s="57"/>
      <c r="AA1048499" s="57"/>
      <c r="AB1048499" s="41" t="n">
        <f aca="false">IFERROR(__xludf.dummyfunction("""COMPUTED_VALUE"""),5)</f>
        <v>5</v>
      </c>
      <c r="AC1048499" s="57" t="str">
        <f aca="false">IFERROR(__xludf.dummyfunction("""COMPUTED_VALUE"""),"nentangtoan")</f>
        <v>nentangtoan</v>
      </c>
      <c r="AD1048499" s="46"/>
      <c r="AE1048499" s="46"/>
      <c r="AF1048499" s="47" t="str">
        <f aca="false">IFERROR(__xludf.dummyfunction("""COMPUTED_VALUE"""),"lophoctoan-946172")</f>
        <v>lophoctoan-946172</v>
      </c>
      <c r="AG1048499" s="46" t="str">
        <f aca="false">IFERROR(__xludf.dummyfunction("""COMPUTED_VALUE"""),"")</f>
        <v/>
      </c>
      <c r="AH1048499" s="53" t="b">
        <f aca="false">IFERROR(__xludf.dummyfunction("""COMPUTED_VALUE"""),TRUE())</f>
        <v>1</v>
      </c>
      <c r="AI1048499" s="35"/>
      <c r="AJ1048499" s="35"/>
      <c r="AK1048499" s="35"/>
      <c r="AL1048499" s="35"/>
      <c r="AM1048499" s="35"/>
      <c r="AN1048499" s="35"/>
      <c r="AO1048499" s="46"/>
    </row>
    <row r="1048500" customFormat="false" ht="15.75" hidden="false" customHeight="true" outlineLevel="0" collapsed="false">
      <c r="A1048500" s="37" t="str">
        <f aca="false">IFERROR(__xludf.dummyfunction("""COMPUTED_VALUE"""),"Toán")</f>
        <v>Toán</v>
      </c>
      <c r="B1048500" s="37" t="str">
        <f aca="false">IFERROR(__xludf.dummyfunction("""COMPUTED_VALUE"""),"NT_T_19")</f>
        <v>NT_T_19</v>
      </c>
      <c r="C1048500" s="59" t="str">
        <f aca="false">IFERROR(__xludf.dummyfunction("""COMPUTED_VALUE"""),"Nhận diện hàm số, đồ thị hàm số")</f>
        <v>Nhận diện hàm số, đồ thị hàm số</v>
      </c>
      <c r="D1048500" s="39" t="str">
        <f aca="false">IFERROR(__xludf.dummyfunction("""COMPUTED_VALUE"""),"Nguyễn Thanh Tùng")</f>
        <v>Nguyễn Thanh Tùng</v>
      </c>
      <c r="E1048500" s="40" t="n">
        <f aca="false">IFERROR(__xludf.dummyfunction("""COMPUTED_VALUE"""),46173)</f>
        <v>46173</v>
      </c>
      <c r="F1048500" s="41" t="str">
        <f aca="false">IFERROR(__xludf.dummyfunction("""COMPUTED_VALUE"""),"CN")</f>
        <v>CN</v>
      </c>
      <c r="G1048500" s="37" t="str">
        <f aca="false">IFERROR(__xludf.dummyfunction("""COMPUTED_VALUE"""),"18:00-20:00")</f>
        <v>18:00-20:00</v>
      </c>
      <c r="H1048500" s="42" t="str">
        <f aca="false">IFERROR(__xludf.dummyfunction("""COMPUTED_VALUE"""),"https://hocmai.vn/mod/scorm/view_file.php?id=180197")</f>
        <v>https://hocmai.vn/mod/scorm/view_file.php?id=180197</v>
      </c>
      <c r="I1048500" s="42" t="str">
        <f aca="false">IFERROR(__xludf.dummyfunction("""COMPUTED_VALUE"""),"https://hocmai.vn/mod/scorm/view_file.php?id=180207")</f>
        <v>https://hocmai.vn/mod/scorm/view_file.php?id=180207</v>
      </c>
      <c r="J1048500" s="55" t="str">
        <f aca="false">IFERROR(__xludf.dummyfunction("""COMPUTED_VALUE"""),"https://drive.google.com/drive/folders/1tgo-5Je0l37tkoF7nqTHi-nqZ63y9wnX?usp=drive_link")</f>
        <v>https://drive.google.com/drive/folders/1tgo-5Je0l37tkoF7nqTHi-nqZ63y9wnX?usp=drive_link</v>
      </c>
      <c r="K1048500" s="37" t="str">
        <f aca="false">IFERROR(__xludf.dummyfunction("""COMPUTED_VALUE"""),"Chientd2")</f>
        <v>Chientd2</v>
      </c>
      <c r="L1048500" s="37" t="str">
        <f aca="false">IFERROR(__xludf.dummyfunction("""COMPUTED_VALUE"""),"Tưởng Thị Huyền Trang")</f>
        <v>Tưởng Thị Huyền Trang</v>
      </c>
      <c r="M1048500" s="43" t="str">
        <f aca="false">IFERROR(__xludf.dummyfunction("""COMPUTED_VALUE"""),"https://hocmai.sharepoint.com/Education_Development/Lists/San_xuat_video/DispForm.aspx?ID=12158")</f>
        <v>https://hocmai.sharepoint.com/Education_Development/Lists/San_xuat_video/DispForm.aspx?ID=12158</v>
      </c>
      <c r="N1048500" s="41" t="n">
        <f aca="false">IFERROR(__xludf.dummyfunction("""COMPUTED_VALUE"""),3312)</f>
        <v>3312</v>
      </c>
      <c r="O1048500" s="41" t="n">
        <f aca="false">IFERROR(__xludf.dummyfunction("""COMPUTED_VALUE"""),166552)</f>
        <v>166552</v>
      </c>
      <c r="P1048500" s="41"/>
      <c r="Q1048500" s="41" t="n">
        <f aca="false">IFERROR(__xludf.dummyfunction("""COMPUTED_VALUE"""),7918)</f>
        <v>7918</v>
      </c>
      <c r="R1048500" s="41"/>
      <c r="S1048500" s="41"/>
      <c r="T1048500" s="41" t="n">
        <f aca="false">IFERROR(__xludf.dummyfunction("""COMPUTED_VALUE"""),7919)</f>
        <v>7919</v>
      </c>
      <c r="U1048500" s="41" t="n">
        <f aca="false">IFERROR(__xludf.dummyfunction("""COMPUTED_VALUE"""),23109)</f>
        <v>23109</v>
      </c>
      <c r="V1048500" s="40" t="n">
        <f aca="false">IFERROR(__xludf.dummyfunction("""COMPUTED_VALUE"""),46176)</f>
        <v>46176</v>
      </c>
      <c r="W1048500" s="39" t="str">
        <f aca="false">IFERROR(__xludf.dummyfunction("""COMPUTED_VALUE"""),"Hoàn thành XB")</f>
        <v>Hoàn thành XB</v>
      </c>
      <c r="X1048500" s="41" t="str">
        <f aca="false">IFERROR(__xludf.dummyfunction("""COMPUTED_VALUE"""),"Huent7")</f>
        <v>Huent7</v>
      </c>
      <c r="Y1048500" s="44"/>
      <c r="Z1048500" s="57"/>
      <c r="AA1048500" s="57"/>
      <c r="AB1048500" s="41" t="n">
        <f aca="false">IFERROR(__xludf.dummyfunction("""COMPUTED_VALUE"""),5)</f>
        <v>5</v>
      </c>
      <c r="AC1048500" s="57" t="str">
        <f aca="false">IFERROR(__xludf.dummyfunction("""COMPUTED_VALUE"""),"nentangtoan")</f>
        <v>nentangtoan</v>
      </c>
      <c r="AD1048500" s="46"/>
      <c r="AE1048500" s="46"/>
      <c r="AF1048500" s="47" t="str">
        <f aca="false">IFERROR(__xludf.dummyfunction("""COMPUTED_VALUE"""),"lophoctoan-946173")</f>
        <v>lophoctoan-946173</v>
      </c>
      <c r="AG1048500" s="46" t="str">
        <f aca="false">IFERROR(__xludf.dummyfunction("""COMPUTED_VALUE"""),"")</f>
        <v/>
      </c>
      <c r="AH1048500" s="53" t="b">
        <f aca="false">IFERROR(__xludf.dummyfunction("""COMPUTED_VALUE"""),TRUE())</f>
        <v>1</v>
      </c>
      <c r="AI1048500" s="35"/>
      <c r="AJ1048500" s="35"/>
      <c r="AK1048500" s="35"/>
      <c r="AL1048500" s="35"/>
      <c r="AM1048500" s="35"/>
      <c r="AN1048500" s="35"/>
      <c r="AO1048500" s="46"/>
    </row>
    <row r="1048501" customFormat="false" ht="15.75" hidden="false" customHeight="true" outlineLevel="0" collapsed="false">
      <c r="A1048501" s="37" t="str">
        <f aca="false">IFERROR(__xludf.dummyfunction("""COMPUTED_VALUE"""),"Toán")</f>
        <v>Toán</v>
      </c>
      <c r="B1048501" s="37" t="str">
        <f aca="false">IFERROR(__xludf.dummyfunction("""COMPUTED_VALUE"""),"NT_N_07")</f>
        <v>NT_N_07</v>
      </c>
      <c r="C1048501" s="38" t="str">
        <f aca="false">IFERROR(__xludf.dummyfunction("""COMPUTED_VALUE"""),"Cực trị của hàm số (P1)")</f>
        <v>Cực trị của hàm số (P1)</v>
      </c>
      <c r="D1048501" s="39" t="str">
        <f aca="false">IFERROR(__xludf.dummyfunction("""COMPUTED_VALUE"""),"Nguyễn Hoài Nam")</f>
        <v>Nguyễn Hoài Nam</v>
      </c>
      <c r="E1048501" s="40" t="n">
        <f aca="false">IFERROR(__xludf.dummyfunction("""COMPUTED_VALUE"""),46175)</f>
        <v>46175</v>
      </c>
      <c r="F1048501" s="41" t="n">
        <f aca="false">IFERROR(__xludf.dummyfunction("""COMPUTED_VALUE"""),3)</f>
        <v>3</v>
      </c>
      <c r="G1048501" s="37" t="str">
        <f aca="false">IFERROR(__xludf.dummyfunction("""COMPUTED_VALUE"""),"21:00-22:30")</f>
        <v>21:00-22:30</v>
      </c>
      <c r="H1048501" s="42" t="str">
        <f aca="false">IFERROR(__xludf.dummyfunction("""COMPUTED_VALUE"""),"https://hocmai.vn/mod/scorm/view_file.php?inpopup=true&amp;id=180202")</f>
        <v>https://hocmai.vn/mod/scorm/view_file.php?inpopup=true&amp;id=180202</v>
      </c>
      <c r="I1048501" s="42" t="str">
        <f aca="false">IFERROR(__xludf.dummyfunction("""COMPUTED_VALUE"""),"https://hocmai.vn/mod/scorm/view_file.php?inpopup=true&amp;id=180203")</f>
        <v>https://hocmai.vn/mod/scorm/view_file.php?inpopup=true&amp;id=180203</v>
      </c>
      <c r="J1048501" s="62"/>
      <c r="K1048501" s="37" t="str">
        <f aca="false">IFERROR(__xludf.dummyfunction("""COMPUTED_VALUE"""),"thinhnh")</f>
        <v>thinhnh</v>
      </c>
      <c r="L1048501" s="37" t="str">
        <f aca="false">IFERROR(__xludf.dummyfunction("""COMPUTED_VALUE"""),"Lê Quốc Việt")</f>
        <v>Lê Quốc Việt</v>
      </c>
      <c r="M1048501" s="43" t="str">
        <f aca="false">IFERROR(__xludf.dummyfunction("""COMPUTED_VALUE"""),"https://hocmai.sharepoint.com/Education_Development/Lists/San_xuat_video/DispForm.aspx?ID=12194")</f>
        <v>https://hocmai.sharepoint.com/Education_Development/Lists/San_xuat_video/DispForm.aspx?ID=12194</v>
      </c>
      <c r="N1048501" s="58" t="n">
        <f aca="false">IFERROR(__xludf.dummyfunction("""COMPUTED_VALUE"""),3313)</f>
        <v>3313</v>
      </c>
      <c r="O1048501" s="41" t="n">
        <f aca="false">IFERROR(__xludf.dummyfunction("""COMPUTED_VALUE"""),166632)</f>
        <v>166632</v>
      </c>
      <c r="P1048501" s="41"/>
      <c r="Q1048501" s="41" t="n">
        <f aca="false">IFERROR(__xludf.dummyfunction("""COMPUTED_VALUE"""),8010)</f>
        <v>8010</v>
      </c>
      <c r="R1048501" s="41"/>
      <c r="S1048501" s="41"/>
      <c r="T1048501" s="41" t="n">
        <f aca="false">IFERROR(__xludf.dummyfunction("""COMPUTED_VALUE"""),8011)</f>
        <v>8011</v>
      </c>
      <c r="U1048501" s="41" t="n">
        <f aca="false">IFERROR(__xludf.dummyfunction("""COMPUTED_VALUE"""),23107)</f>
        <v>23107</v>
      </c>
      <c r="V1048501" s="40" t="n">
        <f aca="false">IFERROR(__xludf.dummyfunction("""COMPUTED_VALUE"""),46175)</f>
        <v>46175</v>
      </c>
      <c r="W1048501" s="39" t="str">
        <f aca="false">IFERROR(__xludf.dummyfunction("""COMPUTED_VALUE"""),"Hoàn thành XB")</f>
        <v>Hoàn thành XB</v>
      </c>
      <c r="X1048501" s="41" t="str">
        <f aca="false">IFERROR(__xludf.dummyfunction("""COMPUTED_VALUE"""),"Huent7")</f>
        <v>Huent7</v>
      </c>
      <c r="Y1048501" s="44"/>
      <c r="Z1048501" s="57"/>
      <c r="AA1048501" s="57"/>
      <c r="AB1048501" s="41" t="n">
        <f aca="false">IFERROR(__xludf.dummyfunction("""COMPUTED_VALUE"""),6)</f>
        <v>6</v>
      </c>
      <c r="AC1048501" s="57" t="str">
        <f aca="false">IFERROR(__xludf.dummyfunction("""COMPUTED_VALUE"""),"Sai intro =&gt; Đã báo phía xbbg")</f>
        <v>Sai intro =&gt; Đã báo phía xbbg</v>
      </c>
      <c r="AD1048501" s="46"/>
      <c r="AE1048501" s="46"/>
      <c r="AF1048501" s="47" t="str">
        <f aca="false">IFERROR(__xludf.dummyfunction("""COMPUTED_VALUE"""),"lophoctoan-946175")</f>
        <v>lophoctoan-946175</v>
      </c>
      <c r="AG1048501" s="46" t="str">
        <f aca="false">IFERROR(__xludf.dummyfunction("""COMPUTED_VALUE"""),"")</f>
        <v/>
      </c>
      <c r="AH1048501" s="53" t="b">
        <f aca="false">IFERROR(__xludf.dummyfunction("""COMPUTED_VALUE"""),TRUE())</f>
        <v>1</v>
      </c>
      <c r="AI1048501" s="35"/>
      <c r="AJ1048501" s="35"/>
      <c r="AK1048501" s="35"/>
      <c r="AL1048501" s="35"/>
      <c r="AM1048501" s="35"/>
      <c r="AN1048501" s="35"/>
      <c r="AO1048501" s="46"/>
    </row>
    <row r="1048502" customFormat="false" ht="15.75" hidden="false" customHeight="true" outlineLevel="0" collapsed="false">
      <c r="A1048502" s="37" t="str">
        <f aca="false">IFERROR(__xludf.dummyfunction("""COMPUTED_VALUE"""),"Toán")</f>
        <v>Toán</v>
      </c>
      <c r="B1048502" s="37" t="str">
        <f aca="false">IFERROR(__xludf.dummyfunction("""COMPUTED_VALUE"""),"NT_T_20")</f>
        <v>NT_T_20</v>
      </c>
      <c r="C1048502" s="38" t="str">
        <f aca="false">IFERROR(__xludf.dummyfunction("""COMPUTED_VALUE"""),"Ứng dụng hàm số trong các bài toán thực tế (P1)")</f>
        <v>Ứng dụng hàm số trong các bài toán thực tế (P1)</v>
      </c>
      <c r="D1048502" s="39" t="str">
        <f aca="false">IFERROR(__xludf.dummyfunction("""COMPUTED_VALUE"""),"Nguyễn Thanh Tùng")</f>
        <v>Nguyễn Thanh Tùng</v>
      </c>
      <c r="E1048502" s="40" t="n">
        <f aca="false">IFERROR(__xludf.dummyfunction("""COMPUTED_VALUE"""),46176)</f>
        <v>46176</v>
      </c>
      <c r="F1048502" s="41" t="n">
        <f aca="false">IFERROR(__xludf.dummyfunction("""COMPUTED_VALUE"""),4)</f>
        <v>4</v>
      </c>
      <c r="G1048502" s="37" t="str">
        <f aca="false">IFERROR(__xludf.dummyfunction("""COMPUTED_VALUE"""),"20:00-22:00")</f>
        <v>20:00-22:00</v>
      </c>
      <c r="H1048502" s="42" t="str">
        <f aca="false">IFERROR(__xludf.dummyfunction("""COMPUTED_VALUE"""),"https://hocmai.vn/mod/scorm/view_file.php?id=180213")</f>
        <v>https://hocmai.vn/mod/scorm/view_file.php?id=180213</v>
      </c>
      <c r="I1048502" s="42" t="str">
        <f aca="false">IFERROR(__xludf.dummyfunction("""COMPUTED_VALUE"""),"https://hocmai.vn/mod/scorm/view_file.php?id=180221")</f>
        <v>https://hocmai.vn/mod/scorm/view_file.php?id=180221</v>
      </c>
      <c r="J1048502" s="55" t="str">
        <f aca="false">IFERROR(__xludf.dummyfunction("""COMPUTED_VALUE"""),"https://drive.google.com/drive/folders/1fC7WWo7u0zywx8D7ZBiJYdZxL3gN7Mjk?usp=drive_link")</f>
        <v>https://drive.google.com/drive/folders/1fC7WWo7u0zywx8D7ZBiJYdZxL3gN7Mjk?usp=drive_link</v>
      </c>
      <c r="K1048502" s="37" t="str">
        <f aca="false">IFERROR(__xludf.dummyfunction("""COMPUTED_VALUE"""),"Chientd2")</f>
        <v>Chientd2</v>
      </c>
      <c r="L1048502" s="37" t="str">
        <f aca="false">IFERROR(__xludf.dummyfunction("""COMPUTED_VALUE"""),"Tưởng Thị Huyền Trang")</f>
        <v>Tưởng Thị Huyền Trang</v>
      </c>
      <c r="M1048502" s="43" t="str">
        <f aca="false">IFERROR(__xludf.dummyfunction("""COMPUTED_VALUE"""),"https://hocmai.sharepoint.com/Education_Development/Lists/San_xuat_video/DispForm.aspx?ID=12159")</f>
        <v>https://hocmai.sharepoint.com/Education_Development/Lists/San_xuat_video/DispForm.aspx?ID=12159</v>
      </c>
      <c r="N1048502" s="41" t="n">
        <f aca="false">IFERROR(__xludf.dummyfunction("""COMPUTED_VALUE"""),3312)</f>
        <v>3312</v>
      </c>
      <c r="O1048502" s="41" t="n">
        <f aca="false">IFERROR(__xludf.dummyfunction("""COMPUTED_VALUE"""),166553)</f>
        <v>166553</v>
      </c>
      <c r="P1048502" s="41"/>
      <c r="Q1048502" s="41" t="n">
        <f aca="false">IFERROR(__xludf.dummyfunction("""COMPUTED_VALUE"""),7920)</f>
        <v>7920</v>
      </c>
      <c r="R1048502" s="41"/>
      <c r="S1048502" s="41"/>
      <c r="T1048502" s="41" t="n">
        <f aca="false">IFERROR(__xludf.dummyfunction("""COMPUTED_VALUE"""),7921)</f>
        <v>7921</v>
      </c>
      <c r="U1048502" s="41" t="n">
        <f aca="false">IFERROR(__xludf.dummyfunction("""COMPUTED_VALUE"""),23116)</f>
        <v>23116</v>
      </c>
      <c r="V1048502" s="40" t="n">
        <f aca="false">IFERROR(__xludf.dummyfunction("""COMPUTED_VALUE"""),46179)</f>
        <v>46179</v>
      </c>
      <c r="W1048502" s="39" t="str">
        <f aca="false">IFERROR(__xludf.dummyfunction("""COMPUTED_VALUE"""),"Hoàn thành XB")</f>
        <v>Hoàn thành XB</v>
      </c>
      <c r="X1048502" s="41" t="str">
        <f aca="false">IFERROR(__xludf.dummyfunction("""COMPUTED_VALUE"""),"Huent7")</f>
        <v>Huent7</v>
      </c>
      <c r="Y1048502" s="44"/>
      <c r="Z1048502" s="57"/>
      <c r="AA1048502" s="57"/>
      <c r="AB1048502" s="41" t="n">
        <f aca="false">IFERROR(__xludf.dummyfunction("""COMPUTED_VALUE"""),6)</f>
        <v>6</v>
      </c>
      <c r="AC1048502" s="57"/>
      <c r="AD1048502" s="46" t="str">
        <f aca="false">IFERROR(__xludf.dummyfunction("""COMPUTED_VALUE"""),"Ko có intro")</f>
        <v>Ko có intro</v>
      </c>
      <c r="AE1048502" s="46"/>
      <c r="AF1048502" s="47" t="str">
        <f aca="false">IFERROR(__xludf.dummyfunction("""COMPUTED_VALUE"""),"lophoctoan-946176")</f>
        <v>lophoctoan-946176</v>
      </c>
      <c r="AG1048502" s="46" t="str">
        <f aca="false">IFERROR(__xludf.dummyfunction("""COMPUTED_VALUE"""),"")</f>
        <v/>
      </c>
      <c r="AH1048502" s="53" t="b">
        <f aca="false">IFERROR(__xludf.dummyfunction("""COMPUTED_VALUE"""),TRUE())</f>
        <v>1</v>
      </c>
      <c r="AI1048502" s="35"/>
      <c r="AJ1048502" s="35"/>
      <c r="AK1048502" s="35"/>
      <c r="AL1048502" s="35"/>
      <c r="AM1048502" s="35"/>
      <c r="AN1048502" s="35"/>
      <c r="AO1048502" s="46"/>
    </row>
    <row r="1048503" customFormat="false" ht="15.75" hidden="false" customHeight="true" outlineLevel="0" collapsed="false">
      <c r="A1048503" s="37" t="str">
        <f aca="false">IFERROR(__xludf.dummyfunction("""COMPUTED_VALUE"""),"Toán")</f>
        <v>Toán</v>
      </c>
      <c r="B1048503" s="37" t="str">
        <f aca="false">IFERROR(__xludf.dummyfunction("""COMPUTED_VALUE"""),"NT_T_21")</f>
        <v>NT_T_21</v>
      </c>
      <c r="C1048503" s="38" t="str">
        <f aca="false">IFERROR(__xludf.dummyfunction("""COMPUTED_VALUE"""),"Vectơ trong không gian")</f>
        <v>Vectơ trong không gian</v>
      </c>
      <c r="D1048503" s="39" t="str">
        <f aca="false">IFERROR(__xludf.dummyfunction("""COMPUTED_VALUE"""),"Nguyễn Thanh Tùng")</f>
        <v>Nguyễn Thanh Tùng</v>
      </c>
      <c r="E1048503" s="40" t="n">
        <f aca="false">IFERROR(__xludf.dummyfunction("""COMPUTED_VALUE"""),46179)</f>
        <v>46179</v>
      </c>
      <c r="F1048503" s="41" t="n">
        <f aca="false">IFERROR(__xludf.dummyfunction("""COMPUTED_VALUE"""),7)</f>
        <v>7</v>
      </c>
      <c r="G1048503" s="37" t="str">
        <f aca="false">IFERROR(__xludf.dummyfunction("""COMPUTED_VALUE"""),"20:00-22:00")</f>
        <v>20:00-22:00</v>
      </c>
      <c r="H1048503" s="42" t="str">
        <f aca="false">IFERROR(__xludf.dummyfunction("""COMPUTED_VALUE"""),"https://hocmai.vn/mod/scorm/view_file.php?id=180219")</f>
        <v>https://hocmai.vn/mod/scorm/view_file.php?id=180219</v>
      </c>
      <c r="I1048503" s="42" t="str">
        <f aca="false">IFERROR(__xludf.dummyfunction("""COMPUTED_VALUE"""),"https://hocmai.vn/mod/scorm/view_file.php?id=180561")</f>
        <v>https://hocmai.vn/mod/scorm/view_file.php?id=180561</v>
      </c>
      <c r="J1048503" s="55" t="str">
        <f aca="false">IFERROR(__xludf.dummyfunction("""COMPUTED_VALUE"""),"https://drive.google.com/drive/folders/1DuybJH7F16nah89d-R8umD-8S1Z8LalM?usp=drive_link")</f>
        <v>https://drive.google.com/drive/folders/1DuybJH7F16nah89d-R8umD-8S1Z8LalM?usp=drive_link</v>
      </c>
      <c r="K1048503" s="37" t="str">
        <f aca="false">IFERROR(__xludf.dummyfunction("""COMPUTED_VALUE"""),"Chientd2")</f>
        <v>Chientd2</v>
      </c>
      <c r="L1048503" s="37" t="str">
        <f aca="false">IFERROR(__xludf.dummyfunction("""COMPUTED_VALUE"""),"Tưởng Thị Huyền Trang")</f>
        <v>Tưởng Thị Huyền Trang</v>
      </c>
      <c r="M1048503" s="43" t="str">
        <f aca="false">IFERROR(__xludf.dummyfunction("""COMPUTED_VALUE"""),"https://hocmai.sharepoint.com/Education_Development/Lists/San_xuat_video/DispForm.aspx?ID=12160")</f>
        <v>https://hocmai.sharepoint.com/Education_Development/Lists/San_xuat_video/DispForm.aspx?ID=12160</v>
      </c>
      <c r="N1048503" s="41" t="n">
        <f aca="false">IFERROR(__xludf.dummyfunction("""COMPUTED_VALUE"""),3312)</f>
        <v>3312</v>
      </c>
      <c r="O1048503" s="41" t="n">
        <f aca="false">IFERROR(__xludf.dummyfunction("""COMPUTED_VALUE"""),166554)</f>
        <v>166554</v>
      </c>
      <c r="P1048503" s="41"/>
      <c r="Q1048503" s="41" t="n">
        <f aca="false">IFERROR(__xludf.dummyfunction("""COMPUTED_VALUE"""),7923)</f>
        <v>7923</v>
      </c>
      <c r="R1048503" s="41"/>
      <c r="S1048503" s="41"/>
      <c r="T1048503" s="41" t="n">
        <f aca="false">IFERROR(__xludf.dummyfunction("""COMPUTED_VALUE"""),7924)</f>
        <v>7924</v>
      </c>
      <c r="U1048503" s="41" t="n">
        <f aca="false">IFERROR(__xludf.dummyfunction("""COMPUTED_VALUE"""),23118)</f>
        <v>23118</v>
      </c>
      <c r="V1048503" s="40" t="n">
        <f aca="false">IFERROR(__xludf.dummyfunction("""COMPUTED_VALUE"""),46182)</f>
        <v>46182</v>
      </c>
      <c r="W1048503" s="39" t="str">
        <f aca="false">IFERROR(__xludf.dummyfunction("""COMPUTED_VALUE"""),"Hoàn thành XB")</f>
        <v>Hoàn thành XB</v>
      </c>
      <c r="X1048503" s="41" t="str">
        <f aca="false">IFERROR(__xludf.dummyfunction("""COMPUTED_VALUE"""),"Huent7")</f>
        <v>Huent7</v>
      </c>
      <c r="Y1048503" s="44"/>
      <c r="Z1048503" s="57"/>
      <c r="AA1048503" s="57"/>
      <c r="AB1048503" s="41" t="n">
        <f aca="false">IFERROR(__xludf.dummyfunction("""COMPUTED_VALUE"""),6)</f>
        <v>6</v>
      </c>
      <c r="AC1048503" s="57"/>
      <c r="AD1048503" s="46"/>
      <c r="AE1048503" s="46"/>
      <c r="AF1048503" s="47" t="str">
        <f aca="false">IFERROR(__xludf.dummyfunction("""COMPUTED_VALUE"""),"lophoctoan-946179")</f>
        <v>lophoctoan-946179</v>
      </c>
      <c r="AG1048503" s="46" t="str">
        <f aca="false">IFERROR(__xludf.dummyfunction("""COMPUTED_VALUE"""),"")</f>
        <v/>
      </c>
      <c r="AH1048503" s="53" t="b">
        <f aca="false">IFERROR(__xludf.dummyfunction("""COMPUTED_VALUE"""),TRUE())</f>
        <v>1</v>
      </c>
      <c r="AI1048503" s="35"/>
      <c r="AJ1048503" s="35"/>
      <c r="AK1048503" s="35"/>
      <c r="AL1048503" s="35"/>
      <c r="AM1048503" s="35"/>
      <c r="AN1048503" s="35"/>
      <c r="AO1048503" s="46"/>
    </row>
    <row r="1048504" customFormat="false" ht="15.75" hidden="false" customHeight="true" outlineLevel="0" collapsed="false">
      <c r="A1048504" s="37" t="str">
        <f aca="false">IFERROR(__xludf.dummyfunction("""COMPUTED_VALUE"""),"Toán")</f>
        <v>Toán</v>
      </c>
      <c r="B1048504" s="37" t="str">
        <f aca="false">IFERROR(__xludf.dummyfunction("""COMPUTED_VALUE"""),"NT_T_22")</f>
        <v>NT_T_22</v>
      </c>
      <c r="C1048504" s="59" t="str">
        <f aca="false">IFERROR(__xludf.dummyfunction("""COMPUTED_VALUE"""),"Hệ trục tọa độ Oxyz (P1)")</f>
        <v>Hệ trục tọa độ Oxyz (P1)</v>
      </c>
      <c r="D1048504" s="39" t="str">
        <f aca="false">IFERROR(__xludf.dummyfunction("""COMPUTED_VALUE"""),"Nguyễn Thanh Tùng")</f>
        <v>Nguyễn Thanh Tùng</v>
      </c>
      <c r="E1048504" s="40" t="n">
        <f aca="false">IFERROR(__xludf.dummyfunction("""COMPUTED_VALUE"""),46180)</f>
        <v>46180</v>
      </c>
      <c r="F1048504" s="41" t="str">
        <f aca="false">IFERROR(__xludf.dummyfunction("""COMPUTED_VALUE"""),"CN")</f>
        <v>CN</v>
      </c>
      <c r="G1048504" s="37" t="str">
        <f aca="false">IFERROR(__xludf.dummyfunction("""COMPUTED_VALUE"""),"18:00-20:00")</f>
        <v>18:00-20:00</v>
      </c>
      <c r="H1048504" s="42" t="str">
        <f aca="false">IFERROR(__xludf.dummyfunction("""COMPUTED_VALUE"""),"https://hocmai.vn/mod/scorm/view_file.php?id=180559")</f>
        <v>https://hocmai.vn/mod/scorm/view_file.php?id=180559</v>
      </c>
      <c r="I1048504" s="42" t="str">
        <f aca="false">IFERROR(__xludf.dummyfunction("""COMPUTED_VALUE"""),"https://hocmai.vn/mod/scorm/view_file.php?id=180563")</f>
        <v>https://hocmai.vn/mod/scorm/view_file.php?id=180563</v>
      </c>
      <c r="J1048504" s="55" t="str">
        <f aca="false">IFERROR(__xludf.dummyfunction("""COMPUTED_VALUE"""),"https://drive.google.com/drive/folders/1lP4XtE84d_aRaZDjqqioXTmxOmWZwzra?usp=drive_link")</f>
        <v>https://drive.google.com/drive/folders/1lP4XtE84d_aRaZDjqqioXTmxOmWZwzra?usp=drive_link</v>
      </c>
      <c r="K1048504" s="37" t="str">
        <f aca="false">IFERROR(__xludf.dummyfunction("""COMPUTED_VALUE"""),"Chientd2")</f>
        <v>Chientd2</v>
      </c>
      <c r="L1048504" s="37" t="str">
        <f aca="false">IFERROR(__xludf.dummyfunction("""COMPUTED_VALUE"""),"Tưởng Thị Huyền Trang")</f>
        <v>Tưởng Thị Huyền Trang</v>
      </c>
      <c r="M1048504" s="43" t="str">
        <f aca="false">IFERROR(__xludf.dummyfunction("""COMPUTED_VALUE"""),"https://hocmai.sharepoint.com/Education_Development/Lists/San_xuat_video/DispForm.aspx?ID=12161")</f>
        <v>https://hocmai.sharepoint.com/Education_Development/Lists/San_xuat_video/DispForm.aspx?ID=12161</v>
      </c>
      <c r="N1048504" s="41" t="n">
        <f aca="false">IFERROR(__xludf.dummyfunction("""COMPUTED_VALUE"""),3312)</f>
        <v>3312</v>
      </c>
      <c r="O1048504" s="41" t="n">
        <f aca="false">IFERROR(__xludf.dummyfunction("""COMPUTED_VALUE"""),166555)</f>
        <v>166555</v>
      </c>
      <c r="P1048504" s="41"/>
      <c r="Q1048504" s="41" t="n">
        <f aca="false">IFERROR(__xludf.dummyfunction("""COMPUTED_VALUE"""),7925)</f>
        <v>7925</v>
      </c>
      <c r="R1048504" s="41"/>
      <c r="S1048504" s="41"/>
      <c r="T1048504" s="41" t="n">
        <f aca="false">IFERROR(__xludf.dummyfunction("""COMPUTED_VALUE"""),7926)</f>
        <v>7926</v>
      </c>
      <c r="U1048504" s="41" t="n">
        <f aca="false">IFERROR(__xludf.dummyfunction("""COMPUTED_VALUE"""),23119)</f>
        <v>23119</v>
      </c>
      <c r="V1048504" s="40" t="n">
        <f aca="false">IFERROR(__xludf.dummyfunction("""COMPUTED_VALUE"""),46183)</f>
        <v>46183</v>
      </c>
      <c r="W1048504" s="39" t="str">
        <f aca="false">IFERROR(__xludf.dummyfunction("""COMPUTED_VALUE"""),"Hoàn thành XB")</f>
        <v>Hoàn thành XB</v>
      </c>
      <c r="X1048504" s="41" t="str">
        <f aca="false">IFERROR(__xludf.dummyfunction("""COMPUTED_VALUE"""),"Huent7")</f>
        <v>Huent7</v>
      </c>
      <c r="Y1048504" s="44"/>
      <c r="Z1048504" s="57"/>
      <c r="AA1048504" s="57"/>
      <c r="AB1048504" s="41" t="n">
        <f aca="false">IFERROR(__xludf.dummyfunction("""COMPUTED_VALUE"""),6)</f>
        <v>6</v>
      </c>
      <c r="AC1048504" s="57"/>
      <c r="AD1048504" s="46"/>
      <c r="AE1048504" s="46"/>
      <c r="AF1048504" s="47" t="str">
        <f aca="false">IFERROR(__xludf.dummyfunction("""COMPUTED_VALUE"""),"lophoctoan-946180")</f>
        <v>lophoctoan-946180</v>
      </c>
      <c r="AG1048504" s="46" t="str">
        <f aca="false">IFERROR(__xludf.dummyfunction("""COMPUTED_VALUE"""),"")</f>
        <v/>
      </c>
      <c r="AH1048504" s="53" t="b">
        <f aca="false">IFERROR(__xludf.dummyfunction("""COMPUTED_VALUE"""),TRUE())</f>
        <v>1</v>
      </c>
      <c r="AI1048504" s="35"/>
      <c r="AJ1048504" s="35"/>
      <c r="AK1048504" s="35"/>
      <c r="AL1048504" s="35"/>
      <c r="AM1048504" s="35"/>
      <c r="AN1048504" s="35"/>
      <c r="AO1048504" s="46"/>
    </row>
    <row r="1048505" customFormat="false" ht="15.75" hidden="false" customHeight="true" outlineLevel="0" collapsed="false">
      <c r="A1048505" s="37" t="str">
        <f aca="false">IFERROR(__xludf.dummyfunction("""COMPUTED_VALUE"""),"Toán")</f>
        <v>Toán</v>
      </c>
      <c r="B1048505" s="37" t="str">
        <f aca="false">IFERROR(__xludf.dummyfunction("""COMPUTED_VALUE"""),"NT_N_08")</f>
        <v>NT_N_08</v>
      </c>
      <c r="C1048505" s="38" t="str">
        <f aca="false">IFERROR(__xludf.dummyfunction("""COMPUTED_VALUE"""),"Cực trị của hàm số (P2)")</f>
        <v>Cực trị của hàm số (P2)</v>
      </c>
      <c r="D1048505" s="39" t="str">
        <f aca="false">IFERROR(__xludf.dummyfunction("""COMPUTED_VALUE"""),"Nguyễn Hoài Nam")</f>
        <v>Nguyễn Hoài Nam</v>
      </c>
      <c r="E1048505" s="40" t="n">
        <f aca="false">IFERROR(__xludf.dummyfunction("""COMPUTED_VALUE"""),46182)</f>
        <v>46182</v>
      </c>
      <c r="F1048505" s="41" t="n">
        <f aca="false">IFERROR(__xludf.dummyfunction("""COMPUTED_VALUE"""),3)</f>
        <v>3</v>
      </c>
      <c r="G1048505" s="37" t="str">
        <f aca="false">IFERROR(__xludf.dummyfunction("""COMPUTED_VALUE"""),"21:00-22:30")</f>
        <v>21:00-22:30</v>
      </c>
      <c r="H1048505" s="42" t="str">
        <f aca="false">IFERROR(__xludf.dummyfunction("""COMPUTED_VALUE"""),"https://hocmai.vn/mod/scorm/view_file.php?inpopup=true&amp;id=180565")</f>
        <v>https://hocmai.vn/mod/scorm/view_file.php?inpopup=true&amp;id=180565</v>
      </c>
      <c r="I1048505" s="42" t="str">
        <f aca="false">IFERROR(__xludf.dummyfunction("""COMPUTED_VALUE"""),"https://hocmai.vn/mod/scorm/view_file.php?inpopup=true&amp;id=180568")</f>
        <v>https://hocmai.vn/mod/scorm/view_file.php?inpopup=true&amp;id=180568</v>
      </c>
      <c r="J1048505" s="42" t="str">
        <f aca="false">IFERROR(__xludf.dummyfunction("""COMPUTED_VALUE"""),"https://drive.google.com/drive/folders/1uQJIAcYibQZh_DS3p1MVsVXJY00XCjQ2?usp=drive_link")</f>
        <v>https://drive.google.com/drive/folders/1uQJIAcYibQZh_DS3p1MVsVXJY00XCjQ2?usp=drive_link</v>
      </c>
      <c r="K1048505" s="37" t="str">
        <f aca="false">IFERROR(__xludf.dummyfunction("""COMPUTED_VALUE"""),"lent")</f>
        <v>lent</v>
      </c>
      <c r="L1048505" s="37" t="str">
        <f aca="false">IFERROR(__xludf.dummyfunction("""COMPUTED_VALUE"""),"Lê Quốc Việt")</f>
        <v>Lê Quốc Việt</v>
      </c>
      <c r="M1048505" s="43" t="str">
        <f aca="false">IFERROR(__xludf.dummyfunction("""COMPUTED_VALUE"""),"https://hocmai.sharepoint.com/Education_Development/Lists/San_xuat_video/DispForm.aspx?ID=12195")</f>
        <v>https://hocmai.sharepoint.com/Education_Development/Lists/San_xuat_video/DispForm.aspx?ID=12195</v>
      </c>
      <c r="N1048505" s="58" t="n">
        <f aca="false">IFERROR(__xludf.dummyfunction("""COMPUTED_VALUE"""),3313)</f>
        <v>3313</v>
      </c>
      <c r="O1048505" s="41" t="n">
        <f aca="false">IFERROR(__xludf.dummyfunction("""COMPUTED_VALUE"""),166633)</f>
        <v>166633</v>
      </c>
      <c r="P1048505" s="41"/>
      <c r="Q1048505" s="41" t="n">
        <f aca="false">IFERROR(__xludf.dummyfunction("""COMPUTED_VALUE"""),8012)</f>
        <v>8012</v>
      </c>
      <c r="R1048505" s="41"/>
      <c r="S1048505" s="41"/>
      <c r="T1048505" s="41" t="n">
        <f aca="false">IFERROR(__xludf.dummyfunction("""COMPUTED_VALUE"""),8013)</f>
        <v>8013</v>
      </c>
      <c r="U1048505" s="41" t="n">
        <f aca="false">IFERROR(__xludf.dummyfunction("""COMPUTED_VALUE"""),23117)</f>
        <v>23117</v>
      </c>
      <c r="V1048505" s="40" t="n">
        <f aca="false">IFERROR(__xludf.dummyfunction("""COMPUTED_VALUE"""),46182)</f>
        <v>46182</v>
      </c>
      <c r="W1048505" s="39" t="str">
        <f aca="false">IFERROR(__xludf.dummyfunction("""COMPUTED_VALUE"""),"Hoàn thành XB")</f>
        <v>Hoàn thành XB</v>
      </c>
      <c r="X1048505" s="41" t="str">
        <f aca="false">IFERROR(__xludf.dummyfunction("""COMPUTED_VALUE"""),"Huent7")</f>
        <v>Huent7</v>
      </c>
      <c r="Y1048505" s="44"/>
      <c r="Z1048505" s="57"/>
      <c r="AA1048505" s="57"/>
      <c r="AB1048505" s="41" t="n">
        <f aca="false">IFERROR(__xludf.dummyfunction("""COMPUTED_VALUE"""),6)</f>
        <v>6</v>
      </c>
      <c r="AC1048505" s="57"/>
      <c r="AD1048505" s="46"/>
      <c r="AE1048505" s="46"/>
      <c r="AF1048505" s="47" t="str">
        <f aca="false">IFERROR(__xludf.dummyfunction("""COMPUTED_VALUE"""),"lophoctoan-946182")</f>
        <v>lophoctoan-946182</v>
      </c>
      <c r="AG1048505" s="46" t="str">
        <f aca="false">IFERROR(__xludf.dummyfunction("""COMPUTED_VALUE"""),"")</f>
        <v/>
      </c>
      <c r="AH1048505" s="53" t="b">
        <f aca="false">IFERROR(__xludf.dummyfunction("""COMPUTED_VALUE"""),TRUE())</f>
        <v>1</v>
      </c>
      <c r="AI1048505" s="35"/>
      <c r="AJ1048505" s="35"/>
      <c r="AK1048505" s="35"/>
      <c r="AL1048505" s="35"/>
      <c r="AM1048505" s="35"/>
      <c r="AN1048505" s="35"/>
      <c r="AO1048505" s="46"/>
    </row>
    <row r="1048506" customFormat="false" ht="15.75" hidden="false" customHeight="true" outlineLevel="0" collapsed="false">
      <c r="A1048506" s="37" t="str">
        <f aca="false">IFERROR(__xludf.dummyfunction("""COMPUTED_VALUE"""),"Toán")</f>
        <v>Toán</v>
      </c>
      <c r="B1048506" s="37" t="str">
        <f aca="false">IFERROR(__xludf.dummyfunction("""COMPUTED_VALUE"""),"NT_T_23")</f>
        <v>NT_T_23</v>
      </c>
      <c r="C1048506" s="38" t="str">
        <f aca="false">IFERROR(__xludf.dummyfunction("""COMPUTED_VALUE"""),"Hệ trục tọa độ Oxyz (P2)")</f>
        <v>Hệ trục tọa độ Oxyz (P2)</v>
      </c>
      <c r="D1048506" s="39" t="str">
        <f aca="false">IFERROR(__xludf.dummyfunction("""COMPUTED_VALUE"""),"Nguyễn Thanh Tùng")</f>
        <v>Nguyễn Thanh Tùng</v>
      </c>
      <c r="E1048506" s="40" t="n">
        <f aca="false">IFERROR(__xludf.dummyfunction("""COMPUTED_VALUE"""),46183)</f>
        <v>46183</v>
      </c>
      <c r="F1048506" s="41" t="n">
        <f aca="false">IFERROR(__xludf.dummyfunction("""COMPUTED_VALUE"""),4)</f>
        <v>4</v>
      </c>
      <c r="G1048506" s="37" t="str">
        <f aca="false">IFERROR(__xludf.dummyfunction("""COMPUTED_VALUE"""),"20:00-22:00")</f>
        <v>20:00-22:00</v>
      </c>
      <c r="H1048506" s="42" t="str">
        <f aca="false">IFERROR(__xludf.dummyfunction("""COMPUTED_VALUE"""),"https://hocmai.vn/mod/scorm/view_file.php?id=180560")</f>
        <v>https://hocmai.vn/mod/scorm/view_file.php?id=180560</v>
      </c>
      <c r="I1048506" s="42" t="str">
        <f aca="false">IFERROR(__xludf.dummyfunction("""COMPUTED_VALUE"""),"https://hocmai.vn/mod/scorm/view_file.php?id=180942")</f>
        <v>https://hocmai.vn/mod/scorm/view_file.php?id=180942</v>
      </c>
      <c r="J1048506" s="55" t="str">
        <f aca="false">IFERROR(__xludf.dummyfunction("""COMPUTED_VALUE"""),"https://drive.google.com/drive/folders/11T-F4N5lJjdVw3OviiJyNdn00NroY9bR?usp=drive_link")</f>
        <v>https://drive.google.com/drive/folders/11T-F4N5lJjdVw3OviiJyNdn00NroY9bR?usp=drive_link</v>
      </c>
      <c r="K1048506" s="37" t="str">
        <f aca="false">IFERROR(__xludf.dummyfunction("""COMPUTED_VALUE"""),"Chientd2")</f>
        <v>Chientd2</v>
      </c>
      <c r="L1048506" s="37" t="str">
        <f aca="false">IFERROR(__xludf.dummyfunction("""COMPUTED_VALUE"""),"Tưởng Thị Huyền Trang")</f>
        <v>Tưởng Thị Huyền Trang</v>
      </c>
      <c r="M1048506" s="43" t="str">
        <f aca="false">IFERROR(__xludf.dummyfunction("""COMPUTED_VALUE"""),"https://hocmai.sharepoint.com/Education_Development/Lists/San_xuat_video/DispForm.aspx?ID=12162")</f>
        <v>https://hocmai.sharepoint.com/Education_Development/Lists/San_xuat_video/DispForm.aspx?ID=12162</v>
      </c>
      <c r="N1048506" s="41" t="n">
        <f aca="false">IFERROR(__xludf.dummyfunction("""COMPUTED_VALUE"""),3312)</f>
        <v>3312</v>
      </c>
      <c r="O1048506" s="41" t="n">
        <f aca="false">IFERROR(__xludf.dummyfunction("""COMPUTED_VALUE"""),166556)</f>
        <v>166556</v>
      </c>
      <c r="P1048506" s="41"/>
      <c r="Q1048506" s="41" t="n">
        <f aca="false">IFERROR(__xludf.dummyfunction("""COMPUTED_VALUE"""),7927)</f>
        <v>7927</v>
      </c>
      <c r="R1048506" s="41"/>
      <c r="S1048506" s="41"/>
      <c r="T1048506" s="41" t="n">
        <f aca="false">IFERROR(__xludf.dummyfunction("""COMPUTED_VALUE"""),7928)</f>
        <v>7928</v>
      </c>
      <c r="U1048506" s="41" t="n">
        <f aca="false">IFERROR(__xludf.dummyfunction("""COMPUTED_VALUE"""),23412)</f>
        <v>23412</v>
      </c>
      <c r="V1048506" s="40" t="n">
        <f aca="false">IFERROR(__xludf.dummyfunction("""COMPUTED_VALUE"""),46186)</f>
        <v>46186</v>
      </c>
      <c r="W1048506" s="39" t="str">
        <f aca="false">IFERROR(__xludf.dummyfunction("""COMPUTED_VALUE"""),"Hoàn thành XB")</f>
        <v>Hoàn thành XB</v>
      </c>
      <c r="X1048506" s="41" t="str">
        <f aca="false">IFERROR(__xludf.dummyfunction("""COMPUTED_VALUE"""),"Huent7")</f>
        <v>Huent7</v>
      </c>
      <c r="Y1048506" s="44"/>
      <c r="Z1048506" s="57"/>
      <c r="AA1048506" s="57"/>
      <c r="AB1048506" s="41" t="n">
        <f aca="false">IFERROR(__xludf.dummyfunction("""COMPUTED_VALUE"""),6)</f>
        <v>6</v>
      </c>
      <c r="AC1048506" s="57"/>
      <c r="AD1048506" s="46" t="str">
        <f aca="false">IFERROR(__xludf.dummyfunction("""COMPUTED_VALUE"""),"Ko có intro, outro, link API sx không đúng thứ tự mà bài giảng vẫn chạy =&gt; Đã báo kĩ thuật")</f>
        <v>Ko có intro, outro, link API sx không đúng thứ tự mà bài giảng vẫn chạy =&gt; Đã báo kĩ thuật</v>
      </c>
      <c r="AE1048506" s="46"/>
      <c r="AF1048506" s="47" t="str">
        <f aca="false">IFERROR(__xludf.dummyfunction("""COMPUTED_VALUE"""),"lophoctoan-946183")</f>
        <v>lophoctoan-946183</v>
      </c>
      <c r="AG1048506" s="46" t="str">
        <f aca="false">IFERROR(__xludf.dummyfunction("""COMPUTED_VALUE"""),"")</f>
        <v/>
      </c>
      <c r="AH1048506" s="53" t="b">
        <f aca="false">IFERROR(__xludf.dummyfunction("""COMPUTED_VALUE"""),TRUE())</f>
        <v>1</v>
      </c>
      <c r="AI1048506" s="35"/>
      <c r="AJ1048506" s="35"/>
      <c r="AK1048506" s="35"/>
      <c r="AL1048506" s="35"/>
      <c r="AM1048506" s="35"/>
      <c r="AN1048506" s="35"/>
      <c r="AO1048506" s="46"/>
    </row>
    <row r="1048507" customFormat="false" ht="15.75" hidden="false" customHeight="true" outlineLevel="0" collapsed="false">
      <c r="A1048507" s="37" t="str">
        <f aca="false">IFERROR(__xludf.dummyfunction("""COMPUTED_VALUE"""),"Toán")</f>
        <v>Toán</v>
      </c>
      <c r="B1048507" s="37" t="str">
        <f aca="false">IFERROR(__xludf.dummyfunction("""COMPUTED_VALUE"""),"NT_T_24")</f>
        <v>NT_T_24</v>
      </c>
      <c r="C1048507" s="59" t="str">
        <f aca="false">IFERROR(__xludf.dummyfunction("""COMPUTED_VALUE"""),"Ứng dụng vectơ và hệ tọa độ trong các bài toán thực tế")</f>
        <v>Ứng dụng vectơ và hệ tọa độ trong các bài toán thực tế</v>
      </c>
      <c r="D1048507" s="39" t="str">
        <f aca="false">IFERROR(__xludf.dummyfunction("""COMPUTED_VALUE"""),"Nguyễn Thanh Tùng")</f>
        <v>Nguyễn Thanh Tùng</v>
      </c>
      <c r="E1048507" s="40" t="n">
        <f aca="false">IFERROR(__xludf.dummyfunction("""COMPUTED_VALUE"""),46186)</f>
        <v>46186</v>
      </c>
      <c r="F1048507" s="41" t="n">
        <f aca="false">IFERROR(__xludf.dummyfunction("""COMPUTED_VALUE"""),7)</f>
        <v>7</v>
      </c>
      <c r="G1048507" s="37" t="str">
        <f aca="false">IFERROR(__xludf.dummyfunction("""COMPUTED_VALUE"""),"20:00-22:00")</f>
        <v>20:00-22:00</v>
      </c>
      <c r="H1048507" s="42" t="str">
        <f aca="false">IFERROR(__xludf.dummyfunction("""COMPUTED_VALUE"""),"https://hocmai.vn/mod/scorm/view_file.php?id=180921")</f>
        <v>https://hocmai.vn/mod/scorm/view_file.php?id=180921</v>
      </c>
      <c r="I1048507" s="42" t="str">
        <f aca="false">IFERROR(__xludf.dummyfunction("""COMPUTED_VALUE"""),"https://hocmai.vn/mod/scorm/view_file.php?id=180979")</f>
        <v>https://hocmai.vn/mod/scorm/view_file.php?id=180979</v>
      </c>
      <c r="J1048507" s="55" t="str">
        <f aca="false">IFERROR(__xludf.dummyfunction("""COMPUTED_VALUE"""),"https://drive.google.com/drive/folders/1-h4iYOvBqYXrsAGl4TjolBwLq6MDhzWY?usp=drive_link")</f>
        <v>https://drive.google.com/drive/folders/1-h4iYOvBqYXrsAGl4TjolBwLq6MDhzWY?usp=drive_link</v>
      </c>
      <c r="K1048507" s="37" t="str">
        <f aca="false">IFERROR(__xludf.dummyfunction("""COMPUTED_VALUE"""),"Chientd2")</f>
        <v>Chientd2</v>
      </c>
      <c r="L1048507" s="37" t="str">
        <f aca="false">IFERROR(__xludf.dummyfunction("""COMPUTED_VALUE"""),"Tưởng Thị Huyền Trang")</f>
        <v>Tưởng Thị Huyền Trang</v>
      </c>
      <c r="M1048507" s="43" t="str">
        <f aca="false">IFERROR(__xludf.dummyfunction("""COMPUTED_VALUE"""),"https://hocmai.sharepoint.com/Education_Development/Lists/San_xuat_video/DispForm.aspx?ID=12163")</f>
        <v>https://hocmai.sharepoint.com/Education_Development/Lists/San_xuat_video/DispForm.aspx?ID=12163</v>
      </c>
      <c r="N1048507" s="41" t="n">
        <f aca="false">IFERROR(__xludf.dummyfunction("""COMPUTED_VALUE"""),3312)</f>
        <v>3312</v>
      </c>
      <c r="O1048507" s="41" t="n">
        <f aca="false">IFERROR(__xludf.dummyfunction("""COMPUTED_VALUE"""),166557)</f>
        <v>166557</v>
      </c>
      <c r="P1048507" s="41"/>
      <c r="Q1048507" s="41" t="n">
        <f aca="false">IFERROR(__xludf.dummyfunction("""COMPUTED_VALUE"""),7929)</f>
        <v>7929</v>
      </c>
      <c r="R1048507" s="41"/>
      <c r="S1048507" s="41"/>
      <c r="T1048507" s="41" t="n">
        <f aca="false">IFERROR(__xludf.dummyfunction("""COMPUTED_VALUE"""),7930)</f>
        <v>7930</v>
      </c>
      <c r="U1048507" s="41" t="n">
        <f aca="false">IFERROR(__xludf.dummyfunction("""COMPUTED_VALUE"""),23451)</f>
        <v>23451</v>
      </c>
      <c r="V1048507" s="40" t="n">
        <f aca="false">IFERROR(__xludf.dummyfunction("""COMPUTED_VALUE"""),46189)</f>
        <v>46189</v>
      </c>
      <c r="W1048507" s="39" t="str">
        <f aca="false">IFERROR(__xludf.dummyfunction("""COMPUTED_VALUE"""),"Hoàn thành XB")</f>
        <v>Hoàn thành XB</v>
      </c>
      <c r="X1048507" s="41" t="str">
        <f aca="false">IFERROR(__xludf.dummyfunction("""COMPUTED_VALUE"""),"Huent7")</f>
        <v>Huent7</v>
      </c>
      <c r="Y1048507" s="44"/>
      <c r="Z1048507" s="57"/>
      <c r="AA1048507" s="57"/>
      <c r="AB1048507" s="41" t="n">
        <f aca="false">IFERROR(__xludf.dummyfunction("""COMPUTED_VALUE"""),6)</f>
        <v>6</v>
      </c>
      <c r="AC1048507" s="57"/>
      <c r="AD1048507" s="46" t="str">
        <f aca="false">IFERROR(__xludf.dummyfunction("""COMPUTED_VALUE"""),"Ko có intro,")</f>
        <v>Ko có intro,</v>
      </c>
      <c r="AE1048507" s="46"/>
      <c r="AF1048507" s="47" t="str">
        <f aca="false">IFERROR(__xludf.dummyfunction("""COMPUTED_VALUE"""),"lophoctoan-946186")</f>
        <v>lophoctoan-946186</v>
      </c>
      <c r="AG1048507" s="46" t="str">
        <f aca="false">IFERROR(__xludf.dummyfunction("""COMPUTED_VALUE"""),"")</f>
        <v/>
      </c>
      <c r="AH1048507" s="53" t="b">
        <f aca="false">IFERROR(__xludf.dummyfunction("""COMPUTED_VALUE"""),TRUE())</f>
        <v>1</v>
      </c>
      <c r="AI1048507" s="35"/>
      <c r="AJ1048507" s="35"/>
      <c r="AK1048507" s="35"/>
      <c r="AL1048507" s="35"/>
      <c r="AM1048507" s="35"/>
      <c r="AN1048507" s="35"/>
      <c r="AO1048507" s="46"/>
    </row>
    <row r="1048508" customFormat="false" ht="15.75" hidden="false" customHeight="true" outlineLevel="0" collapsed="false">
      <c r="A1048508" s="37" t="str">
        <f aca="false">IFERROR(__xludf.dummyfunction("""COMPUTED_VALUE"""),"Toán")</f>
        <v>Toán</v>
      </c>
      <c r="B1048508" s="37" t="str">
        <f aca="false">IFERROR(__xludf.dummyfunction("""COMPUTED_VALUE"""),"NT_N_09")</f>
        <v>NT_N_09</v>
      </c>
      <c r="C1048508" s="39" t="str">
        <f aca="false">IFERROR(__xludf.dummyfunction("""COMPUTED_VALUE"""),"Min – max của hàm số")</f>
        <v>Min – max của hàm số</v>
      </c>
      <c r="D1048508" s="39" t="str">
        <f aca="false">IFERROR(__xludf.dummyfunction("""COMPUTED_VALUE"""),"Nguyễn Hoài Nam")</f>
        <v>Nguyễn Hoài Nam</v>
      </c>
      <c r="E1048508" s="40" t="n">
        <f aca="false">IFERROR(__xludf.dummyfunction("""COMPUTED_VALUE"""),46187)</f>
        <v>46187</v>
      </c>
      <c r="F1048508" s="41" t="str">
        <f aca="false">IFERROR(__xludf.dummyfunction("""COMPUTED_VALUE"""),"CN")</f>
        <v>CN</v>
      </c>
      <c r="G1048508" s="37" t="str">
        <f aca="false">IFERROR(__xludf.dummyfunction("""COMPUTED_VALUE"""),"21:00-22:30")</f>
        <v>21:00-22:30</v>
      </c>
      <c r="H1048508" s="42" t="str">
        <f aca="false">IFERROR(__xludf.dummyfunction("""COMPUTED_VALUE"""),"https://hocmai.vn/mod/scorm/view_file.php?inpopup=true&amp;id=180926")</f>
        <v>https://hocmai.vn/mod/scorm/view_file.php?inpopup=true&amp;id=180926</v>
      </c>
      <c r="I1048508" s="42" t="str">
        <f aca="false">IFERROR(__xludf.dummyfunction("""COMPUTED_VALUE"""),"https://hocmai.vn/mod/scorm/view_file.php?inpopup=true&amp;id=180927")</f>
        <v>https://hocmai.vn/mod/scorm/view_file.php?inpopup=true&amp;id=180927</v>
      </c>
      <c r="J1048508" s="42" t="str">
        <f aca="false">IFERROR(__xludf.dummyfunction("""COMPUTED_VALUE"""),"https://drive.google.com/drive/folders/1NG8TCHJCwEcbGNufeRUQEeedUv_i2bxl?usp=drive_link")</f>
        <v>https://drive.google.com/drive/folders/1NG8TCHJCwEcbGNufeRUQEeedUv_i2bxl?usp=drive_link</v>
      </c>
      <c r="K1048508" s="37" t="str">
        <f aca="false">IFERROR(__xludf.dummyfunction("""COMPUTED_VALUE"""),"lent")</f>
        <v>lent</v>
      </c>
      <c r="L1048508" s="37" t="str">
        <f aca="false">IFERROR(__xludf.dummyfunction("""COMPUTED_VALUE"""),"Tưởng Thị Huyền Trang")</f>
        <v>Tưởng Thị Huyền Trang</v>
      </c>
      <c r="M1048508" s="43" t="str">
        <f aca="false">IFERROR(__xludf.dummyfunction("""COMPUTED_VALUE"""),"https://hocmai.sharepoint.com/Education_Development/Lists/San_xuat_video/DispForm.aspx?ID=12196")</f>
        <v>https://hocmai.sharepoint.com/Education_Development/Lists/San_xuat_video/DispForm.aspx?ID=12196</v>
      </c>
      <c r="N1048508" s="58" t="n">
        <f aca="false">IFERROR(__xludf.dummyfunction("""COMPUTED_VALUE"""),3313)</f>
        <v>3313</v>
      </c>
      <c r="O1048508" s="41" t="n">
        <f aca="false">IFERROR(__xludf.dummyfunction("""COMPUTED_VALUE"""),166634)</f>
        <v>166634</v>
      </c>
      <c r="P1048508" s="41"/>
      <c r="Q1048508" s="41" t="n">
        <f aca="false">IFERROR(__xludf.dummyfunction("""COMPUTED_VALUE"""),8014)</f>
        <v>8014</v>
      </c>
      <c r="R1048508" s="41"/>
      <c r="S1048508" s="41"/>
      <c r="T1048508" s="41" t="n">
        <f aca="false">IFERROR(__xludf.dummyfunction("""COMPUTED_VALUE"""),8015)</f>
        <v>8015</v>
      </c>
      <c r="U1048508" s="41" t="n">
        <f aca="false">IFERROR(__xludf.dummyfunction("""COMPUTED_VALUE"""),23415)</f>
        <v>23415</v>
      </c>
      <c r="V1048508" s="40" t="n">
        <f aca="false">IFERROR(__xludf.dummyfunction("""COMPUTED_VALUE"""),46189)</f>
        <v>46189</v>
      </c>
      <c r="W1048508" s="39" t="str">
        <f aca="false">IFERROR(__xludf.dummyfunction("""COMPUTED_VALUE"""),"Hoàn thành XB")</f>
        <v>Hoàn thành XB</v>
      </c>
      <c r="X1048508" s="41" t="str">
        <f aca="false">IFERROR(__xludf.dummyfunction("""COMPUTED_VALUE"""),"Huent7")</f>
        <v>Huent7</v>
      </c>
      <c r="Y1048508" s="44"/>
      <c r="Z1048508" s="57"/>
      <c r="AA1048508" s="57"/>
      <c r="AB1048508" s="41" t="n">
        <f aca="false">IFERROR(__xludf.dummyfunction("""COMPUTED_VALUE"""),6)</f>
        <v>6</v>
      </c>
      <c r="AC1048508" s="57" t="str">
        <f aca="false">IFERROR(__xludf.dummyfunction("""COMPUTED_VALUE"""),"Ko có intro =&gt; Đã báo")</f>
        <v>Ko có intro =&gt; Đã báo</v>
      </c>
      <c r="AD1048508" s="46"/>
      <c r="AE1048508" s="46"/>
      <c r="AF1048508" s="47" t="str">
        <f aca="false">IFERROR(__xludf.dummyfunction("""COMPUTED_VALUE"""),"lophoctoan-946187")</f>
        <v>lophoctoan-946187</v>
      </c>
      <c r="AG1048508" s="46" t="str">
        <f aca="false">IFERROR(__xludf.dummyfunction("""COMPUTED_VALUE"""),"")</f>
        <v/>
      </c>
      <c r="AH1048508" s="53" t="b">
        <f aca="false">IFERROR(__xludf.dummyfunction("""COMPUTED_VALUE"""),TRUE())</f>
        <v>1</v>
      </c>
      <c r="AI1048508" s="35"/>
      <c r="AJ1048508" s="35"/>
      <c r="AK1048508" s="35"/>
      <c r="AL1048508" s="35"/>
      <c r="AM1048508" s="35"/>
      <c r="AN1048508" s="35"/>
      <c r="AO1048508" s="46"/>
    </row>
    <row r="1048509" customFormat="false" ht="15.75" hidden="false" customHeight="true" outlineLevel="0" collapsed="false">
      <c r="A1048509" s="37" t="str">
        <f aca="false">IFERROR(__xludf.dummyfunction("""COMPUTED_VALUE"""),"Toán")</f>
        <v>Toán</v>
      </c>
      <c r="B1048509" s="37" t="str">
        <f aca="false">IFERROR(__xludf.dummyfunction("""COMPUTED_VALUE"""),"NT_T_25")</f>
        <v>NT_T_25</v>
      </c>
      <c r="C1048509" s="59" t="str">
        <f aca="false">IFERROR(__xludf.dummyfunction("""COMPUTED_VALUE"""),"Tổng quan về nguyên hàm")</f>
        <v>Tổng quan về nguyên hàm</v>
      </c>
      <c r="D1048509" s="39" t="str">
        <f aca="false">IFERROR(__xludf.dummyfunction("""COMPUTED_VALUE"""),"Nguyễn Thanh Tùng")</f>
        <v>Nguyễn Thanh Tùng</v>
      </c>
      <c r="E1048509" s="40" t="n">
        <f aca="false">IFERROR(__xludf.dummyfunction("""COMPUTED_VALUE"""),46187)</f>
        <v>46187</v>
      </c>
      <c r="F1048509" s="41" t="str">
        <f aca="false">IFERROR(__xludf.dummyfunction("""COMPUTED_VALUE"""),"CN")</f>
        <v>CN</v>
      </c>
      <c r="G1048509" s="37" t="str">
        <f aca="false">IFERROR(__xludf.dummyfunction("""COMPUTED_VALUE"""),"18:00-20:00")</f>
        <v>18:00-20:00</v>
      </c>
      <c r="H1048509" s="42" t="str">
        <f aca="false">IFERROR(__xludf.dummyfunction("""COMPUTED_VALUE"""),"https://hocmai.vn/mod/scorm/view_file.php?id=180922")</f>
        <v>https://hocmai.vn/mod/scorm/view_file.php?id=180922</v>
      </c>
      <c r="I1048509" s="42" t="str">
        <f aca="false">IFERROR(__xludf.dummyfunction("""COMPUTED_VALUE"""),"https://hocmai.vn/mod/scorm/view_file.php?id=180987")</f>
        <v>https://hocmai.vn/mod/scorm/view_file.php?id=180987</v>
      </c>
      <c r="J1048509" s="42" t="str">
        <f aca="false">IFERROR(__xludf.dummyfunction("""COMPUTED_VALUE"""),"https://drive.google.com/drive/folders/1c6ls30QeA9CZ9XM67E8QYPIJhUgUVdmU?usp=drive_link")</f>
        <v>https://drive.google.com/drive/folders/1c6ls30QeA9CZ9XM67E8QYPIJhUgUVdmU?usp=drive_link</v>
      </c>
      <c r="K1048509" s="68" t="str">
        <f aca="false">IFERROR(__xludf.dummyfunction("""COMPUTED_VALUE"""),"Chientd2")</f>
        <v>Chientd2</v>
      </c>
      <c r="L1048509" s="68" t="str">
        <f aca="false">IFERROR(__xludf.dummyfunction("""COMPUTED_VALUE"""),"Tưởng Thị Huyền Trang")</f>
        <v>Tưởng Thị Huyền Trang</v>
      </c>
      <c r="M1048509" s="69" t="str">
        <f aca="false">IFERROR(__xludf.dummyfunction("""COMPUTED_VALUE"""),"https://hocmai.sharepoint.com/Education_Development/Lists/San_xuat_video/DispForm.aspx?ID=12164")</f>
        <v>https://hocmai.sharepoint.com/Education_Development/Lists/San_xuat_video/DispForm.aspx?ID=12164</v>
      </c>
      <c r="N1048509" s="41" t="n">
        <f aca="false">IFERROR(__xludf.dummyfunction("""COMPUTED_VALUE"""),3312)</f>
        <v>3312</v>
      </c>
      <c r="O1048509" s="63" t="n">
        <f aca="false">IFERROR(__xludf.dummyfunction("""COMPUTED_VALUE"""),166558)</f>
        <v>166558</v>
      </c>
      <c r="P1048509" s="63"/>
      <c r="Q1048509" s="63" t="n">
        <f aca="false">IFERROR(__xludf.dummyfunction("""COMPUTED_VALUE"""),7932)</f>
        <v>7932</v>
      </c>
      <c r="R1048509" s="41"/>
      <c r="S1048509" s="41"/>
      <c r="T1048509" s="63" t="n">
        <f aca="false">IFERROR(__xludf.dummyfunction("""COMPUTED_VALUE"""),7933)</f>
        <v>7933</v>
      </c>
      <c r="U1048509" s="63" t="n">
        <f aca="false">IFERROR(__xludf.dummyfunction("""COMPUTED_VALUE"""),23513)</f>
        <v>23513</v>
      </c>
      <c r="V1048509" s="70" t="n">
        <f aca="false">IFERROR(__xludf.dummyfunction("""COMPUTED_VALUE"""),46190)</f>
        <v>46190</v>
      </c>
      <c r="W1048509" s="39" t="str">
        <f aca="false">IFERROR(__xludf.dummyfunction("""COMPUTED_VALUE"""),"Hoàn thành XB")</f>
        <v>Hoàn thành XB</v>
      </c>
      <c r="X1048509" s="41" t="str">
        <f aca="false">IFERROR(__xludf.dummyfunction("""COMPUTED_VALUE"""),"Huent7")</f>
        <v>Huent7</v>
      </c>
      <c r="Y1048509" s="44"/>
      <c r="Z1048509" s="57"/>
      <c r="AA1048509" s="57"/>
      <c r="AB1048509" s="41" t="n">
        <f aca="false">IFERROR(__xludf.dummyfunction("""COMPUTED_VALUE"""),6)</f>
        <v>6</v>
      </c>
      <c r="AC1048509" s="57"/>
      <c r="AD1048509" s="46" t="str">
        <f aca="false">IFERROR(__xludf.dummyfunction("""COMPUTED_VALUE"""),"Ko có intro,")</f>
        <v>Ko có intro,</v>
      </c>
      <c r="AE1048509" s="46"/>
      <c r="AF1048509" s="47" t="str">
        <f aca="false">IFERROR(__xludf.dummyfunction("""COMPUTED_VALUE"""),"lophoctoan-946187")</f>
        <v>lophoctoan-946187</v>
      </c>
      <c r="AG1048509" s="46" t="str">
        <f aca="false">IFERROR(__xludf.dummyfunction("""COMPUTED_VALUE"""),"")</f>
        <v/>
      </c>
      <c r="AH1048509" s="53" t="b">
        <f aca="false">IFERROR(__xludf.dummyfunction("""COMPUTED_VALUE"""),TRUE())</f>
        <v>1</v>
      </c>
      <c r="AI1048509" s="35"/>
      <c r="AJ1048509" s="35"/>
      <c r="AK1048509" s="35"/>
      <c r="AL1048509" s="35"/>
      <c r="AM1048509" s="35"/>
      <c r="AN1048509" s="35"/>
      <c r="AO1048509" s="46"/>
    </row>
    <row r="1048510" customFormat="false" ht="15.75" hidden="false" customHeight="true" outlineLevel="0" collapsed="false">
      <c r="A1048510" s="37" t="str">
        <f aca="false">IFERROR(__xludf.dummyfunction("""COMPUTED_VALUE"""),"Đọc hiểu")</f>
        <v>Đọc hiểu</v>
      </c>
      <c r="B1048510" s="37" t="str">
        <f aca="false">IFERROR(__xludf.dummyfunction("""COMPUTED_VALUE"""),"TOV_TSA_DH01")</f>
        <v>TOV_TSA_DH01</v>
      </c>
      <c r="C1048510" s="59" t="str">
        <f aca="false">IFERROR(__xludf.dummyfunction("""COMPUTED_VALUE"""),"Một số mô hình tiếp nhận văn bản dài")</f>
        <v>Một số mô hình tiếp nhận văn bản dài</v>
      </c>
      <c r="D1048510" s="39" t="str">
        <f aca="false">IFERROR(__xludf.dummyfunction("""COMPUTED_VALUE"""),"Vũ Khắc Ngọc")</f>
        <v>Vũ Khắc Ngọc</v>
      </c>
      <c r="E1048510" s="40" t="n">
        <f aca="false">IFERROR(__xludf.dummyfunction("""COMPUTED_VALUE"""),46188)</f>
        <v>46188</v>
      </c>
      <c r="F1048510" s="41" t="n">
        <f aca="false">IFERROR(__xludf.dummyfunction("""COMPUTED_VALUE"""),2)</f>
        <v>2</v>
      </c>
      <c r="G1048510" s="37" t="str">
        <f aca="false">IFERROR(__xludf.dummyfunction("""COMPUTED_VALUE"""),"21:30-23:30")</f>
        <v>21:30-23:30</v>
      </c>
      <c r="H1048510" s="42" t="str">
        <f aca="false">IFERROR(__xludf.dummyfunction("""COMPUTED_VALUE"""),"https://hocmai.vn/mod/scorm/view_file.php?inpopup=true&amp;id=180946")</f>
        <v>https://hocmai.vn/mod/scorm/view_file.php?inpopup=true&amp;id=180946</v>
      </c>
      <c r="I1048510" s="42" t="str">
        <f aca="false">IFERROR(__xludf.dummyfunction("""COMPUTED_VALUE"""),"https://hocmai.vn/mod/scorm/view_file.php?inpopup=true&amp;id=180998")</f>
        <v>https://hocmai.vn/mod/scorm/view_file.php?inpopup=true&amp;id=180998</v>
      </c>
      <c r="J1048510" s="42" t="str">
        <f aca="false">IFERROR(__xludf.dummyfunction("""COMPUTED_VALUE"""),"https://drive.google.com/file/d/1MfxiPWY3wgiBfuRXDBDY-P5zUnveUufT/view?usp=drive_link")</f>
        <v>https://drive.google.com/file/d/1MfxiPWY3wgiBfuRXDBDY-P5zUnveUufT/view?usp=drive_link</v>
      </c>
      <c r="K1048510" s="68" t="str">
        <f aca="false">IFERROR(__xludf.dummyfunction("""COMPUTED_VALUE"""),"Hangvt3")</f>
        <v>Hangvt3</v>
      </c>
      <c r="L1048510" s="68" t="str">
        <f aca="false">IFERROR(__xludf.dummyfunction("""COMPUTED_VALUE"""),"Phan Đức Kiên")</f>
        <v>Phan Đức Kiên</v>
      </c>
      <c r="M1048510" s="71"/>
      <c r="N1048510" s="72" t="str">
        <f aca="false">IFERROR(__xludf.dummyfunction("""COMPUTED_VALUE"""),"3109")</f>
        <v>3109</v>
      </c>
      <c r="O1048510" s="63" t="n">
        <f aca="false">IFERROR(__xludf.dummyfunction("""COMPUTED_VALUE"""),167224)</f>
        <v>167224</v>
      </c>
      <c r="P1048510" s="63"/>
      <c r="Q1048510" s="63"/>
      <c r="R1048510" s="41"/>
      <c r="S1048510" s="41"/>
      <c r="T1048510" s="63"/>
      <c r="U1048510" s="63"/>
      <c r="V1048510" s="70" t="n">
        <f aca="false">IFERROR(__xludf.dummyfunction("""COMPUTED_VALUE"""),46191)</f>
        <v>46191</v>
      </c>
      <c r="W1048510" s="39" t="str">
        <f aca="false">IFERROR(__xludf.dummyfunction("""COMPUTED_VALUE"""),"Hoàn thành XB")</f>
        <v>Hoàn thành XB</v>
      </c>
      <c r="X1048510" s="41" t="str">
        <f aca="false">IFERROR(__xludf.dummyfunction("""COMPUTED_VALUE"""),"Hoantt")</f>
        <v>Hoantt</v>
      </c>
      <c r="Y1048510" s="44" t="str">
        <f aca="false">IFERROR(__xludf.dummyfunction("""COMPUTED_VALUE"""),"done")</f>
        <v>done</v>
      </c>
      <c r="Z1048510" s="57" t="str">
        <f aca="false">IFERROR(__xludf.dummyfunction("""COMPUTED_VALUE"""),"#N/A")</f>
        <v>#N/A</v>
      </c>
      <c r="AA1048510" s="57"/>
      <c r="AB1048510" s="41" t="n">
        <f aca="false">IFERROR(__xludf.dummyfunction("""COMPUTED_VALUE"""),6)</f>
        <v>6</v>
      </c>
      <c r="AC1048510" s="57" t="str">
        <f aca="false">IFERROR(__xludf.dummyfunction("""COMPUTED_VALUE"""),"gv.ngocvk@hocmai.edu.vn")</f>
        <v>gv.ngocvk@hocmai.edu.vn</v>
      </c>
      <c r="AD1048510" s="46" t="str">
        <f aca="false">IFERROR(__xludf.dummyfunction("""COMPUTED_VALUE"""),"duckien010607@gmail.com")</f>
        <v>duckien010607@gmail.com</v>
      </c>
      <c r="AE1048510" s="46"/>
      <c r="AF1048510" s="47" t="str">
        <f aca="false">IFERROR(__xludf.dummyfunction("""COMPUTED_VALUE"""),"lophoctoan-946188")</f>
        <v>lophoctoan-946188</v>
      </c>
      <c r="AG1048510" s="46" t="str">
        <f aca="false">IFERROR(__xludf.dummyfunction("""COMPUTED_VALUE"""),"")</f>
        <v/>
      </c>
      <c r="AH1048510" s="35"/>
      <c r="AI1048510" s="53" t="b">
        <f aca="false">IFERROR(__xludf.dummyfunction("""COMPUTED_VALUE"""),TRUE())</f>
        <v>1</v>
      </c>
      <c r="AJ1048510" s="35"/>
      <c r="AK1048510" s="35"/>
      <c r="AL1048510" s="35"/>
      <c r="AM1048510" s="35"/>
      <c r="AN1048510" s="35"/>
      <c r="AO1048510" s="46"/>
    </row>
    <row r="1048511" customFormat="false" ht="15.75" hidden="false" customHeight="true" outlineLevel="0" collapsed="false">
      <c r="A1048511" s="37" t="str">
        <f aca="false">IFERROR(__xludf.dummyfunction("""COMPUTED_VALUE"""),"Tiếng Anh")</f>
        <v>Tiếng Anh</v>
      </c>
      <c r="B1048511" s="37" t="str">
        <f aca="false">IFERROR(__xludf.dummyfunction("""COMPUTED_VALUE"""),"TOV_HV_TA01")</f>
        <v>TOV_HV_TA01</v>
      </c>
      <c r="C1048511" s="59" t="str">
        <f aca="false">IFERROR(__xludf.dummyfunction("""COMPUTED_VALUE"""),"Thì - Sự phối hợp thì - Hoà hợp chủ ngữ và động từ")</f>
        <v>Thì - Sự phối hợp thì - Hoà hợp chủ ngữ và động từ</v>
      </c>
      <c r="D1048511" s="39" t="str">
        <f aca="false">IFERROR(__xludf.dummyfunction("""COMPUTED_VALUE"""),"Nguyễn Thanh Hương")</f>
        <v>Nguyễn Thanh Hương</v>
      </c>
      <c r="E1048511" s="40" t="n">
        <f aca="false">IFERROR(__xludf.dummyfunction("""COMPUTED_VALUE"""),46188)</f>
        <v>46188</v>
      </c>
      <c r="F1048511" s="41" t="n">
        <f aca="false">IFERROR(__xludf.dummyfunction("""COMPUTED_VALUE"""),2)</f>
        <v>2</v>
      </c>
      <c r="G1048511" s="37" t="str">
        <f aca="false">IFERROR(__xludf.dummyfunction("""COMPUTED_VALUE"""),"20:00-22:00")</f>
        <v>20:00-22:00</v>
      </c>
      <c r="H1048511" s="42" t="str">
        <f aca="false">IFERROR(__xludf.dummyfunction("""COMPUTED_VALUE"""),"https://hocmai.vn/mod/scorm/view_file.php?inpopup=true&amp;id=180924")</f>
        <v>https://hocmai.vn/mod/scorm/view_file.php?inpopup=true&amp;id=180924</v>
      </c>
      <c r="I1048511" s="42" t="str">
        <f aca="false">IFERROR(__xludf.dummyfunction("""COMPUTED_VALUE"""),"https://hocmai.vn/mod/scorm/view_file.php?inpopup=true&amp;id=180982")</f>
        <v>https://hocmai.vn/mod/scorm/view_file.php?inpopup=true&amp;id=180982</v>
      </c>
      <c r="J1048511" s="42" t="str">
        <f aca="false">IFERROR(__xludf.dummyfunction("""COMPUTED_VALUE"""),"https://drive.google.com/file/d/1SPCCaOuv0GuSyB5YxIzi-xO3_bA7ub4c/view?usp=drive_link")</f>
        <v>https://drive.google.com/file/d/1SPCCaOuv0GuSyB5YxIzi-xO3_bA7ub4c/view?usp=drive_link</v>
      </c>
      <c r="K1048511" s="68" t="str">
        <f aca="false">IFERROR(__xludf.dummyfunction("""COMPUTED_VALUE"""),"Dienlt")</f>
        <v>Dienlt</v>
      </c>
      <c r="L1048511" s="68" t="str">
        <f aca="false">IFERROR(__xludf.dummyfunction("""COMPUTED_VALUE"""),"Nguyễn Lê Thụy Quyên ")</f>
        <v>Nguyễn Lê Thụy Quyên </v>
      </c>
      <c r="M1048511" s="71"/>
      <c r="N1048511" s="72" t="str">
        <f aca="false">IFERROR(__xludf.dummyfunction("""COMPUTED_VALUE"""),"3140,3165")</f>
        <v>3140,3165</v>
      </c>
      <c r="O1048511" s="73" t="n">
        <f aca="false">IFERROR(__xludf.dummyfunction("""COMPUTED_VALUE"""),167537.167605)</f>
        <v>167537.167605</v>
      </c>
      <c r="P1048511" s="63" t="str">
        <f aca="false">IFERROR(__xludf.dummyfunction("""COMPUTED_VALUE"""),"9030,9038,9047")</f>
        <v>9030,9038,9047</v>
      </c>
      <c r="Q1048511" s="63"/>
      <c r="R1048511" s="41"/>
      <c r="S1048511" s="41"/>
      <c r="T1048511" s="63"/>
      <c r="U1048511" s="63"/>
      <c r="V1048511" s="70" t="n">
        <f aca="false">IFERROR(__xludf.dummyfunction("""COMPUTED_VALUE"""),46191)</f>
        <v>46191</v>
      </c>
      <c r="W1048511" s="39" t="str">
        <f aca="false">IFERROR(__xludf.dummyfunction("""COMPUTED_VALUE"""),"Hoàn thành XB")</f>
        <v>Hoàn thành XB</v>
      </c>
      <c r="X1048511" s="41" t="str">
        <f aca="false">IFERROR(__xludf.dummyfunction("""COMPUTED_VALUE"""),"Dienlt")</f>
        <v>Dienlt</v>
      </c>
      <c r="Y1048511" s="44" t="str">
        <f aca="false">IFERROR(__xludf.dummyfunction("""COMPUTED_VALUE"""),"done")</f>
        <v>done</v>
      </c>
      <c r="Z1048511" s="57" t="str">
        <f aca="false">IFERROR(__xludf.dummyfunction("""COMPUTED_VALUE"""),"#N/A")</f>
        <v>#N/A</v>
      </c>
      <c r="AA1048511" s="57"/>
      <c r="AB1048511" s="41" t="n">
        <f aca="false">IFERROR(__xludf.dummyfunction("""COMPUTED_VALUE"""),6)</f>
        <v>6</v>
      </c>
      <c r="AC1048511" s="57" t="str">
        <f aca="false">IFERROR(__xludf.dummyfunction("""COMPUTED_VALUE"""),"gv.huongnt@hocmai.edu.vn ")</f>
        <v>gv.huongnt@hocmai.edu.vn </v>
      </c>
      <c r="AD1048511" s="46" t="str">
        <f aca="false">IFERROR(__xludf.dummyfunction("""COMPUTED_VALUE"""),"nguyenlethuyquyencp@gmail.com")</f>
        <v>nguyenlethuyquyencp@gmail.com</v>
      </c>
      <c r="AE1048511" s="46"/>
      <c r="AF1048511" s="47" t="str">
        <f aca="false">IFERROR(__xludf.dummyfunction("""COMPUTED_VALUE"""),"lophoctienganh46188")</f>
        <v>lophoctienganh46188</v>
      </c>
      <c r="AG1048511" s="46" t="str">
        <f aca="false">IFERROR(__xludf.dummyfunction("""COMPUTED_VALUE"""),"")</f>
        <v/>
      </c>
      <c r="AH1048511" s="35"/>
      <c r="AI1048511" s="35"/>
      <c r="AJ1048511" s="53" t="b">
        <f aca="false">IFERROR(__xludf.dummyfunction("""COMPUTED_VALUE"""),TRUE())</f>
        <v>1</v>
      </c>
      <c r="AK1048511" s="53" t="b">
        <f aca="false">IFERROR(__xludf.dummyfunction("""COMPUTED_VALUE"""),TRUE())</f>
        <v>1</v>
      </c>
      <c r="AL1048511" s="35"/>
      <c r="AM1048511" s="53" t="b">
        <f aca="false">IFERROR(__xludf.dummyfunction("""COMPUTED_VALUE"""),TRUE())</f>
        <v>1</v>
      </c>
      <c r="AN1048511" s="35"/>
      <c r="AO1048511" s="46"/>
    </row>
    <row r="1048512" customFormat="false" ht="15.75" hidden="false" customHeight="true" outlineLevel="0" collapsed="false">
      <c r="A1048512" s="42" t="str">
        <f aca="false">IFERROR(__xludf.dummyfunction("""COMPUTED_VALUE"""),"Hóa học")</f>
        <v>Hóa học</v>
      </c>
      <c r="B1048512" s="37" t="str">
        <f aca="false">IFERROR(__xludf.dummyfunction("""COMPUTED_VALUE"""),"TOV_HSA_HH01")</f>
        <v>TOV_HSA_HH01</v>
      </c>
      <c r="C1048512" s="59" t="str">
        <f aca="false">IFERROR(__xludf.dummyfunction("""COMPUTED_VALUE"""),"Cấu tạo nguyên tử")</f>
        <v>Cấu tạo nguyên tử</v>
      </c>
      <c r="D1048512" s="39" t="str">
        <f aca="false">IFERROR(__xludf.dummyfunction("""COMPUTED_VALUE"""),"Chu Hải Long")</f>
        <v>Chu Hải Long</v>
      </c>
      <c r="E1048512" s="40" t="n">
        <f aca="false">IFERROR(__xludf.dummyfunction("""COMPUTED_VALUE"""),46188)</f>
        <v>46188</v>
      </c>
      <c r="F1048512" s="41" t="n">
        <f aca="false">IFERROR(__xludf.dummyfunction("""COMPUTED_VALUE"""),2)</f>
        <v>2</v>
      </c>
      <c r="G1048512" s="37" t="str">
        <f aca="false">IFERROR(__xludf.dummyfunction("""COMPUTED_VALUE"""),"20:00-22:00")</f>
        <v>20:00-22:00</v>
      </c>
      <c r="H1048512" s="42" t="str">
        <f aca="false">IFERROR(__xludf.dummyfunction("""COMPUTED_VALUE"""),"https://hocmai.vn/mod/scorm/view_file.php?id=180576")</f>
        <v>https://hocmai.vn/mod/scorm/view_file.php?id=180576</v>
      </c>
      <c r="I1048512" s="42" t="str">
        <f aca="false">IFERROR(__xludf.dummyfunction("""COMPUTED_VALUE"""),"https://hocmai.vn/mod/scorm/view_file.php?id=181009")</f>
        <v>https://hocmai.vn/mod/scorm/view_file.php?id=181009</v>
      </c>
      <c r="J1048512" s="42" t="str">
        <f aca="false">IFERROR(__xludf.dummyfunction("""COMPUTED_VALUE"""),"1. TOV_HSA_HH01 – CẤU TẠO NGUYÊN TỬ")</f>
        <v>1. TOV_HSA_HH01 – CẤU TẠO NGUYÊN TỬ</v>
      </c>
      <c r="K1048512" s="68" t="str">
        <f aca="false">IFERROR(__xludf.dummyfunction("""COMPUTED_VALUE"""),"Huebt")</f>
        <v>Huebt</v>
      </c>
      <c r="L1048512" s="68" t="str">
        <f aca="false">IFERROR(__xludf.dummyfunction("""COMPUTED_VALUE"""),"Võ Hương Giang")</f>
        <v>Võ Hương Giang</v>
      </c>
      <c r="M1048512" s="71"/>
      <c r="N1048512" s="72" t="str">
        <f aca="false">IFERROR(__xludf.dummyfunction("""COMPUTED_VALUE"""),"3120")</f>
        <v>3120</v>
      </c>
      <c r="O1048512" s="63" t="n">
        <f aca="false">IFERROR(__xludf.dummyfunction("""COMPUTED_VALUE"""),167425)</f>
        <v>167425</v>
      </c>
      <c r="P1048512" s="63"/>
      <c r="Q1048512" s="63"/>
      <c r="R1048512" s="41"/>
      <c r="S1048512" s="41"/>
      <c r="T1048512" s="63" t="n">
        <f aca="false">IFERROR(__xludf.dummyfunction("""COMPUTED_VALUE"""),23524)</f>
        <v>23524</v>
      </c>
      <c r="U1048512" s="63" t="n">
        <f aca="false">IFERROR(__xludf.dummyfunction("""COMPUTED_VALUE"""),10478)</f>
        <v>10478</v>
      </c>
      <c r="V1048512" s="70" t="n">
        <f aca="false">IFERROR(__xludf.dummyfunction("""COMPUTED_VALUE"""),46191)</f>
        <v>46191</v>
      </c>
      <c r="W1048512" s="39" t="str">
        <f aca="false">IFERROR(__xludf.dummyfunction("""COMPUTED_VALUE"""),"Hoàn thành XB")</f>
        <v>Hoàn thành XB</v>
      </c>
      <c r="X1048512" s="41" t="str">
        <f aca="false">IFERROR(__xludf.dummyfunction("""COMPUTED_VALUE"""),"Huebt")</f>
        <v>Huebt</v>
      </c>
      <c r="Y1048512" s="44" t="str">
        <f aca="false">IFERROR(__xludf.dummyfunction("""COMPUTED_VALUE"""),"done")</f>
        <v>done</v>
      </c>
      <c r="Z1048512" s="57" t="str">
        <f aca="false">IFERROR(__xludf.dummyfunction("""COMPUTED_VALUE"""),"#N/A")</f>
        <v>#N/A</v>
      </c>
      <c r="AA1048512" s="57"/>
      <c r="AB1048512" s="41" t="n">
        <f aca="false">IFERROR(__xludf.dummyfunction("""COMPUTED_VALUE"""),6)</f>
        <v>6</v>
      </c>
      <c r="AC1048512" s="57" t="str">
        <f aca="false">IFERROR(__xludf.dummyfunction("""COMPUTED_VALUE"""),"gv.longch@hocmai.edu.vn")</f>
        <v>gv.longch@hocmai.edu.vn</v>
      </c>
      <c r="AD1048512" s="46" t="str">
        <f aca="false">IFERROR(__xludf.dummyfunction("""COMPUTED_VALUE"""),"giangvh@ctv.hocmai.vn")</f>
        <v>giangvh@ctv.hocmai.vn</v>
      </c>
      <c r="AE1048512" s="46"/>
      <c r="AF1048512" s="74" t="b">
        <f aca="false">IFERROR(__xludf.dummyfunction("""COMPUTED_VALUE"""),FALSE())</f>
        <v>0</v>
      </c>
      <c r="AG1048512" s="46" t="str">
        <f aca="false">IFERROR(__xludf.dummyfunction("""COMPUTED_VALUE"""),"")</f>
        <v/>
      </c>
      <c r="AH1048512" s="35"/>
      <c r="AI1048512" s="35"/>
      <c r="AJ1048512" s="53" t="b">
        <f aca="false">IFERROR(__xludf.dummyfunction("""COMPUTED_VALUE"""),TRUE())</f>
        <v>1</v>
      </c>
      <c r="AK1048512" s="53" t="b">
        <f aca="false">IFERROR(__xludf.dummyfunction("""COMPUTED_VALUE"""),TRUE())</f>
        <v>1</v>
      </c>
      <c r="AL1048512" s="35"/>
      <c r="AM1048512" s="35"/>
      <c r="AN1048512" s="35"/>
      <c r="AO1048512" s="46"/>
    </row>
    <row r="1048513" customFormat="false" ht="15.75" hidden="false" customHeight="true" outlineLevel="0" collapsed="false">
      <c r="A1048513" s="37" t="str">
        <f aca="false">IFERROR(__xludf.dummyfunction("""COMPUTED_VALUE"""),"Toán")</f>
        <v>Toán</v>
      </c>
      <c r="B1048513" s="37" t="str">
        <f aca="false">IFERROR(__xludf.dummyfunction("""COMPUTED_VALUE"""),"TOV_TC_T01")</f>
        <v>TOV_TC_T01</v>
      </c>
      <c r="C1048513" s="59" t="str">
        <f aca="false">IFERROR(__xludf.dummyfunction("""COMPUTED_VALUE"""),"Các dạng câu hỏi điển hình về hàm số (P1)")</f>
        <v>Các dạng câu hỏi điển hình về hàm số (P1)</v>
      </c>
      <c r="D1048513" s="39" t="str">
        <f aca="false">IFERROR(__xludf.dummyfunction("""COMPUTED_VALUE"""),"Nguyễn Thanh Tùng")</f>
        <v>Nguyễn Thanh Tùng</v>
      </c>
      <c r="E1048513" s="40" t="n">
        <f aca="false">IFERROR(__xludf.dummyfunction("""COMPUTED_VALUE"""),46189)</f>
        <v>46189</v>
      </c>
      <c r="F1048513" s="41" t="n">
        <f aca="false">IFERROR(__xludf.dummyfunction("""COMPUTED_VALUE"""),3)</f>
        <v>3</v>
      </c>
      <c r="G1048513" s="37" t="str">
        <f aca="false">IFERROR(__xludf.dummyfunction("""COMPUTED_VALUE"""),"21:00-23:00")</f>
        <v>21:00-23:00</v>
      </c>
      <c r="H1048513" s="42" t="str">
        <f aca="false">IFERROR(__xludf.dummyfunction("""COMPUTED_VALUE"""),"https://hocmai.vn/kho-tai-lieu/read.php?id=19937")</f>
        <v>https://hocmai.vn/kho-tai-lieu/read.php?id=19937</v>
      </c>
      <c r="I1048513" s="37"/>
      <c r="J1048513" s="42" t="str">
        <f aca="false">IFERROR(__xludf.dummyfunction("""COMPUTED_VALUE"""),"https://drive.google.com/drive/folders/1soJOy-ndjRXSxFDTUWlYedfvZAObXioF?usp=drive_link")</f>
        <v>https://drive.google.com/drive/folders/1soJOy-ndjRXSxFDTUWlYedfvZAObXioF?usp=drive_link</v>
      </c>
      <c r="K1048513" s="68" t="str">
        <f aca="false">IFERROR(__xludf.dummyfunction("""COMPUTED_VALUE"""),"Chientd2")</f>
        <v>Chientd2</v>
      </c>
      <c r="L1048513" s="68" t="str">
        <f aca="false">IFERROR(__xludf.dummyfunction("""COMPUTED_VALUE"""),"Tưởng Thị Huyền Trang")</f>
        <v>Tưởng Thị Huyền Trang</v>
      </c>
      <c r="M1048513" s="71"/>
      <c r="N1048513" s="72" t="str">
        <f aca="false">IFERROR(__xludf.dummyfunction("""COMPUTED_VALUE"""),"3108,3117,3315,3127,3314")</f>
        <v>3108,3117,3315,3127,3314</v>
      </c>
      <c r="O1048513" s="63" t="str">
        <f aca="false">IFERROR(__xludf.dummyfunction("""COMPUTED_VALUE"""),"168355,168570,168311,167459,167059")</f>
        <v>168355,168570,168311,167459,167059</v>
      </c>
      <c r="P1048513" s="63" t="str">
        <f aca="false">IFERROR(__xludf.dummyfunction("""COMPUTED_VALUE"""),"9025,9028,9036,9104,9106,9017,9102")</f>
        <v>9025,9028,9036,9104,9106,9017,9102</v>
      </c>
      <c r="Q1048513" s="63" t="n">
        <f aca="false">IFERROR(__xludf.dummyfunction("""COMPUTED_VALUE"""),167059)</f>
        <v>167059</v>
      </c>
      <c r="R1048513" s="41"/>
      <c r="S1048513" s="41"/>
      <c r="T1048513" s="63" t="str">
        <f aca="false">IFERROR(__xludf.dummyfunction("""COMPUTED_VALUE"""),"23557, 23552, 23544")</f>
        <v>23557, 23552, 23544</v>
      </c>
      <c r="U1048513" s="63"/>
      <c r="V1048513" s="70" t="n">
        <f aca="false">IFERROR(__xludf.dummyfunction("""COMPUTED_VALUE"""),46192)</f>
        <v>46192</v>
      </c>
      <c r="W1048513" s="39" t="str">
        <f aca="false">IFERROR(__xludf.dummyfunction("""COMPUTED_VALUE"""),"Hoàn thành XB")</f>
        <v>Hoàn thành XB</v>
      </c>
      <c r="X1048513" s="41" t="str">
        <f aca="false">IFERROR(__xludf.dummyfunction("""COMPUTED_VALUE"""),"Chientd2")</f>
        <v>Chientd2</v>
      </c>
      <c r="Y1048513" s="44" t="str">
        <f aca="false">IFERROR(__xludf.dummyfunction("""COMPUTED_VALUE"""),"done")</f>
        <v>done</v>
      </c>
      <c r="Z1048513" s="57" t="str">
        <f aca="false">IFERROR(__xludf.dummyfunction("""COMPUTED_VALUE"""),"#N/A")</f>
        <v>#N/A</v>
      </c>
      <c r="AA1048513" s="57"/>
      <c r="AB1048513" s="41" t="n">
        <f aca="false">IFERROR(__xludf.dummyfunction("""COMPUTED_VALUE"""),6)</f>
        <v>6</v>
      </c>
      <c r="AC1048513" s="57" t="str">
        <f aca="false">IFERROR(__xludf.dummyfunction("""COMPUTED_VALUE"""),"gv.tungnt@hocmai.edu.vn ")</f>
        <v>gv.tungnt@hocmai.edu.vn </v>
      </c>
      <c r="AD1048513" s="46" t="str">
        <f aca="false">IFERROR(__xludf.dummyfunction("""COMPUTED_VALUE"""),"trangcrazy699@gmail.com")</f>
        <v>trangcrazy699@gmail.com</v>
      </c>
      <c r="AE1048513" s="46"/>
      <c r="AF1048513" s="47" t="str">
        <f aca="false">IFERROR(__xludf.dummyfunction("""COMPUTED_VALUE"""),"lophoctoan-946189")</f>
        <v>lophoctoan-946189</v>
      </c>
      <c r="AG1048513" s="46" t="str">
        <f aca="false">IFERROR(__xludf.dummyfunction("""COMPUTED_VALUE"""),"")</f>
        <v/>
      </c>
      <c r="AH1048513" s="35"/>
      <c r="AI1048513" s="53" t="b">
        <f aca="false">IFERROR(__xludf.dummyfunction("""COMPUTED_VALUE"""),TRUE())</f>
        <v>1</v>
      </c>
      <c r="AJ1048513" s="53" t="b">
        <f aca="false">IFERROR(__xludf.dummyfunction("""COMPUTED_VALUE"""),TRUE())</f>
        <v>1</v>
      </c>
      <c r="AK1048513" s="53" t="b">
        <f aca="false">IFERROR(__xludf.dummyfunction("""COMPUTED_VALUE"""),TRUE())</f>
        <v>1</v>
      </c>
      <c r="AL1048513" s="53" t="b">
        <f aca="false">IFERROR(__xludf.dummyfunction("""COMPUTED_VALUE"""),TRUE())</f>
        <v>1</v>
      </c>
      <c r="AM1048513" s="35"/>
      <c r="AN1048513" s="35"/>
      <c r="AO1048513" s="46"/>
    </row>
    <row r="1048514" customFormat="false" ht="15.75" hidden="false" customHeight="true" outlineLevel="0" collapsed="false">
      <c r="A1048514" s="37" t="str">
        <f aca="false">IFERROR(__xludf.dummyfunction("""COMPUTED_VALUE"""),"Tiếng Việt")</f>
        <v>Tiếng Việt</v>
      </c>
      <c r="B1048514" s="37" t="str">
        <f aca="false">IFERROR(__xludf.dummyfunction("""COMPUTED_VALUE"""),"TOV_V-ACT_TV01")</f>
        <v>TOV_V-ACT_TV01</v>
      </c>
      <c r="C1048514" s="59" t="str">
        <f aca="false">IFERROR(__xludf.dummyfunction("""COMPUTED_VALUE"""),"Giới thiệu bài thi Đánh giá năng lực V-ACT: Phần Sử dụng ngôn ngữ tiếng Việt")</f>
        <v>Giới thiệu bài thi Đánh giá năng lực V-ACT: Phần Sử dụng ngôn ngữ tiếng Việt</v>
      </c>
      <c r="D1048514" s="39" t="str">
        <f aca="false">IFERROR(__xludf.dummyfunction("""COMPUTED_VALUE"""),"Văn Trịnh Quỳnh An")</f>
        <v>Văn Trịnh Quỳnh An</v>
      </c>
      <c r="E1048514" s="40" t="n">
        <f aca="false">IFERROR(__xludf.dummyfunction("""COMPUTED_VALUE"""),46189)</f>
        <v>46189</v>
      </c>
      <c r="F1048514" s="41" t="n">
        <f aca="false">IFERROR(__xludf.dummyfunction("""COMPUTED_VALUE"""),3)</f>
        <v>3</v>
      </c>
      <c r="G1048514" s="37" t="str">
        <f aca="false">IFERROR(__xludf.dummyfunction("""COMPUTED_VALUE"""),"20:00-21:30")</f>
        <v>20:00-21:30</v>
      </c>
      <c r="H1048514" s="42" t="str">
        <f aca="false">IFERROR(__xludf.dummyfunction("""COMPUTED_VALUE"""),"https://hocmai.vn/mod/scorm/view_file.php?inpopup=true&amp;id=181030")</f>
        <v>https://hocmai.vn/mod/scorm/view_file.php?inpopup=true&amp;id=181030</v>
      </c>
      <c r="I1048514" s="42" t="str">
        <f aca="false">IFERROR(__xludf.dummyfunction("""COMPUTED_VALUE"""),"https://hocmai.vn/mod/scorm/view_file.php?inpopup=true&amp;id=181031")</f>
        <v>https://hocmai.vn/mod/scorm/view_file.php?inpopup=true&amp;id=181031</v>
      </c>
      <c r="J1048514" s="42" t="str">
        <f aca="false">IFERROR(__xludf.dummyfunction("""COMPUTED_VALUE"""),"https://drive.google.com/drive/folders/1Oi_dW-kqYkqVgBIwysHGAnsse2saB5wP")</f>
        <v>https://drive.google.com/drive/folders/1Oi_dW-kqYkqVgBIwysHGAnsse2saB5wP</v>
      </c>
      <c r="K1048514" s="68" t="str">
        <f aca="false">IFERROR(__xludf.dummyfunction("""COMPUTED_VALUE"""),"Hangvt3")</f>
        <v>Hangvt3</v>
      </c>
      <c r="L1048514" s="68" t="str">
        <f aca="false">IFERROR(__xludf.dummyfunction("""COMPUTED_VALUE"""),"Bùi Vĩnh Thọ")</f>
        <v>Bùi Vĩnh Thọ</v>
      </c>
      <c r="M1048514" s="71"/>
      <c r="N1048514" s="72" t="str">
        <f aca="false">IFERROR(__xludf.dummyfunction("""COMPUTED_VALUE"""),"3125,3338")</f>
        <v>3125,3338</v>
      </c>
      <c r="O1048514" s="63" t="n">
        <f aca="false">IFERROR(__xludf.dummyfunction("""COMPUTED_VALUE"""),167353)</f>
        <v>167353</v>
      </c>
      <c r="P1048514" s="63"/>
      <c r="Q1048514" s="63"/>
      <c r="R1048514" s="41"/>
      <c r="S1048514" s="41"/>
      <c r="T1048514" s="63"/>
      <c r="U1048514" s="63"/>
      <c r="V1048514" s="70" t="n">
        <f aca="false">IFERROR(__xludf.dummyfunction("""COMPUTED_VALUE"""),46192)</f>
        <v>46192</v>
      </c>
      <c r="W1048514" s="39" t="str">
        <f aca="false">IFERROR(__xludf.dummyfunction("""COMPUTED_VALUE"""),"Hoàn thành XB")</f>
        <v>Hoàn thành XB</v>
      </c>
      <c r="X1048514" s="41" t="str">
        <f aca="false">IFERROR(__xludf.dummyfunction("""COMPUTED_VALUE"""),"Hoantt")</f>
        <v>Hoantt</v>
      </c>
      <c r="Y1048514" s="44" t="str">
        <f aca="false">IFERROR(__xludf.dummyfunction("""COMPUTED_VALUE"""),"done")</f>
        <v>done</v>
      </c>
      <c r="Z1048514" s="57" t="str">
        <f aca="false">IFERROR(__xludf.dummyfunction("""COMPUTED_VALUE"""),"#N/A")</f>
        <v>#N/A</v>
      </c>
      <c r="AA1048514" s="57"/>
      <c r="AB1048514" s="41" t="n">
        <f aca="false">IFERROR(__xludf.dummyfunction("""COMPUTED_VALUE"""),6)</f>
        <v>6</v>
      </c>
      <c r="AC1048514" s="57" t="str">
        <f aca="false">IFERROR(__xludf.dummyfunction("""COMPUTED_VALUE"""),"gv.anvtq@hocmai.edu.vn ")</f>
        <v>gv.anvtq@hocmai.edu.vn </v>
      </c>
      <c r="AD1048514" s="46" t="str">
        <f aca="false">IFERROR(__xludf.dummyfunction("""COMPUTED_VALUE"""),"vinhtho0704@gmail.com")</f>
        <v>vinhtho0704@gmail.com</v>
      </c>
      <c r="AE1048514" s="46"/>
      <c r="AF1048514" s="74" t="b">
        <f aca="false">IFERROR(__xludf.dummyfunction("""COMPUTED_VALUE"""),FALSE())</f>
        <v>0</v>
      </c>
      <c r="AG1048514" s="46" t="str">
        <f aca="false">IFERROR(__xludf.dummyfunction("""COMPUTED_VALUE"""),"")</f>
        <v/>
      </c>
      <c r="AH1048514" s="35"/>
      <c r="AI1048514" s="35"/>
      <c r="AJ1048514" s="35"/>
      <c r="AK1048514" s="35"/>
      <c r="AL1048514" s="35"/>
      <c r="AM1048514" s="53" t="b">
        <f aca="false">IFERROR(__xludf.dummyfunction("""COMPUTED_VALUE"""),TRUE())</f>
        <v>1</v>
      </c>
      <c r="AN1048514" s="53" t="b">
        <f aca="false">IFERROR(__xludf.dummyfunction("""COMPUTED_VALUE"""),FALSE())</f>
        <v>0</v>
      </c>
      <c r="AO1048514" s="46"/>
    </row>
    <row r="1048515" customFormat="false" ht="15.75" hidden="false" customHeight="true" outlineLevel="0" collapsed="false">
      <c r="A1048515" s="37" t="str">
        <f aca="false">IFERROR(__xludf.dummyfunction("""COMPUTED_VALUE"""),"Khoa học")</f>
        <v>Khoa học</v>
      </c>
      <c r="B1048515" s="37" t="str">
        <f aca="false">IFERROR(__xludf.dummyfunction("""COMPUTED_VALUE"""),"TOS_V-ACT_KH01")</f>
        <v>TOS_V-ACT_KH01</v>
      </c>
      <c r="C1048515" s="59" t="str">
        <f aca="false">IFERROR(__xludf.dummyfunction("""COMPUTED_VALUE"""),"Giải mã cấu trúc bài thi phần Tư duy khoa học và các kỹ năng cần thiết.")</f>
        <v>Giải mã cấu trúc bài thi phần Tư duy khoa học và các kỹ năng cần thiết.</v>
      </c>
      <c r="D1048515" s="39" t="str">
        <f aca="false">IFERROR(__xludf.dummyfunction("""COMPUTED_VALUE"""),"Lê Văn Minh")</f>
        <v>Lê Văn Minh</v>
      </c>
      <c r="E1048515" s="40" t="n">
        <f aca="false">IFERROR(__xludf.dummyfunction("""COMPUTED_VALUE"""),46189)</f>
        <v>46189</v>
      </c>
      <c r="F1048515" s="41" t="n">
        <f aca="false">IFERROR(__xludf.dummyfunction("""COMPUTED_VALUE"""),3)</f>
        <v>3</v>
      </c>
      <c r="G1048515" s="37" t="str">
        <f aca="false">IFERROR(__xludf.dummyfunction("""COMPUTED_VALUE"""),"20:00-21:30")</f>
        <v>20:00-21:30</v>
      </c>
      <c r="H1048515" s="42" t="str">
        <f aca="false">IFERROR(__xludf.dummyfunction("""COMPUTED_VALUE"""),"https://hocmai.vn/mod/scorm/view_file.php?inpopup=true&amp;id=180948")</f>
        <v>https://hocmai.vn/mod/scorm/view_file.php?inpopup=true&amp;id=180948</v>
      </c>
      <c r="I1048515" s="42" t="str">
        <f aca="false">IFERROR(__xludf.dummyfunction("""COMPUTED_VALUE"""),"https://hocmai.vn/mod/scorm/view_file.php?inpopup=true&amp;id=181003")</f>
        <v>https://hocmai.vn/mod/scorm/view_file.php?inpopup=true&amp;id=181003</v>
      </c>
      <c r="J1048515" s="42" t="str">
        <f aca="false">IFERROR(__xludf.dummyfunction("""COMPUTED_VALUE"""),"https://drive.google.com/drive/folders/130hYZYnEvDIeCATxS7Yki8fNKChHnDJp")</f>
        <v>https://drive.google.com/drive/folders/130hYZYnEvDIeCATxS7Yki8fNKChHnDJp</v>
      </c>
      <c r="K1048515" s="68" t="str">
        <f aca="false">IFERROR(__xludf.dummyfunction("""COMPUTED_VALUE"""),"Trinhntt")</f>
        <v>Trinhntt</v>
      </c>
      <c r="L1048515" s="68" t="str">
        <f aca="false">IFERROR(__xludf.dummyfunction("""COMPUTED_VALUE"""),"Lê Quốc Việt")</f>
        <v>Lê Quốc Việt</v>
      </c>
      <c r="M1048515" s="71"/>
      <c r="N1048515" s="72" t="str">
        <f aca="false">IFERROR(__xludf.dummyfunction("""COMPUTED_VALUE"""),"3340")</f>
        <v>3340</v>
      </c>
      <c r="O1048515" s="63" t="n">
        <f aca="false">IFERROR(__xludf.dummyfunction("""COMPUTED_VALUE"""),167492)</f>
        <v>167492</v>
      </c>
      <c r="P1048515" s="63"/>
      <c r="Q1048515" s="63"/>
      <c r="R1048515" s="41"/>
      <c r="S1048515" s="41"/>
      <c r="T1048515" s="63"/>
      <c r="U1048515" s="63"/>
      <c r="V1048515" s="70" t="n">
        <f aca="false">IFERROR(__xludf.dummyfunction("""COMPUTED_VALUE"""),46192)</f>
        <v>46192</v>
      </c>
      <c r="W1048515" s="39" t="str">
        <f aca="false">IFERROR(__xludf.dummyfunction("""COMPUTED_VALUE"""),"Hoàn thành XB")</f>
        <v>Hoàn thành XB</v>
      </c>
      <c r="X1048515" s="41" t="str">
        <f aca="false">IFERROR(__xludf.dummyfunction("""COMPUTED_VALUE"""),"Kimnq")</f>
        <v>Kimnq</v>
      </c>
      <c r="Y1048515" s="44" t="str">
        <f aca="false">IFERROR(__xludf.dummyfunction("""COMPUTED_VALUE"""),"done")</f>
        <v>done</v>
      </c>
      <c r="Z1048515" s="57" t="str">
        <f aca="false">IFERROR(__xludf.dummyfunction("""COMPUTED_VALUE"""),"#N/A")</f>
        <v>#N/A</v>
      </c>
      <c r="AA1048515" s="57"/>
      <c r="AB1048515" s="41" t="n">
        <f aca="false">IFERROR(__xludf.dummyfunction("""COMPUTED_VALUE"""),6)</f>
        <v>6</v>
      </c>
      <c r="AC1048515" s="57" t="str">
        <f aca="false">IFERROR(__xludf.dummyfunction("""COMPUTED_VALUE"""),"gv.minhlv@hocmai.edu.vn		")</f>
        <v>gv.minhlv@hocmai.edu.vn		</v>
      </c>
      <c r="AD1048515" s="46" t="str">
        <f aca="false">IFERROR(__xludf.dummyfunction("""COMPUTED_VALUE"""),"Ralph02091@gmail.com")</f>
        <v>Ralph02091@gmail.com</v>
      </c>
      <c r="AE1048515" s="46"/>
      <c r="AF1048515" s="47" t="str">
        <f aca="false">IFERROR(__xludf.dummyfunction("""COMPUTED_VALUE"""),"lophoctoan-946189")</f>
        <v>lophoctoan-946189</v>
      </c>
      <c r="AG1048515" s="46" t="str">
        <f aca="false">IFERROR(__xludf.dummyfunction("""COMPUTED_VALUE"""),"")</f>
        <v/>
      </c>
      <c r="AH1048515" s="35"/>
      <c r="AI1048515" s="35"/>
      <c r="AJ1048515" s="35"/>
      <c r="AK1048515" s="35"/>
      <c r="AL1048515" s="35"/>
      <c r="AM1048515" s="35"/>
      <c r="AN1048515" s="53" t="b">
        <f aca="false">IFERROR(__xludf.dummyfunction("""COMPUTED_VALUE"""),TRUE())</f>
        <v>1</v>
      </c>
      <c r="AO1048515" s="46"/>
    </row>
    <row r="1048516" customFormat="false" ht="15.75" hidden="false" customHeight="true" outlineLevel="0" collapsed="false">
      <c r="A1048516" s="37" t="str">
        <f aca="false">IFERROR(__xludf.dummyfunction("""COMPUTED_VALUE"""),"Định tính")</f>
        <v>Định tính</v>
      </c>
      <c r="B1048516" s="37" t="str">
        <f aca="false">IFERROR(__xludf.dummyfunction("""COMPUTED_VALUE"""),"TOV_HSA_DT01")</f>
        <v>TOV_HSA_DT01</v>
      </c>
      <c r="C1048516" s="59" t="str">
        <f aca="false">IFERROR(__xludf.dummyfunction("""COMPUTED_VALUE"""),"Tiếng Việt: Cấu tạo, nghĩa và sắc thái biểu đạt của từ trong Tiếng Việt")</f>
        <v>Tiếng Việt: Cấu tạo, nghĩa và sắc thái biểu đạt của từ trong Tiếng Việt</v>
      </c>
      <c r="D1048516" s="39" t="str">
        <f aca="false">IFERROR(__xludf.dummyfunction("""COMPUTED_VALUE"""),"Vương Thúy Hằng")</f>
        <v>Vương Thúy Hằng</v>
      </c>
      <c r="E1048516" s="40" t="n">
        <f aca="false">IFERROR(__xludf.dummyfunction("""COMPUTED_VALUE"""),46190)</f>
        <v>46190</v>
      </c>
      <c r="F1048516" s="41" t="n">
        <f aca="false">IFERROR(__xludf.dummyfunction("""COMPUTED_VALUE"""),4)</f>
        <v>4</v>
      </c>
      <c r="G1048516" s="37" t="str">
        <f aca="false">IFERROR(__xludf.dummyfunction("""COMPUTED_VALUE"""),"21:00-23:00")</f>
        <v>21:00-23:00</v>
      </c>
      <c r="H1048516" s="42" t="str">
        <f aca="false">IFERROR(__xludf.dummyfunction("""COMPUTED_VALUE"""),"https://hocmai.vn/mod/scorm/view_file.php?inpopup=true&amp;id=180950")</f>
        <v>https://hocmai.vn/mod/scorm/view_file.php?inpopup=true&amp;id=180950</v>
      </c>
      <c r="I1048516" s="42" t="str">
        <f aca="false">IFERROR(__xludf.dummyfunction("""COMPUTED_VALUE"""),"https://hocmai.vn/mod/scorm/view_file.php?inpopup=true&amp;id=181061")</f>
        <v>https://hocmai.vn/mod/scorm/view_file.php?inpopup=true&amp;id=181061</v>
      </c>
      <c r="J1048516" s="42" t="str">
        <f aca="false">IFERROR(__xludf.dummyfunction("""COMPUTED_VALUE"""),"https://drive.google.com/file/d/1WmgRNvC1dSQhiNlrs5FN6Ho7y_MIW6-a/view")</f>
        <v>https://drive.google.com/file/d/1WmgRNvC1dSQhiNlrs5FN6Ho7y_MIW6-a/view</v>
      </c>
      <c r="K1048516" s="68" t="str">
        <f aca="false">IFERROR(__xludf.dummyfunction("""COMPUTED_VALUE"""),"Hangvt3")</f>
        <v>Hangvt3</v>
      </c>
      <c r="L1048516" s="68" t="str">
        <f aca="false">IFERROR(__xludf.dummyfunction("""COMPUTED_VALUE"""),"Kiều Bảo Minh")</f>
        <v>Kiều Bảo Minh</v>
      </c>
      <c r="M1048516" s="71"/>
      <c r="N1048516" s="72" t="str">
        <f aca="false">IFERROR(__xludf.dummyfunction("""COMPUTED_VALUE"""),"3118")</f>
        <v>3118</v>
      </c>
      <c r="O1048516" s="63" t="n">
        <f aca="false">IFERROR(__xludf.dummyfunction("""COMPUTED_VALUE"""),167290)</f>
        <v>167290</v>
      </c>
      <c r="P1048516" s="63"/>
      <c r="Q1048516" s="63"/>
      <c r="R1048516" s="41"/>
      <c r="S1048516" s="41"/>
      <c r="T1048516" s="63"/>
      <c r="U1048516" s="63"/>
      <c r="V1048516" s="70" t="n">
        <f aca="false">IFERROR(__xludf.dummyfunction("""COMPUTED_VALUE"""),46193)</f>
        <v>46193</v>
      </c>
      <c r="W1048516" s="39" t="str">
        <f aca="false">IFERROR(__xludf.dummyfunction("""COMPUTED_VALUE"""),"Hoàn thành XB")</f>
        <v>Hoàn thành XB</v>
      </c>
      <c r="X1048516" s="41" t="str">
        <f aca="false">IFERROR(__xludf.dummyfunction("""COMPUTED_VALUE"""),"Hoantt")</f>
        <v>Hoantt</v>
      </c>
      <c r="Y1048516" s="44" t="str">
        <f aca="false">IFERROR(__xludf.dummyfunction("""COMPUTED_VALUE"""),"done")</f>
        <v>done</v>
      </c>
      <c r="Z1048516" s="57" t="str">
        <f aca="false">IFERROR(__xludf.dummyfunction("""COMPUTED_VALUE"""),"#N/A")</f>
        <v>#N/A</v>
      </c>
      <c r="AA1048516" s="57"/>
      <c r="AB1048516" s="41" t="n">
        <f aca="false">IFERROR(__xludf.dummyfunction("""COMPUTED_VALUE"""),6)</f>
        <v>6</v>
      </c>
      <c r="AC1048516" s="57" t="str">
        <f aca="false">IFERROR(__xludf.dummyfunction("""COMPUTED_VALUE"""),"gv.hangvt@hocmai.edu.vn ")</f>
        <v>gv.hangvt@hocmai.edu.vn </v>
      </c>
      <c r="AD1048516" s="46" t="str">
        <f aca="false">IFERROR(__xludf.dummyfunction("""COMPUTED_VALUE"""),"mkieu2662@gmail.com")</f>
        <v>mkieu2662@gmail.com</v>
      </c>
      <c r="AE1048516" s="46"/>
      <c r="AF1048516" s="74" t="b">
        <f aca="false">IFERROR(__xludf.dummyfunction("""COMPUTED_VALUE"""),FALSE())</f>
        <v>0</v>
      </c>
      <c r="AG1048516" s="46" t="str">
        <f aca="false">IFERROR(__xludf.dummyfunction("""COMPUTED_VALUE"""),"")</f>
        <v/>
      </c>
      <c r="AH1048516" s="35"/>
      <c r="AI1048516" s="35"/>
      <c r="AJ1048516" s="53" t="b">
        <f aca="false">IFERROR(__xludf.dummyfunction("""COMPUTED_VALUE"""),TRUE())</f>
        <v>1</v>
      </c>
      <c r="AK1048516" s="53" t="b">
        <f aca="false">IFERROR(__xludf.dummyfunction("""COMPUTED_VALUE"""),TRUE())</f>
        <v>1</v>
      </c>
      <c r="AL1048516" s="35"/>
      <c r="AM1048516" s="35"/>
      <c r="AN1048516" s="35"/>
      <c r="AO1048516" s="46"/>
    </row>
    <row r="1048517" customFormat="false" ht="15.75" hidden="false" customHeight="true" outlineLevel="0" collapsed="false">
      <c r="A1048517" s="37" t="str">
        <f aca="false">IFERROR(__xludf.dummyfunction("""COMPUTED_VALUE"""),"SLKH")</f>
        <v>SLKH</v>
      </c>
      <c r="B1048517" s="37" t="str">
        <f aca="false">IFERROR(__xludf.dummyfunction("""COMPUTED_VALUE"""),"TOV_V-ACT_KH01")</f>
        <v>TOV_V-ACT_KH01</v>
      </c>
      <c r="C1048517" s="59" t="str">
        <f aca="false">IFERROR(__xludf.dummyfunction("""COMPUTED_VALUE"""),"Mở đầu, giải mã cấu trúc bài thi và các kỹ năng đọc hiểu ngữ liệu khoa học.")</f>
        <v>Mở đầu, giải mã cấu trúc bài thi và các kỹ năng đọc hiểu ngữ liệu khoa học.</v>
      </c>
      <c r="D1048517" s="39" t="str">
        <f aca="false">IFERROR(__xludf.dummyfunction("""COMPUTED_VALUE"""),"Vũ Khắc Ngọc")</f>
        <v>Vũ Khắc Ngọc</v>
      </c>
      <c r="E1048517" s="40" t="n">
        <f aca="false">IFERROR(__xludf.dummyfunction("""COMPUTED_VALUE"""),46190)</f>
        <v>46190</v>
      </c>
      <c r="F1048517" s="41" t="n">
        <f aca="false">IFERROR(__xludf.dummyfunction("""COMPUTED_VALUE"""),4)</f>
        <v>4</v>
      </c>
      <c r="G1048517" s="37" t="str">
        <f aca="false">IFERROR(__xludf.dummyfunction("""COMPUTED_VALUE"""),"21:30-23:00")</f>
        <v>21:30-23:00</v>
      </c>
      <c r="H1048517" s="42" t="str">
        <f aca="false">IFERROR(__xludf.dummyfunction("""COMPUTED_VALUE"""),"https://hocmai.vn/mod/scorm/view_file.php?inpopup=true&amp;id=180949")</f>
        <v>https://hocmai.vn/mod/scorm/view_file.php?inpopup=true&amp;id=180949</v>
      </c>
      <c r="I1048517" s="42" t="str">
        <f aca="false">IFERROR(__xludf.dummyfunction("""COMPUTED_VALUE"""),"https://hocmai.vn/mod/scorm/view_file.php?inpopup=true&amp;id=181005")</f>
        <v>https://hocmai.vn/mod/scorm/view_file.php?inpopup=true&amp;id=181005</v>
      </c>
      <c r="J1048517" s="42" t="str">
        <f aca="false">IFERROR(__xludf.dummyfunction("""COMPUTED_VALUE"""),"https://drive.google.com/drive/folders/1GucRXXUN8GNl7PiTVOd9H_dc7tygMJ3S")</f>
        <v>https://drive.google.com/drive/folders/1GucRXXUN8GNl7PiTVOd9H_dc7tygMJ3S</v>
      </c>
      <c r="K1048517" s="68" t="str">
        <f aca="false">IFERROR(__xludf.dummyfunction("""COMPUTED_VALUE"""),"Trinhntt")</f>
        <v>Trinhntt</v>
      </c>
      <c r="L1048517" s="68" t="str">
        <f aca="false">IFERROR(__xludf.dummyfunction("""COMPUTED_VALUE"""),"Lường Nhật Nam")</f>
        <v>Lường Nhật Nam</v>
      </c>
      <c r="M1048517" s="71"/>
      <c r="N1048517" s="75" t="str">
        <f aca="false">IFERROR(__xludf.dummyfunction("""COMPUTED_VALUE"""),"3126")</f>
        <v>3126</v>
      </c>
      <c r="O1048517" s="63" t="n">
        <f aca="false">IFERROR(__xludf.dummyfunction("""COMPUTED_VALUE"""),167377)</f>
        <v>167377</v>
      </c>
      <c r="P1048517" s="63"/>
      <c r="Q1048517" s="63"/>
      <c r="R1048517" s="41"/>
      <c r="S1048517" s="41"/>
      <c r="T1048517" s="63"/>
      <c r="U1048517" s="63"/>
      <c r="V1048517" s="70" t="n">
        <f aca="false">IFERROR(__xludf.dummyfunction("""COMPUTED_VALUE"""),46193)</f>
        <v>46193</v>
      </c>
      <c r="W1048517" s="39" t="str">
        <f aca="false">IFERROR(__xludf.dummyfunction("""COMPUTED_VALUE"""),"Hoàn thành XB")</f>
        <v>Hoàn thành XB</v>
      </c>
      <c r="X1048517" s="41" t="str">
        <f aca="false">IFERROR(__xludf.dummyfunction("""COMPUTED_VALUE"""),"Trinhntt")</f>
        <v>Trinhntt</v>
      </c>
      <c r="Y1048517" s="44" t="str">
        <f aca="false">IFERROR(__xludf.dummyfunction("""COMPUTED_VALUE"""),"done")</f>
        <v>done</v>
      </c>
      <c r="Z1048517" s="57" t="str">
        <f aca="false">IFERROR(__xludf.dummyfunction("""COMPUTED_VALUE"""),"#N/A")</f>
        <v>#N/A</v>
      </c>
      <c r="AA1048517" s="57"/>
      <c r="AB1048517" s="41" t="n">
        <f aca="false">IFERROR(__xludf.dummyfunction("""COMPUTED_VALUE"""),6)</f>
        <v>6</v>
      </c>
      <c r="AC1048517" s="57" t="str">
        <f aca="false">IFERROR(__xludf.dummyfunction("""COMPUTED_VALUE"""),"gv.ngocvk@hocmai.edu.vn")</f>
        <v>gv.ngocvk@hocmai.edu.vn</v>
      </c>
      <c r="AD1048517" s="46" t="str">
        <f aca="false">IFERROR(__xludf.dummyfunction("""COMPUTED_VALUE"""),"nhatnam1092@gmail.com")</f>
        <v>nhatnam1092@gmail.com</v>
      </c>
      <c r="AE1048517" s="46"/>
      <c r="AF1048517" s="74" t="b">
        <f aca="false">IFERROR(__xludf.dummyfunction("""COMPUTED_VALUE"""),FALSE())</f>
        <v>0</v>
      </c>
      <c r="AG1048517" s="46" t="str">
        <f aca="false">IFERROR(__xludf.dummyfunction("""COMPUTED_VALUE"""),"")</f>
        <v/>
      </c>
      <c r="AH1048517" s="35"/>
      <c r="AI1048517" s="35"/>
      <c r="AJ1048517" s="35"/>
      <c r="AK1048517" s="35"/>
      <c r="AL1048517" s="35"/>
      <c r="AM1048517" s="53" t="b">
        <f aca="false">IFERROR(__xludf.dummyfunction("""COMPUTED_VALUE"""),TRUE())</f>
        <v>1</v>
      </c>
      <c r="AN1048517" s="35"/>
      <c r="AO1048517" s="46"/>
    </row>
    <row r="1048518" customFormat="false" ht="15.75" hidden="false" customHeight="true" outlineLevel="0" collapsed="false">
      <c r="A1048518" s="37" t="str">
        <f aca="false">IFERROR(__xludf.dummyfunction("""COMPUTED_VALUE"""),"Vật lí")</f>
        <v>Vật lí</v>
      </c>
      <c r="B1048518" s="37" t="str">
        <f aca="false">IFERROR(__xludf.dummyfunction("""COMPUTED_VALUE"""),"TOV_TSA_L01")</f>
        <v>TOV_TSA_L01</v>
      </c>
      <c r="C1048518" s="59" t="str">
        <f aca="false">IFERROR(__xludf.dummyfunction("""COMPUTED_VALUE"""),"Đo lường và sai số – Tư duy thực nghiệm trong Vật lí")</f>
        <v>Đo lường và sai số – Tư duy thực nghiệm trong Vật lí</v>
      </c>
      <c r="D1048518" s="39" t="str">
        <f aca="false">IFERROR(__xludf.dummyfunction("""COMPUTED_VALUE"""),"Thiều Thị Dung")</f>
        <v>Thiều Thị Dung</v>
      </c>
      <c r="E1048518" s="40" t="n">
        <f aca="false">IFERROR(__xludf.dummyfunction("""COMPUTED_VALUE"""),46191)</f>
        <v>46191</v>
      </c>
      <c r="F1048518" s="41" t="n">
        <f aca="false">IFERROR(__xludf.dummyfunction("""COMPUTED_VALUE"""),5)</f>
        <v>5</v>
      </c>
      <c r="G1048518" s="37" t="str">
        <f aca="false">IFERROR(__xludf.dummyfunction("""COMPUTED_VALUE"""),"21:00-23:00")</f>
        <v>21:00-23:00</v>
      </c>
      <c r="H1048518" s="42" t="str">
        <f aca="false">IFERROR(__xludf.dummyfunction("""COMPUTED_VALUE"""),"https://hocmai.vn/file.php/3110/Nam_hoc_2026_-_2027/VAT_LI/TAI_LIEU_HOC_SINH/TLHS_TOV_TSA_T01_Do_luong_va_sai_so_-_Tu_duy_thuc_nghiem_trong_Vat_li.pdf")</f>
        <v>https://hocmai.vn/file.php/3110/Nam_hoc_2026_-_2027/VAT_LI/TAI_LIEU_HOC_SINH/TLHS_TOV_TSA_T01_Do_luong_va_sai_so_-_Tu_duy_thuc_nghiem_trong_Vat_li.pdf</v>
      </c>
      <c r="I1048518" s="42" t="str">
        <f aca="false">IFERROR(__xludf.dummyfunction("""COMPUTED_VALUE"""),"https://hocmai.vn/file.php/3110/Nam_hoc_2026_-_2027/VAT_LI/BTTL/BTTL_TOV_TSA_L01._Do_luong_va_sai_so_-_Tu_duy_thuc_nghiem_trong_Vat_li.pdf")</f>
        <v>https://hocmai.vn/file.php/3110/Nam_hoc_2026_-_2027/VAT_LI/BTTL/BTTL_TOV_TSA_L01._Do_luong_va_sai_so_-_Tu_duy_thuc_nghiem_trong_Vat_li.pdf</v>
      </c>
      <c r="J1048518" s="42" t="str">
        <f aca="false">IFERROR(__xludf.dummyfunction("""COMPUTED_VALUE"""),"https://drive.google.com/drive/folders/1--fTQBvSLPS1K3YB5cQkeiuA8K4TFbMj")</f>
        <v>https://drive.google.com/drive/folders/1--fTQBvSLPS1K3YB5cQkeiuA8K4TFbMj</v>
      </c>
      <c r="K1048518" s="37" t="str">
        <f aca="false">IFERROR(__xludf.dummyfunction("""COMPUTED_VALUE"""),"Trangnth2 (259)")</f>
        <v>Trangnth2 (259)</v>
      </c>
      <c r="L1048518" s="37" t="str">
        <f aca="false">IFERROR(__xludf.dummyfunction("""COMPUTED_VALUE"""),"Nguyễn Trường Huy")</f>
        <v>Nguyễn Trường Huy</v>
      </c>
      <c r="M1048518" s="39"/>
      <c r="N1048518" s="75" t="str">
        <f aca="false">IFERROR(__xludf.dummyfunction("""COMPUTED_VALUE"""),"3110")</f>
        <v>3110</v>
      </c>
      <c r="O1048518" s="41" t="n">
        <f aca="false">IFERROR(__xludf.dummyfunction("""COMPUTED_VALUE"""),167246)</f>
        <v>167246</v>
      </c>
      <c r="P1048518" s="41"/>
      <c r="Q1048518" s="41"/>
      <c r="R1048518" s="41"/>
      <c r="S1048518" s="41"/>
      <c r="T1048518" s="41" t="n">
        <f aca="false">IFERROR(__xludf.dummyfunction("""COMPUTED_VALUE"""),23587)</f>
        <v>23587</v>
      </c>
      <c r="U1048518" s="41"/>
      <c r="V1048518" s="40" t="n">
        <f aca="false">IFERROR(__xludf.dummyfunction("""COMPUTED_VALUE"""),46194)</f>
        <v>46194</v>
      </c>
      <c r="W1048518" s="39" t="str">
        <f aca="false">IFERROR(__xludf.dummyfunction("""COMPUTED_VALUE"""),"Hoàn thành XB")</f>
        <v>Hoàn thành XB</v>
      </c>
      <c r="X1048518" s="41" t="str">
        <f aca="false">IFERROR(__xludf.dummyfunction("""COMPUTED_VALUE"""),"Trangnth2")</f>
        <v>Trangnth2</v>
      </c>
      <c r="Y1048518" s="39" t="str">
        <f aca="false">IFERROR(__xludf.dummyfunction("""COMPUTED_VALUE"""),"done")</f>
        <v>done</v>
      </c>
      <c r="Z1048518" s="57" t="str">
        <f aca="false">IFERROR(__xludf.dummyfunction("""COMPUTED_VALUE"""),"#N/A")</f>
        <v>#N/A</v>
      </c>
      <c r="AA1048518" s="57"/>
      <c r="AB1048518" s="41" t="n">
        <f aca="false">IFERROR(__xludf.dummyfunction("""COMPUTED_VALUE"""),6)</f>
        <v>6</v>
      </c>
      <c r="AC1048518" s="57" t="str">
        <f aca="false">IFERROR(__xludf.dummyfunction("""COMPUTED_VALUE"""),"dungtt2@hocmai.vn                ")</f>
        <v>dungtt2@hocmai.vn                </v>
      </c>
      <c r="AD1048518" s="46" t="str">
        <f aca="false">IFERROR(__xludf.dummyfunction("""COMPUTED_VALUE"""),"nguyentruonghuyqx@gmail.com")</f>
        <v>nguyentruonghuyqx@gmail.com</v>
      </c>
      <c r="AE1048518" s="46"/>
      <c r="AF1048518" s="74" t="b">
        <f aca="false">IFERROR(__xludf.dummyfunction("""COMPUTED_VALUE"""),FALSE())</f>
        <v>0</v>
      </c>
      <c r="AG1048518" s="46" t="str">
        <f aca="false">IFERROR(__xludf.dummyfunction("""COMPUTED_VALUE"""),"")</f>
        <v/>
      </c>
      <c r="AH1048518" s="35"/>
      <c r="AI1048518" s="53" t="b">
        <f aca="false">IFERROR(__xludf.dummyfunction("""COMPUTED_VALUE"""),TRUE())</f>
        <v>1</v>
      </c>
      <c r="AJ1048518" s="35"/>
      <c r="AK1048518" s="35"/>
      <c r="AL1048518" s="35"/>
      <c r="AM1048518" s="35"/>
      <c r="AN1048518" s="35"/>
      <c r="AO1048518" s="46"/>
    </row>
    <row r="1048519" customFormat="false" ht="15.75" hidden="false" customHeight="true" outlineLevel="0" collapsed="false">
      <c r="A1048519" s="37" t="str">
        <f aca="false">IFERROR(__xludf.dummyfunction("""COMPUTED_VALUE"""),"Toán")</f>
        <v>Toán</v>
      </c>
      <c r="B1048519" s="37" t="str">
        <f aca="false">IFERROR(__xludf.dummyfunction("""COMPUTED_VALUE"""),"TOV_HSA_DL01")</f>
        <v>TOV_HSA_DL01</v>
      </c>
      <c r="C1048519" s="59" t="str">
        <f aca="false">IFERROR(__xludf.dummyfunction("""COMPUTED_VALUE"""),"Các bài toán về hàm số chứa tham số")</f>
        <v>Các bài toán về hàm số chứa tham số</v>
      </c>
      <c r="D1048519" s="39" t="str">
        <f aca="false">IFERROR(__xludf.dummyfunction("""COMPUTED_VALUE"""),"Nguyễn Thanh Tùng")</f>
        <v>Nguyễn Thanh Tùng</v>
      </c>
      <c r="E1048519" s="40" t="n">
        <f aca="false">IFERROR(__xludf.dummyfunction("""COMPUTED_VALUE"""),46191)</f>
        <v>46191</v>
      </c>
      <c r="F1048519" s="41" t="n">
        <f aca="false">IFERROR(__xludf.dummyfunction("""COMPUTED_VALUE"""),5)</f>
        <v>5</v>
      </c>
      <c r="G1048519" s="37" t="str">
        <f aca="false">IFERROR(__xludf.dummyfunction("""COMPUTED_VALUE"""),"18:00-20:00")</f>
        <v>18:00-20:00</v>
      </c>
      <c r="H1048519" s="42" t="str">
        <f aca="false">IFERROR(__xludf.dummyfunction("""COMPUTED_VALUE"""),"https://hocmai.vn/file.php/3117/Tai_lieu_live_2026_-_2027/TLHS_TOV_HSA_DL01_Cac_bai_toan_ve_ham_so_chua_tham_so.pdf")</f>
        <v>https://hocmai.vn/file.php/3117/Tai_lieu_live_2026_-_2027/TLHS_TOV_HSA_DL01_Cac_bai_toan_ve_ham_so_chua_tham_so.pdf</v>
      </c>
      <c r="I1048519" s="37"/>
      <c r="J1048519" s="42" t="str">
        <f aca="false">IFERROR(__xludf.dummyfunction("""COMPUTED_VALUE"""),"https://drive.google.com/file/d/1KMzbSnzb7OIa7hCO9Axz0fKqT2KniZaC/view?usp=drive_link")</f>
        <v>https://drive.google.com/file/d/1KMzbSnzb7OIa7hCO9Axz0fKqT2KniZaC/view?usp=drive_link</v>
      </c>
      <c r="K1048519" s="68" t="str">
        <f aca="false">IFERROR(__xludf.dummyfunction("""COMPUTED_VALUE"""),"Locdd")</f>
        <v>Locdd</v>
      </c>
      <c r="L1048519" s="68" t="str">
        <f aca="false">IFERROR(__xludf.dummyfunction("""COMPUTED_VALUE"""),"Tưởng Thị Huyền Trang")</f>
        <v>Tưởng Thị Huyền Trang</v>
      </c>
      <c r="M1048519" s="71"/>
      <c r="N1048519" s="72" t="str">
        <f aca="false">IFERROR(__xludf.dummyfunction("""COMPUTED_VALUE"""),"3117,3315")</f>
        <v>3117,3315</v>
      </c>
      <c r="O1048519" s="73" t="n">
        <f aca="false">IFERROR(__xludf.dummyfunction("""COMPUTED_VALUE"""),168571.168312)</f>
        <v>168571.168312</v>
      </c>
      <c r="P1048519" s="63" t="str">
        <f aca="false">IFERROR(__xludf.dummyfunction("""COMPUTED_VALUE"""),"9028,9036,9104,9106")</f>
        <v>9028,9036,9104,9106</v>
      </c>
      <c r="Q1048519" s="63" t="n">
        <f aca="false">IFERROR(__xludf.dummyfunction("""COMPUTED_VALUE"""),168312)</f>
        <v>168312</v>
      </c>
      <c r="R1048519" s="41"/>
      <c r="S1048519" s="41"/>
      <c r="T1048519" s="63"/>
      <c r="U1048519" s="63"/>
      <c r="V1048519" s="70" t="n">
        <f aca="false">IFERROR(__xludf.dummyfunction("""COMPUTED_VALUE"""),46194)</f>
        <v>46194</v>
      </c>
      <c r="W1048519" s="39" t="str">
        <f aca="false">IFERROR(__xludf.dummyfunction("""COMPUTED_VALUE"""),"Hoàn thành XB")</f>
        <v>Hoàn thành XB</v>
      </c>
      <c r="X1048519" s="41" t="str">
        <f aca="false">IFERROR(__xludf.dummyfunction("""COMPUTED_VALUE"""),"Locdd")</f>
        <v>Locdd</v>
      </c>
      <c r="Y1048519" s="44" t="str">
        <f aca="false">IFERROR(__xludf.dummyfunction("""COMPUTED_VALUE"""),"done")</f>
        <v>done</v>
      </c>
      <c r="Z1048519" s="57" t="str">
        <f aca="false">IFERROR(__xludf.dummyfunction("""COMPUTED_VALUE"""),"#N/A")</f>
        <v>#N/A</v>
      </c>
      <c r="AA1048519" s="56" t="str">
        <f aca="false">IFERROR(__xludf.dummyfunction("""COMPUTED_VALUE"""),"https://s3.evgcloud.net/livestream/video/mp4/2026/06/18/336_33675f560e9966149c5bb6da16e6905fa9f_RELAY-20260618180305-cv.mp4")</f>
        <v>https://s3.evgcloud.net/livestream/video/mp4/2026/06/18/336_33675f560e9966149c5bb6da16e6905fa9f_RELAY-20260618180305-cv.mp4</v>
      </c>
      <c r="AB1048519" s="41" t="n">
        <f aca="false">IFERROR(__xludf.dummyfunction("""COMPUTED_VALUE"""),6)</f>
        <v>6</v>
      </c>
      <c r="AC1048519" s="57" t="str">
        <f aca="false">IFERROR(__xludf.dummyfunction("""COMPUTED_VALUE"""),"gv.tungnt@hocmai.edu.vn ")</f>
        <v>gv.tungnt@hocmai.edu.vn </v>
      </c>
      <c r="AD1048519" s="46" t="str">
        <f aca="false">IFERROR(__xludf.dummyfunction("""COMPUTED_VALUE"""),"trangcrazy699@gmail.com")</f>
        <v>trangcrazy699@gmail.com</v>
      </c>
      <c r="AE1048519" s="46"/>
      <c r="AF1048519" s="47" t="str">
        <f aca="false">IFERROR(__xludf.dummyfunction("""COMPUTED_VALUE"""),"lophoctoan-946191")</f>
        <v>lophoctoan-946191</v>
      </c>
      <c r="AG1048519" s="46" t="str">
        <f aca="false">IFERROR(__xludf.dummyfunction("""COMPUTED_VALUE"""),"")</f>
        <v/>
      </c>
      <c r="AH1048519" s="35"/>
      <c r="AI1048519" s="35"/>
      <c r="AJ1048519" s="53" t="b">
        <f aca="false">IFERROR(__xludf.dummyfunction("""COMPUTED_VALUE"""),TRUE())</f>
        <v>1</v>
      </c>
      <c r="AK1048519" s="53" t="b">
        <f aca="false">IFERROR(__xludf.dummyfunction("""COMPUTED_VALUE"""),TRUE())</f>
        <v>1</v>
      </c>
      <c r="AL1048519" s="35"/>
      <c r="AM1048519" s="35"/>
      <c r="AN1048519" s="35"/>
      <c r="AO1048519" s="46"/>
    </row>
    <row r="1048520" customFormat="false" ht="15.75" hidden="false" customHeight="true" outlineLevel="0" collapsed="false">
      <c r="A1048520" s="37" t="str">
        <f aca="false">IFERROR(__xludf.dummyfunction("""COMPUTED_VALUE"""),"Vật lí")</f>
        <v>Vật lí</v>
      </c>
      <c r="B1048520" s="37" t="str">
        <f aca="false">IFERROR(__xludf.dummyfunction("""COMPUTED_VALUE"""),"TOV_HSA_VL01")</f>
        <v>TOV_HSA_VL01</v>
      </c>
      <c r="C1048520" s="59" t="str">
        <f aca="false">IFERROR(__xludf.dummyfunction("""COMPUTED_VALUE"""),"Đo lường và xử lí số liệu")</f>
        <v>Đo lường và xử lí số liệu</v>
      </c>
      <c r="D1048520" s="39" t="str">
        <f aca="false">IFERROR(__xludf.dummyfunction("""COMPUTED_VALUE"""),"Nguyễn Hữu Tình")</f>
        <v>Nguyễn Hữu Tình</v>
      </c>
      <c r="E1048520" s="40" t="n">
        <f aca="false">IFERROR(__xludf.dummyfunction("""COMPUTED_VALUE"""),46191)</f>
        <v>46191</v>
      </c>
      <c r="F1048520" s="41" t="n">
        <f aca="false">IFERROR(__xludf.dummyfunction("""COMPUTED_VALUE"""),5)</f>
        <v>5</v>
      </c>
      <c r="G1048520" s="37" t="str">
        <f aca="false">IFERROR(__xludf.dummyfunction("""COMPUTED_VALUE"""),"21:00-23:00")</f>
        <v>21:00-23:00</v>
      </c>
      <c r="H1048520" s="42" t="str">
        <f aca="false">IFERROR(__xludf.dummyfunction("""COMPUTED_VALUE"""),"https://hocmai.vn/file.php/3119/NAM_HOC_2026_-_2027/Tai_lieu_live/TLHS_TOV_HSA_VL01_Do_luong_va_xu_li_so_lieu.pdf")</f>
        <v>https://hocmai.vn/file.php/3119/NAM_HOC_2026_-_2027/Tai_lieu_live/TLHS_TOV_HSA_VL01_Do_luong_va_xu_li_so_lieu.pdf</v>
      </c>
      <c r="I1048520" s="42" t="str">
        <f aca="false">IFERROR(__xludf.dummyfunction("""COMPUTED_VALUE"""),"https://hocmai.vn/file.php/3119/NAM_HOC_2026_-_2027/BTTL/BTTL_TOV_HSA_VL01._Do_luong_va_xu_li_so_lieu.pdf")</f>
        <v>https://hocmai.vn/file.php/3119/NAM_HOC_2026_-_2027/BTTL/BTTL_TOV_HSA_VL01._Do_luong_va_xu_li_so_lieu.pdf</v>
      </c>
      <c r="J1048520" s="42" t="str">
        <f aca="false">IFERROR(__xludf.dummyfunction("""COMPUTED_VALUE"""),"https://drive.google.com/file/d/1IGveFE1xTQW1KpFtCjH5mwfKbzDGe0z2/view?usp=drive_link")</f>
        <v>https://drive.google.com/file/d/1IGveFE1xTQW1KpFtCjH5mwfKbzDGe0z2/view?usp=drive_link</v>
      </c>
      <c r="K1048520" s="68" t="str">
        <f aca="false">IFERROR(__xludf.dummyfunction("""COMPUTED_VALUE"""),"Trangnth2 (263)")</f>
        <v>Trangnth2 (263)</v>
      </c>
      <c r="L1048520" s="68" t="str">
        <f aca="false">IFERROR(__xludf.dummyfunction("""COMPUTED_VALUE"""),"Kiều Bảo Minh")</f>
        <v>Kiều Bảo Minh</v>
      </c>
      <c r="M1048520" s="71"/>
      <c r="N1048520" s="76" t="str">
        <f aca="false">IFERROR(__xludf.dummyfunction("""COMPUTED_VALUE"""),"3119")</f>
        <v>3119</v>
      </c>
      <c r="O1048520" s="63" t="n">
        <f aca="false">IFERROR(__xludf.dummyfunction("""COMPUTED_VALUE"""),167516)</f>
        <v>167516</v>
      </c>
      <c r="P1048520" s="63"/>
      <c r="Q1048520" s="63"/>
      <c r="R1048520" s="41"/>
      <c r="S1048520" s="41"/>
      <c r="T1048520" s="63" t="n">
        <f aca="false">IFERROR(__xludf.dummyfunction("""COMPUTED_VALUE"""),23582)</f>
        <v>23582</v>
      </c>
      <c r="U1048520" s="63" t="n">
        <f aca="false">IFERROR(__xludf.dummyfunction("""COMPUTED_VALUE"""),10457)</f>
        <v>10457</v>
      </c>
      <c r="V1048520" s="70" t="n">
        <f aca="false">IFERROR(__xludf.dummyfunction("""COMPUTED_VALUE"""),46194)</f>
        <v>46194</v>
      </c>
      <c r="W1048520" s="39" t="str">
        <f aca="false">IFERROR(__xludf.dummyfunction("""COMPUTED_VALUE"""),"Hoàn thành XB")</f>
        <v>Hoàn thành XB</v>
      </c>
      <c r="X1048520" s="41" t="str">
        <f aca="false">IFERROR(__xludf.dummyfunction("""COMPUTED_VALUE"""),"Trangnth2")</f>
        <v>Trangnth2</v>
      </c>
      <c r="Y1048520" s="44" t="str">
        <f aca="false">IFERROR(__xludf.dummyfunction("""COMPUTED_VALUE"""),"done")</f>
        <v>done</v>
      </c>
      <c r="Z1048520" s="57" t="str">
        <f aca="false">IFERROR(__xludf.dummyfunction("""COMPUTED_VALUE"""),"#N/A")</f>
        <v>#N/A</v>
      </c>
      <c r="AA1048520" s="57"/>
      <c r="AB1048520" s="41" t="n">
        <f aca="false">IFERROR(__xludf.dummyfunction("""COMPUTED_VALUE"""),6)</f>
        <v>6</v>
      </c>
      <c r="AC1048520" s="57" t="str">
        <f aca="false">IFERROR(__xludf.dummyfunction("""COMPUTED_VALUE"""),"gv.tinhnh@hocmai.edu.vn ")</f>
        <v>gv.tinhnh@hocmai.edu.vn </v>
      </c>
      <c r="AD1048520" s="46" t="str">
        <f aca="false">IFERROR(__xludf.dummyfunction("""COMPUTED_VALUE"""),"mkieu2662@gmail.com")</f>
        <v>mkieu2662@gmail.com</v>
      </c>
      <c r="AE1048520" s="46"/>
      <c r="AF1048520" s="74" t="b">
        <f aca="false">IFERROR(__xludf.dummyfunction("""COMPUTED_VALUE"""),FALSE())</f>
        <v>0</v>
      </c>
      <c r="AG1048520" s="46" t="str">
        <f aca="false">IFERROR(__xludf.dummyfunction("""COMPUTED_VALUE"""),"")</f>
        <v/>
      </c>
      <c r="AH1048520" s="35"/>
      <c r="AI1048520" s="35"/>
      <c r="AJ1048520" s="53" t="b">
        <f aca="false">IFERROR(__xludf.dummyfunction("""COMPUTED_VALUE"""),TRUE())</f>
        <v>1</v>
      </c>
      <c r="AK1048520" s="53" t="b">
        <f aca="false">IFERROR(__xludf.dummyfunction("""COMPUTED_VALUE"""),TRUE())</f>
        <v>1</v>
      </c>
      <c r="AL1048520" s="35"/>
      <c r="AM1048520" s="35"/>
      <c r="AN1048520" s="35"/>
      <c r="AO1048520" s="46"/>
    </row>
    <row r="1048521" customFormat="false" ht="15.75" hidden="false" customHeight="true" outlineLevel="0" collapsed="false">
      <c r="A1048521" s="37" t="str">
        <f aca="false">IFERROR(__xludf.dummyfunction("""COMPUTED_VALUE"""),"Toán")</f>
        <v>Toán</v>
      </c>
      <c r="B1048521" s="37" t="str">
        <f aca="false">IFERROR(__xludf.dummyfunction("""COMPUTED_VALUE"""),"TOA_V-ACT_T01")</f>
        <v>TOA_V-ACT_T01</v>
      </c>
      <c r="C1048521" s="59" t="str">
        <f aca="false">IFERROR(__xludf.dummyfunction("""COMPUTED_VALUE"""),"Phương pháp và kĩ năng xử lí bài toán hệ bất phương trình bậc nhất hai ẩn")</f>
        <v>Phương pháp và kĩ năng xử lí bài toán hệ bất phương trình bậc nhất hai ẩn</v>
      </c>
      <c r="D1048521" s="39" t="str">
        <f aca="false">IFERROR(__xludf.dummyfunction("""COMPUTED_VALUE"""),"Nguyễn Hoài Nam")</f>
        <v>Nguyễn Hoài Nam</v>
      </c>
      <c r="E1048521" s="40" t="n">
        <f aca="false">IFERROR(__xludf.dummyfunction("""COMPUTED_VALUE"""),46191)</f>
        <v>46191</v>
      </c>
      <c r="F1048521" s="41" t="n">
        <f aca="false">IFERROR(__xludf.dummyfunction("""COMPUTED_VALUE"""),5)</f>
        <v>5</v>
      </c>
      <c r="G1048521" s="37" t="str">
        <f aca="false">IFERROR(__xludf.dummyfunction("""COMPUTED_VALUE"""),"21:00-22:30")</f>
        <v>21:00-22:30</v>
      </c>
      <c r="H1048521" s="42" t="str">
        <f aca="false">IFERROR(__xludf.dummyfunction("""COMPUTED_VALUE"""),"https://hocmai.vn/kho-tai-lieu/read.php?id=19939")</f>
        <v>https://hocmai.vn/kho-tai-lieu/read.php?id=19939</v>
      </c>
      <c r="I1048521" s="42" t="str">
        <f aca="false">IFERROR(__xludf.dummyfunction("""COMPUTED_VALUE"""),"https://hocmai.vn/kho-tai-lieu/read.php?id=19940")</f>
        <v>https://hocmai.vn/kho-tai-lieu/read.php?id=19940</v>
      </c>
      <c r="J1048521" s="42" t="str">
        <f aca="false">IFERROR(__xludf.dummyfunction("""COMPUTED_VALUE"""),"https://drive.google.com/drive/folders/1hRKWRF-9T93qDP_5ebRZSV2Ma0tQrzgJ?usp=sharing")</f>
        <v>https://drive.google.com/drive/folders/1hRKWRF-9T93qDP_5ebRZSV2Ma0tQrzgJ?usp=sharing</v>
      </c>
      <c r="K1048521" s="68" t="str">
        <f aca="false">IFERROR(__xludf.dummyfunction("""COMPUTED_VALUE"""),"Lent")</f>
        <v>Lent</v>
      </c>
      <c r="L1048521" s="68" t="str">
        <f aca="false">IFERROR(__xludf.dummyfunction("""COMPUTED_VALUE"""),"Lường Nhật Nam")</f>
        <v>Lường Nhật Nam</v>
      </c>
      <c r="M1048521" s="71"/>
      <c r="N1048521" s="77" t="str">
        <f aca="false">IFERROR(__xludf.dummyfunction("""COMPUTED_VALUE"""),"3124,3316")</f>
        <v>3124,3316</v>
      </c>
      <c r="O1048521" s="73" t="n">
        <f aca="false">IFERROR(__xludf.dummyfunction("""COMPUTED_VALUE"""),167185.166855)</f>
        <v>167185.166855</v>
      </c>
      <c r="P1048521" s="63" t="n">
        <f aca="false">IFERROR(__xludf.dummyfunction("""COMPUTED_VALUE"""),9044.9108)</f>
        <v>9044.9108</v>
      </c>
      <c r="Q1048521" s="63" t="n">
        <f aca="false">IFERROR(__xludf.dummyfunction("""COMPUTED_VALUE"""),167185)</f>
        <v>167185</v>
      </c>
      <c r="R1048521" s="41" t="n">
        <f aca="false">IFERROR(__xludf.dummyfunction("""COMPUTED_VALUE"""),166855)</f>
        <v>166855</v>
      </c>
      <c r="S1048521" s="41"/>
      <c r="T1048521" s="63"/>
      <c r="U1048521" s="63"/>
      <c r="V1048521" s="70" t="n">
        <f aca="false">IFERROR(__xludf.dummyfunction("""COMPUTED_VALUE"""),46194)</f>
        <v>46194</v>
      </c>
      <c r="W1048521" s="39" t="str">
        <f aca="false">IFERROR(__xludf.dummyfunction("""COMPUTED_VALUE"""),"Hoàn thành XB")</f>
        <v>Hoàn thành XB</v>
      </c>
      <c r="X1048521" s="41" t="str">
        <f aca="false">IFERROR(__xludf.dummyfunction("""COMPUTED_VALUE"""),"Lent")</f>
        <v>Lent</v>
      </c>
      <c r="Y1048521" s="44" t="str">
        <f aca="false">IFERROR(__xludf.dummyfunction("""COMPUTED_VALUE"""),"done")</f>
        <v>done</v>
      </c>
      <c r="Z1048521" s="57" t="str">
        <f aca="false">IFERROR(__xludf.dummyfunction("""COMPUTED_VALUE"""),"#N/A")</f>
        <v>#N/A</v>
      </c>
      <c r="AA1048521" s="57"/>
      <c r="AB1048521" s="41" t="n">
        <f aca="false">IFERROR(__xludf.dummyfunction("""COMPUTED_VALUE"""),6)</f>
        <v>6</v>
      </c>
      <c r="AC1048521" s="57" t="str">
        <f aca="false">IFERROR(__xludf.dummyfunction("""COMPUTED_VALUE"""),"gv.namnh@hocmai.edu.vn ")</f>
        <v>gv.namnh@hocmai.edu.vn </v>
      </c>
      <c r="AD1048521" s="46" t="str">
        <f aca="false">IFERROR(__xludf.dummyfunction("""COMPUTED_VALUE"""),"nhatnam1092@gmail.com")</f>
        <v>nhatnam1092@gmail.com</v>
      </c>
      <c r="AE1048521" s="46"/>
      <c r="AF1048521" s="47" t="str">
        <f aca="false">IFERROR(__xludf.dummyfunction("""COMPUTED_VALUE"""),"lophoctoan-946191")</f>
        <v>lophoctoan-946191</v>
      </c>
      <c r="AG1048521" s="46" t="str">
        <f aca="false">IFERROR(__xludf.dummyfunction("""COMPUTED_VALUE"""),"")</f>
        <v/>
      </c>
      <c r="AH1048521" s="35"/>
      <c r="AI1048521" s="35"/>
      <c r="AJ1048521" s="35"/>
      <c r="AK1048521" s="35"/>
      <c r="AL1048521" s="35"/>
      <c r="AM1048521" s="53" t="b">
        <f aca="false">IFERROR(__xludf.dummyfunction("""COMPUTED_VALUE"""),TRUE())</f>
        <v>1</v>
      </c>
      <c r="AN1048521" s="53" t="b">
        <f aca="false">IFERROR(__xludf.dummyfunction("""COMPUTED_VALUE"""),TRUE())</f>
        <v>1</v>
      </c>
      <c r="AO1048521" s="46"/>
    </row>
    <row r="1048522" customFormat="false" ht="15.75" hidden="false" customHeight="true" outlineLevel="0" collapsed="false">
      <c r="A1048522" s="37" t="str">
        <f aca="false">IFERROR(__xludf.dummyfunction("""COMPUTED_VALUE"""),"Toán")</f>
        <v>Toán</v>
      </c>
      <c r="B1048522" s="37" t="str">
        <f aca="false">IFERROR(__xludf.dummyfunction("""COMPUTED_VALUE"""),"TOV_TSA_T01")</f>
        <v>TOV_TSA_T01</v>
      </c>
      <c r="C1048522" s="59" t="str">
        <f aca="false">IFERROR(__xludf.dummyfunction("""COMPUTED_VALUE"""),"Các bài toán liên quan tới tìm nghiệm nguyên")</f>
        <v>Các bài toán liên quan tới tìm nghiệm nguyên</v>
      </c>
      <c r="D1048522" s="39" t="str">
        <f aca="false">IFERROR(__xludf.dummyfunction("""COMPUTED_VALUE"""),"Nguyễn Thanh Tùng")</f>
        <v>Nguyễn Thanh Tùng</v>
      </c>
      <c r="E1048522" s="40" t="n">
        <f aca="false">IFERROR(__xludf.dummyfunction("""COMPUTED_VALUE"""),46192)</f>
        <v>46192</v>
      </c>
      <c r="F1048522" s="41" t="n">
        <f aca="false">IFERROR(__xludf.dummyfunction("""COMPUTED_VALUE"""),6)</f>
        <v>6</v>
      </c>
      <c r="G1048522" s="37" t="str">
        <f aca="false">IFERROR(__xludf.dummyfunction("""COMPUTED_VALUE"""),"18:00-20:00")</f>
        <v>18:00-20:00</v>
      </c>
      <c r="H1048522" s="42" t="str">
        <f aca="false">IFERROR(__xludf.dummyfunction("""COMPUTED_VALUE"""),"https://hocmai.vn/mod/scorm/view_file.php?inpopup=true&amp;id=181045")</f>
        <v>https://hocmai.vn/mod/scorm/view_file.php?inpopup=true&amp;id=181045</v>
      </c>
      <c r="I1048522" s="42" t="str">
        <f aca="false">IFERROR(__xludf.dummyfunction("""COMPUTED_VALUE"""),"https://hocmai.vn/mod/scorm/view_file.php?inpopup=true&amp;id=181301")</f>
        <v>https://hocmai.vn/mod/scorm/view_file.php?inpopup=true&amp;id=181301</v>
      </c>
      <c r="J1048522" s="42" t="str">
        <f aca="false">IFERROR(__xludf.dummyfunction("""COMPUTED_VALUE"""),"https://drive.google.com/file/d/1RYc9ROmaPxnooBme7WfY4Fd4PuF2HHSq/view?usp=drive_link")</f>
        <v>https://drive.google.com/file/d/1RYc9ROmaPxnooBme7WfY4Fd4PuF2HHSq/view?usp=drive_link</v>
      </c>
      <c r="K1048522" s="68" t="str">
        <f aca="false">IFERROR(__xludf.dummyfunction("""COMPUTED_VALUE"""),"Locdd")</f>
        <v>Locdd</v>
      </c>
      <c r="L1048522" s="68" t="str">
        <f aca="false">IFERROR(__xludf.dummyfunction("""COMPUTED_VALUE"""),"Tưởng Thị Huyền Trang")</f>
        <v>Tưởng Thị Huyền Trang</v>
      </c>
      <c r="M1048522" s="71"/>
      <c r="N1048522" s="77" t="str">
        <f aca="false">IFERROR(__xludf.dummyfunction("""COMPUTED_VALUE"""),"3108")</f>
        <v>3108</v>
      </c>
      <c r="O1048522" s="63" t="n">
        <f aca="false">IFERROR(__xludf.dummyfunction("""COMPUTED_VALUE"""),168356)</f>
        <v>168356</v>
      </c>
      <c r="P1048522" s="63"/>
      <c r="Q1048522" s="63"/>
      <c r="R1048522" s="41"/>
      <c r="S1048522" s="41"/>
      <c r="T1048522" s="63"/>
      <c r="U1048522" s="63"/>
      <c r="V1048522" s="70" t="n">
        <f aca="false">IFERROR(__xludf.dummyfunction("""COMPUTED_VALUE"""),46195)</f>
        <v>46195</v>
      </c>
      <c r="W1048522" s="39" t="str">
        <f aca="false">IFERROR(__xludf.dummyfunction("""COMPUTED_VALUE"""),"Hoàn thành XB")</f>
        <v>Hoàn thành XB</v>
      </c>
      <c r="X1048522" s="41" t="str">
        <f aca="false">IFERROR(__xludf.dummyfunction("""COMPUTED_VALUE"""),"Locdd")</f>
        <v>Locdd</v>
      </c>
      <c r="Y1048522" s="44" t="str">
        <f aca="false">IFERROR(__xludf.dummyfunction("""COMPUTED_VALUE"""),"done")</f>
        <v>done</v>
      </c>
      <c r="Z1048522" s="57" t="str">
        <f aca="false">IFERROR(__xludf.dummyfunction("""COMPUTED_VALUE"""),"#N/A")</f>
        <v>#N/A</v>
      </c>
      <c r="AA1048522" s="57"/>
      <c r="AB1048522" s="41" t="n">
        <f aca="false">IFERROR(__xludf.dummyfunction("""COMPUTED_VALUE"""),6)</f>
        <v>6</v>
      </c>
      <c r="AC1048522" s="57" t="str">
        <f aca="false">IFERROR(__xludf.dummyfunction("""COMPUTED_VALUE"""),"gv.tungnt@hocmai.edu.vn ")</f>
        <v>gv.tungnt@hocmai.edu.vn </v>
      </c>
      <c r="AD1048522" s="46" t="str">
        <f aca="false">IFERROR(__xludf.dummyfunction("""COMPUTED_VALUE"""),"trangcrazy699@gmail.com")</f>
        <v>trangcrazy699@gmail.com</v>
      </c>
      <c r="AE1048522" s="46"/>
      <c r="AF1048522" s="47" t="str">
        <f aca="false">IFERROR(__xludf.dummyfunction("""COMPUTED_VALUE"""),"lophoctoan-946192")</f>
        <v>lophoctoan-946192</v>
      </c>
      <c r="AG1048522" s="46" t="str">
        <f aca="false">IFERROR(__xludf.dummyfunction("""COMPUTED_VALUE"""),"")</f>
        <v/>
      </c>
      <c r="AH1048522" s="35"/>
      <c r="AI1048522" s="53" t="b">
        <f aca="false">IFERROR(__xludf.dummyfunction("""COMPUTED_VALUE"""),TRUE())</f>
        <v>1</v>
      </c>
      <c r="AJ1048522" s="35"/>
      <c r="AK1048522" s="35"/>
      <c r="AL1048522" s="35"/>
      <c r="AM1048522" s="35"/>
      <c r="AN1048522" s="35"/>
      <c r="AO1048522" s="46"/>
    </row>
    <row r="1048523" customFormat="false" ht="15.75" hidden="false" customHeight="true" outlineLevel="0" collapsed="false">
      <c r="A1048523" s="37" t="str">
        <f aca="false">IFERROR(__xludf.dummyfunction("""COMPUTED_VALUE"""),"Sinh học")</f>
        <v>Sinh học</v>
      </c>
      <c r="B1048523" s="37" t="str">
        <f aca="false">IFERROR(__xludf.dummyfunction("""COMPUTED_VALUE"""),"TOV_HSA_SH01")</f>
        <v>TOV_HSA_SH01</v>
      </c>
      <c r="C1048523" s="59" t="str">
        <f aca="false">IFERROR(__xludf.dummyfunction("""COMPUTED_VALUE"""),"Tổng quan Sinh học &amp; Tư duy đọc dữ liệu")</f>
        <v>Tổng quan Sinh học &amp; Tư duy đọc dữ liệu</v>
      </c>
      <c r="D1048523" s="39" t="str">
        <f aca="false">IFERROR(__xludf.dummyfunction("""COMPUTED_VALUE"""),"Nguyễn Dương Ánh Hồng")</f>
        <v>Nguyễn Dương Ánh Hồng</v>
      </c>
      <c r="E1048523" s="40" t="n">
        <f aca="false">IFERROR(__xludf.dummyfunction("""COMPUTED_VALUE"""),46192)</f>
        <v>46192</v>
      </c>
      <c r="F1048523" s="41" t="n">
        <f aca="false">IFERROR(__xludf.dummyfunction("""COMPUTED_VALUE"""),6)</f>
        <v>6</v>
      </c>
      <c r="G1048523" s="37" t="str">
        <f aca="false">IFERROR(__xludf.dummyfunction("""COMPUTED_VALUE"""),"20:00-22:00")</f>
        <v>20:00-22:00</v>
      </c>
      <c r="H1048523" s="42" t="str">
        <f aca="false">IFERROR(__xludf.dummyfunction("""COMPUTED_VALUE"""),"https://hocmai.vn/mod/scorm/view_file.php?inpopup=true&amp;id=180975")</f>
        <v>https://hocmai.vn/mod/scorm/view_file.php?inpopup=true&amp;id=180975</v>
      </c>
      <c r="I1048523" s="42" t="str">
        <f aca="false">IFERROR(__xludf.dummyfunction("""COMPUTED_VALUE"""),"https://hocmai.vn/mod/scorm/view_file.php?inpopup=true&amp;id=181020")</f>
        <v>https://hocmai.vn/mod/scorm/view_file.php?inpopup=true&amp;id=181020</v>
      </c>
      <c r="J1048523" s="42" t="str">
        <f aca="false">IFERROR(__xludf.dummyfunction("""COMPUTED_VALUE"""),"https://drive.google.com/drive/folders/1wKq8y33XK-dSy9M5IVc5TtsBJqRUr-Uq?usp=drive_link")</f>
        <v>https://drive.google.com/drive/folders/1wKq8y33XK-dSy9M5IVc5TtsBJqRUr-Uq?usp=drive_link</v>
      </c>
      <c r="K1048523" s="68" t="str">
        <f aca="false">IFERROR(__xludf.dummyfunction("""COMPUTED_VALUE"""),"Phuongdt")</f>
        <v>Phuongdt</v>
      </c>
      <c r="L1048523" s="68" t="str">
        <f aca="false">IFERROR(__xludf.dummyfunction("""COMPUTED_VALUE"""),"Phạm Quang Thành")</f>
        <v>Phạm Quang Thành</v>
      </c>
      <c r="M1048523" s="71"/>
      <c r="N1048523" s="77" t="str">
        <f aca="false">IFERROR(__xludf.dummyfunction("""COMPUTED_VALUE"""),"3121")</f>
        <v>3121</v>
      </c>
      <c r="O1048523" s="63" t="n">
        <f aca="false">IFERROR(__xludf.dummyfunction("""COMPUTED_VALUE"""),167318)</f>
        <v>167318</v>
      </c>
      <c r="P1048523" s="63"/>
      <c r="Q1048523" s="63"/>
      <c r="R1048523" s="41"/>
      <c r="S1048523" s="41"/>
      <c r="T1048523" s="63" t="n">
        <f aca="false">IFERROR(__xludf.dummyfunction("""COMPUTED_VALUE"""),23408)</f>
        <v>23408</v>
      </c>
      <c r="U1048523" s="63"/>
      <c r="V1048523" s="70" t="n">
        <f aca="false">IFERROR(__xludf.dummyfunction("""COMPUTED_VALUE"""),46195)</f>
        <v>46195</v>
      </c>
      <c r="W1048523" s="39" t="str">
        <f aca="false">IFERROR(__xludf.dummyfunction("""COMPUTED_VALUE"""),"Hoàn thành XB")</f>
        <v>Hoàn thành XB</v>
      </c>
      <c r="X1048523" s="41" t="str">
        <f aca="false">IFERROR(__xludf.dummyfunction("""COMPUTED_VALUE"""),"Phuongdt")</f>
        <v>Phuongdt</v>
      </c>
      <c r="Y1048523" s="44" t="str">
        <f aca="false">IFERROR(__xludf.dummyfunction("""COMPUTED_VALUE"""),"done")</f>
        <v>done</v>
      </c>
      <c r="Z1048523" s="57" t="str">
        <f aca="false">IFERROR(__xludf.dummyfunction("""COMPUTED_VALUE"""),"#N/A")</f>
        <v>#N/A</v>
      </c>
      <c r="AA1048523" s="57"/>
      <c r="AB1048523" s="41" t="n">
        <f aca="false">IFERROR(__xludf.dummyfunction("""COMPUTED_VALUE"""),6)</f>
        <v>6</v>
      </c>
      <c r="AC1048523" s="57" t="str">
        <f aca="false">IFERROR(__xludf.dummyfunction("""COMPUTED_VALUE"""),"gv.hongnda@hocmai.edu.vn ")</f>
        <v>gv.hongnda@hocmai.edu.vn </v>
      </c>
      <c r="AD1048523" s="46" t="str">
        <f aca="false">IFERROR(__xludf.dummyfunction("""COMPUTED_VALUE"""),"nguyenquockhanh8823@gmail.com")</f>
        <v>nguyenquockhanh8823@gmail.com</v>
      </c>
      <c r="AE1048523" s="46"/>
      <c r="AF1048523" s="74" t="b">
        <f aca="false">IFERROR(__xludf.dummyfunction("""COMPUTED_VALUE"""),FALSE())</f>
        <v>0</v>
      </c>
      <c r="AG1048523" s="46" t="str">
        <f aca="false">IFERROR(__xludf.dummyfunction("""COMPUTED_VALUE"""),"")</f>
        <v/>
      </c>
      <c r="AH1048523" s="35"/>
      <c r="AI1048523" s="35"/>
      <c r="AJ1048523" s="53" t="b">
        <f aca="false">IFERROR(__xludf.dummyfunction("""COMPUTED_VALUE"""),TRUE())</f>
        <v>1</v>
      </c>
      <c r="AK1048523" s="53" t="b">
        <f aca="false">IFERROR(__xludf.dummyfunction("""COMPUTED_VALUE"""),TRUE())</f>
        <v>1</v>
      </c>
      <c r="AL1048523" s="35"/>
      <c r="AM1048523" s="35"/>
      <c r="AN1048523" s="35"/>
      <c r="AO1048523" s="46"/>
    </row>
    <row r="1048524" customFormat="false" ht="15.75" hidden="false" customHeight="true" outlineLevel="0" collapsed="false">
      <c r="A1048524" s="37" t="str">
        <f aca="false">IFERROR(__xludf.dummyfunction("""COMPUTED_VALUE"""),"Hóa học")</f>
        <v>Hóa học</v>
      </c>
      <c r="B1048524" s="37" t="str">
        <f aca="false">IFERROR(__xludf.dummyfunction("""COMPUTED_VALUE"""),"TOV_TSA_H01")</f>
        <v>TOV_TSA_H01</v>
      </c>
      <c r="C1048524" s="59" t="str">
        <f aca="false">IFERROR(__xludf.dummyfunction("""COMPUTED_VALUE"""),"Thế giới nguyên tử và Sự tuần hoàn")</f>
        <v>Thế giới nguyên tử và Sự tuần hoàn</v>
      </c>
      <c r="D1048524" s="39" t="str">
        <f aca="false">IFERROR(__xludf.dummyfunction("""COMPUTED_VALUE"""),"Vũ Khắc Ngọc")</f>
        <v>Vũ Khắc Ngọc</v>
      </c>
      <c r="E1048524" s="40" t="n">
        <f aca="false">IFERROR(__xludf.dummyfunction("""COMPUTED_VALUE"""),46193)</f>
        <v>46193</v>
      </c>
      <c r="F1048524" s="41" t="n">
        <f aca="false">IFERROR(__xludf.dummyfunction("""COMPUTED_VALUE"""),7)</f>
        <v>7</v>
      </c>
      <c r="G1048524" s="37" t="str">
        <f aca="false">IFERROR(__xludf.dummyfunction("""COMPUTED_VALUE"""),"21:30-23:30")</f>
        <v>21:30-23:30</v>
      </c>
      <c r="H1048524" s="42" t="str">
        <f aca="false">IFERROR(__xludf.dummyfunction("""COMPUTED_VALUE"""),"https://hocmai.vn/file.php/3110/Nam_hoc_2026_-_2027/HOA_HOC/TL_Live/TLHS_TOV_TSA_H01-The_gioi_nguyen_tu_va_Su_tuan_hoan.pdf")</f>
        <v>https://hocmai.vn/file.php/3110/Nam_hoc_2026_-_2027/HOA_HOC/TL_Live/TLHS_TOV_TSA_H01-The_gioi_nguyen_tu_va_Su_tuan_hoan.pdf</v>
      </c>
      <c r="I1048524" s="42" t="str">
        <f aca="false">IFERROR(__xludf.dummyfunction("""COMPUTED_VALUE"""),"https://hocmai.vn/mod/scorm/view_file.php?id=181225")</f>
        <v>https://hocmai.vn/mod/scorm/view_file.php?id=181225</v>
      </c>
      <c r="J1048524" s="42" t="str">
        <f aca="false">IFERROR(__xludf.dummyfunction("""COMPUTED_VALUE"""),"https://drive.google.com/file/d/1R6gEgvAeeTuH6ehjgVV_2ztoLrNZej0t/view?usp=drive_link")</f>
        <v>https://drive.google.com/file/d/1R6gEgvAeeTuH6ehjgVV_2ztoLrNZej0t/view?usp=drive_link</v>
      </c>
      <c r="K1048524" s="68" t="str">
        <f aca="false">IFERROR(__xludf.dummyfunction("""COMPUTED_VALUE"""),"Huebt")</f>
        <v>Huebt</v>
      </c>
      <c r="L1048524" s="68" t="str">
        <f aca="false">IFERROR(__xludf.dummyfunction("""COMPUTED_VALUE"""),"Bùi Vĩnh Thọ")</f>
        <v>Bùi Vĩnh Thọ</v>
      </c>
      <c r="M1048524" s="71"/>
      <c r="N1048524" s="77" t="str">
        <f aca="false">IFERROR(__xludf.dummyfunction("""COMPUTED_VALUE"""),"3110")</f>
        <v>3110</v>
      </c>
      <c r="O1048524" s="63" t="n">
        <f aca="false">IFERROR(__xludf.dummyfunction("""COMPUTED_VALUE"""),167247)</f>
        <v>167247</v>
      </c>
      <c r="P1048524" s="63"/>
      <c r="Q1048524" s="63"/>
      <c r="R1048524" s="41"/>
      <c r="S1048524" s="41"/>
      <c r="T1048524" s="63" t="n">
        <f aca="false">IFERROR(__xludf.dummyfunction("""COMPUTED_VALUE"""),23590)</f>
        <v>23590</v>
      </c>
      <c r="U1048524" s="63" t="n">
        <f aca="false">IFERROR(__xludf.dummyfunction("""COMPUTED_VALUE"""),10599)</f>
        <v>10599</v>
      </c>
      <c r="V1048524" s="70" t="n">
        <f aca="false">IFERROR(__xludf.dummyfunction("""COMPUTED_VALUE"""),46196)</f>
        <v>46196</v>
      </c>
      <c r="W1048524" s="39" t="str">
        <f aca="false">IFERROR(__xludf.dummyfunction("""COMPUTED_VALUE"""),"Hoàn thành XB")</f>
        <v>Hoàn thành XB</v>
      </c>
      <c r="X1048524" s="41" t="str">
        <f aca="false">IFERROR(__xludf.dummyfunction("""COMPUTED_VALUE"""),"Huebt")</f>
        <v>Huebt</v>
      </c>
      <c r="Y1048524" s="44" t="str">
        <f aca="false">IFERROR(__xludf.dummyfunction("""COMPUTED_VALUE"""),"done")</f>
        <v>done</v>
      </c>
      <c r="Z1048524" s="57" t="str">
        <f aca="false">IFERROR(__xludf.dummyfunction("""COMPUTED_VALUE"""),"#N/A")</f>
        <v>#N/A</v>
      </c>
      <c r="AA1048524" s="57"/>
      <c r="AB1048524" s="41" t="n">
        <f aca="false">IFERROR(__xludf.dummyfunction("""COMPUTED_VALUE"""),6)</f>
        <v>6</v>
      </c>
      <c r="AC1048524" s="57" t="str">
        <f aca="false">IFERROR(__xludf.dummyfunction("""COMPUTED_VALUE"""),"gv.ngocvk@hocmai.edu.vn")</f>
        <v>gv.ngocvk@hocmai.edu.vn</v>
      </c>
      <c r="AD1048524" s="46" t="str">
        <f aca="false">IFERROR(__xludf.dummyfunction("""COMPUTED_VALUE"""),"vinhtho0704@gmail.com")</f>
        <v>vinhtho0704@gmail.com</v>
      </c>
      <c r="AE1048524" s="46"/>
      <c r="AF1048524" s="74" t="b">
        <f aca="false">IFERROR(__xludf.dummyfunction("""COMPUTED_VALUE"""),FALSE())</f>
        <v>0</v>
      </c>
      <c r="AG1048524" s="46" t="str">
        <f aca="false">IFERROR(__xludf.dummyfunction("""COMPUTED_VALUE"""),"")</f>
        <v/>
      </c>
      <c r="AH1048524" s="35"/>
      <c r="AI1048524" s="53" t="b">
        <f aca="false">IFERROR(__xludf.dummyfunction("""COMPUTED_VALUE"""),TRUE())</f>
        <v>1</v>
      </c>
      <c r="AJ1048524" s="35"/>
      <c r="AK1048524" s="35"/>
      <c r="AL1048524" s="35"/>
      <c r="AM1048524" s="35"/>
      <c r="AN1048524" s="35"/>
      <c r="AO1048524" s="46"/>
    </row>
    <row r="1048525" customFormat="false" ht="15.75" hidden="false" customHeight="true" outlineLevel="0" collapsed="false">
      <c r="A1048525" s="37" t="str">
        <f aca="false">IFERROR(__xludf.dummyfunction("""COMPUTED_VALUE"""),"Tiếng Anh")</f>
        <v>Tiếng Anh</v>
      </c>
      <c r="B1048525" s="37" t="str">
        <f aca="false">IFERROR(__xludf.dummyfunction("""COMPUTED_VALUE"""),"TOS_V-ACT_TA01")</f>
        <v>TOS_V-ACT_TA01</v>
      </c>
      <c r="C1048525" s="59" t="str">
        <f aca="false">IFERROR(__xludf.dummyfunction("""COMPUTED_VALUE"""),"Tổng ôn ngữ pháp: Từ loại và trật tự từ")</f>
        <v>Tổng ôn ngữ pháp: Từ loại và trật tự từ</v>
      </c>
      <c r="D1048525" s="39" t="str">
        <f aca="false">IFERROR(__xludf.dummyfunction("""COMPUTED_VALUE"""),"Nguyễn Phương Linh")</f>
        <v>Nguyễn Phương Linh</v>
      </c>
      <c r="E1048525" s="40" t="n">
        <f aca="false">IFERROR(__xludf.dummyfunction("""COMPUTED_VALUE"""),46193)</f>
        <v>46193</v>
      </c>
      <c r="F1048525" s="41" t="n">
        <f aca="false">IFERROR(__xludf.dummyfunction("""COMPUTED_VALUE"""),7)</f>
        <v>7</v>
      </c>
      <c r="G1048525" s="37" t="str">
        <f aca="false">IFERROR(__xludf.dummyfunction("""COMPUTED_VALUE"""),"18:00-19:30")</f>
        <v>18:00-19:30</v>
      </c>
      <c r="H1048525" s="42" t="str">
        <f aca="false">IFERROR(__xludf.dummyfunction("""COMPUTED_VALUE"""),"https://hocmai.vn/mod/scorm/view_file.php?inpopup=true&amp;id=181014")</f>
        <v>https://hocmai.vn/mod/scorm/view_file.php?inpopup=true&amp;id=181014</v>
      </c>
      <c r="I1048525" s="42" t="str">
        <f aca="false">IFERROR(__xludf.dummyfunction("""COMPUTED_VALUE"""),"https://hocmai.vn/mod/scorm/view_file.php?inpopup=true&amp;id=181023")</f>
        <v>https://hocmai.vn/mod/scorm/view_file.php?inpopup=true&amp;id=181023</v>
      </c>
      <c r="J1048525" s="42" t="str">
        <f aca="false">IFERROR(__xludf.dummyfunction("""COMPUTED_VALUE"""),"https://drive.google.com/file/d/1r0Ryz4Hybtz3pNf5AVpZimrmcrQoEEFW/view?usp=drive_link")</f>
        <v>https://drive.google.com/file/d/1r0Ryz4Hybtz3pNf5AVpZimrmcrQoEEFW/view?usp=drive_link</v>
      </c>
      <c r="K1048525" s="68" t="str">
        <f aca="false">IFERROR(__xludf.dummyfunction("""COMPUTED_VALUE"""),"Dienlt")</f>
        <v>Dienlt</v>
      </c>
      <c r="L1048525" s="68" t="str">
        <f aca="false">IFERROR(__xludf.dummyfunction("""COMPUTED_VALUE"""),"Lê Quốc Việt")</f>
        <v>Lê Quốc Việt</v>
      </c>
      <c r="M1048525" s="71"/>
      <c r="N1048525" s="77" t="str">
        <f aca="false">IFERROR(__xludf.dummyfunction("""COMPUTED_VALUE"""),"3339")</f>
        <v>3339</v>
      </c>
      <c r="O1048525" s="63" t="n">
        <f aca="false">IFERROR(__xludf.dummyfunction("""COMPUTED_VALUE"""),167629)</f>
        <v>167629</v>
      </c>
      <c r="P1048525" s="63"/>
      <c r="Q1048525" s="63"/>
      <c r="R1048525" s="41"/>
      <c r="S1048525" s="41"/>
      <c r="T1048525" s="63"/>
      <c r="U1048525" s="63"/>
      <c r="V1048525" s="70" t="n">
        <f aca="false">IFERROR(__xludf.dummyfunction("""COMPUTED_VALUE"""),46196)</f>
        <v>46196</v>
      </c>
      <c r="W1048525" s="39" t="str">
        <f aca="false">IFERROR(__xludf.dummyfunction("""COMPUTED_VALUE"""),"Hoàn thành XB")</f>
        <v>Hoàn thành XB</v>
      </c>
      <c r="X1048525" s="41" t="str">
        <f aca="false">IFERROR(__xludf.dummyfunction("""COMPUTED_VALUE"""),"Dienlt")</f>
        <v>Dienlt</v>
      </c>
      <c r="Y1048525" s="44" t="str">
        <f aca="false">IFERROR(__xludf.dummyfunction("""COMPUTED_VALUE"""),"done")</f>
        <v>done</v>
      </c>
      <c r="Z1048525" s="57" t="str">
        <f aca="false">IFERROR(__xludf.dummyfunction("""COMPUTED_VALUE"""),"#N/A")</f>
        <v>#N/A</v>
      </c>
      <c r="AA1048525" s="57"/>
      <c r="AB1048525" s="41" t="n">
        <f aca="false">IFERROR(__xludf.dummyfunction("""COMPUTED_VALUE"""),6)</f>
        <v>6</v>
      </c>
      <c r="AC1048525" s="57" t="str">
        <f aca="false">IFERROR(__xludf.dummyfunction("""COMPUTED_VALUE"""),"gv.linhnp@hocmai.edu.vn		")</f>
        <v>gv.linhnp@hocmai.edu.vn		</v>
      </c>
      <c r="AD1048525" s="46" t="str">
        <f aca="false">IFERROR(__xludf.dummyfunction("""COMPUTED_VALUE"""),"Ralph02091@gmail.com")</f>
        <v>Ralph02091@gmail.com</v>
      </c>
      <c r="AE1048525" s="46"/>
      <c r="AF1048525" s="47" t="str">
        <f aca="false">IFERROR(__xludf.dummyfunction("""COMPUTED_VALUE"""),"lophoctienganh46193")</f>
        <v>lophoctienganh46193</v>
      </c>
      <c r="AG1048525" s="46" t="str">
        <f aca="false">IFERROR(__xludf.dummyfunction("""COMPUTED_VALUE"""),"")</f>
        <v/>
      </c>
      <c r="AH1048525" s="35"/>
      <c r="AI1048525" s="35"/>
      <c r="AJ1048525" s="35"/>
      <c r="AK1048525" s="35"/>
      <c r="AL1048525" s="35"/>
      <c r="AM1048525" s="35"/>
      <c r="AN1048525" s="53" t="b">
        <f aca="false">IFERROR(__xludf.dummyfunction("""COMPUTED_VALUE"""),TRUE())</f>
        <v>1</v>
      </c>
      <c r="AO1048525" s="46"/>
    </row>
    <row r="1048526" customFormat="false" ht="15.75" hidden="false" customHeight="true" outlineLevel="0" collapsed="false">
      <c r="A1048526" s="37" t="str">
        <f aca="false">IFERROR(__xludf.dummyfunction("""COMPUTED_VALUE"""),"Toán")</f>
        <v>Toán</v>
      </c>
      <c r="B1048526" s="37" t="str">
        <f aca="false">IFERROR(__xludf.dummyfunction("""COMPUTED_VALUE"""),"NT_N_10")</f>
        <v>NT_N_10</v>
      </c>
      <c r="C1048526" s="59" t="str">
        <f aca="false">IFERROR(__xludf.dummyfunction("""COMPUTED_VALUE"""),"Tương giao của đồ thị hàm số")</f>
        <v>Tương giao của đồ thị hàm số</v>
      </c>
      <c r="D1048526" s="39" t="str">
        <f aca="false">IFERROR(__xludf.dummyfunction("""COMPUTED_VALUE"""),"Nguyễn Hoài Nam")</f>
        <v>Nguyễn Hoài Nam</v>
      </c>
      <c r="E1048526" s="40" t="n">
        <f aca="false">IFERROR(__xludf.dummyfunction("""COMPUTED_VALUE"""),46194)</f>
        <v>46194</v>
      </c>
      <c r="F1048526" s="41" t="str">
        <f aca="false">IFERROR(__xludf.dummyfunction("""COMPUTED_VALUE"""),"CN")</f>
        <v>CN</v>
      </c>
      <c r="G1048526" s="37" t="str">
        <f aca="false">IFERROR(__xludf.dummyfunction("""COMPUTED_VALUE"""),"21:00-22:30")</f>
        <v>21:00-22:30</v>
      </c>
      <c r="H1048526" s="42" t="str">
        <f aca="false">IFERROR(__xludf.dummyfunction("""COMPUTED_VALUE"""),"https://hocmai.vn/mod/scorm/view_file.php?inpopup=true&amp;id=181195")</f>
        <v>https://hocmai.vn/mod/scorm/view_file.php?inpopup=true&amp;id=181195</v>
      </c>
      <c r="I1048526" s="42" t="str">
        <f aca="false">IFERROR(__xludf.dummyfunction("""COMPUTED_VALUE"""),"https://hocmai.vn/mod/scorm/view_file.php?inpopup=true&amp;id=181196")</f>
        <v>https://hocmai.vn/mod/scorm/view_file.php?inpopup=true&amp;id=181196</v>
      </c>
      <c r="J1048526" s="42" t="str">
        <f aca="false">IFERROR(__xludf.dummyfunction("""COMPUTED_VALUE"""),"https://drive.google.com/drive/folders/1XT_t_JyRwQOIJN5-E7xlk-2e3NdgDL-b?usp=drive_link")</f>
        <v>https://drive.google.com/drive/folders/1XT_t_JyRwQOIJN5-E7xlk-2e3NdgDL-b?usp=drive_link</v>
      </c>
      <c r="K1048526" s="68" t="str">
        <f aca="false">IFERROR(__xludf.dummyfunction("""COMPUTED_VALUE"""),"lent")</f>
        <v>lent</v>
      </c>
      <c r="L1048526" s="68" t="str">
        <f aca="false">IFERROR(__xludf.dummyfunction("""COMPUTED_VALUE"""),"Tưởng Thị Huyền Trang")</f>
        <v>Tưởng Thị Huyền Trang</v>
      </c>
      <c r="M1048526" s="69" t="str">
        <f aca="false">IFERROR(__xludf.dummyfunction("""COMPUTED_VALUE"""),"https://hocmai.sharepoint.com/Education_Development/Lists/San_xuat_video/DispForm.aspx?ID=12197")</f>
        <v>https://hocmai.sharepoint.com/Education_Development/Lists/San_xuat_video/DispForm.aspx?ID=12197</v>
      </c>
      <c r="N1048526" s="78" t="n">
        <f aca="false">IFERROR(__xludf.dummyfunction("""COMPUTED_VALUE"""),3313)</f>
        <v>3313</v>
      </c>
      <c r="O1048526" s="63" t="n">
        <f aca="false">IFERROR(__xludf.dummyfunction("""COMPUTED_VALUE"""),166635)</f>
        <v>166635</v>
      </c>
      <c r="P1048526" s="63"/>
      <c r="Q1048526" s="63" t="n">
        <f aca="false">IFERROR(__xludf.dummyfunction("""COMPUTED_VALUE"""),8016)</f>
        <v>8016</v>
      </c>
      <c r="R1048526" s="41"/>
      <c r="S1048526" s="41"/>
      <c r="T1048526" s="63" t="n">
        <f aca="false">IFERROR(__xludf.dummyfunction("""COMPUTED_VALUE"""),8017)</f>
        <v>8017</v>
      </c>
      <c r="U1048526" s="63" t="n">
        <f aca="false">IFERROR(__xludf.dummyfunction("""COMPUTED_VALUE"""),23546)</f>
        <v>23546</v>
      </c>
      <c r="V1048526" s="70" t="n">
        <f aca="false">IFERROR(__xludf.dummyfunction("""COMPUTED_VALUE"""),46196)</f>
        <v>46196</v>
      </c>
      <c r="W1048526" s="39" t="str">
        <f aca="false">IFERROR(__xludf.dummyfunction("""COMPUTED_VALUE"""),"Hoàn thành XB")</f>
        <v>Hoàn thành XB</v>
      </c>
      <c r="X1048526" s="41" t="str">
        <f aca="false">IFERROR(__xludf.dummyfunction("""COMPUTED_VALUE"""),"Huent7")</f>
        <v>Huent7</v>
      </c>
      <c r="Y1048526" s="44"/>
      <c r="Z1048526" s="57"/>
      <c r="AA1048526" s="57"/>
      <c r="AB1048526" s="41" t="n">
        <f aca="false">IFERROR(__xludf.dummyfunction("""COMPUTED_VALUE"""),6)</f>
        <v>6</v>
      </c>
      <c r="AC1048526" s="57"/>
      <c r="AD1048526" s="46"/>
      <c r="AE1048526" s="46"/>
      <c r="AF1048526" s="47" t="str">
        <f aca="false">IFERROR(__xludf.dummyfunction("""COMPUTED_VALUE"""),"lophoctoan-946194")</f>
        <v>lophoctoan-946194</v>
      </c>
      <c r="AG1048526" s="46" t="str">
        <f aca="false">IFERROR(__xludf.dummyfunction("""COMPUTED_VALUE"""),"")</f>
        <v/>
      </c>
      <c r="AH1048526" s="53" t="b">
        <f aca="false">IFERROR(__xludf.dummyfunction("""COMPUTED_VALUE"""),TRUE())</f>
        <v>1</v>
      </c>
      <c r="AI1048526" s="35"/>
      <c r="AJ1048526" s="35"/>
      <c r="AK1048526" s="35"/>
      <c r="AL1048526" s="35"/>
      <c r="AM1048526" s="35"/>
      <c r="AN1048526" s="35"/>
      <c r="AO1048526" s="46"/>
    </row>
    <row r="1048527" customFormat="false" ht="15.75" hidden="false" customHeight="true" outlineLevel="0" collapsed="false">
      <c r="A1048527" s="37" t="str">
        <f aca="false">IFERROR(__xludf.dummyfunction("""COMPUTED_VALUE"""),"Toán")</f>
        <v>Toán</v>
      </c>
      <c r="B1048527" s="37" t="str">
        <f aca="false">IFERROR(__xludf.dummyfunction("""COMPUTED_VALUE"""),"NT_T_26")</f>
        <v>NT_T_26</v>
      </c>
      <c r="C1048527" s="59" t="str">
        <f aca="false">IFERROR(__xludf.dummyfunction("""COMPUTED_VALUE"""),"Phương pháp tính nguyên hàm")</f>
        <v>Phương pháp tính nguyên hàm</v>
      </c>
      <c r="D1048527" s="39" t="str">
        <f aca="false">IFERROR(__xludf.dummyfunction("""COMPUTED_VALUE"""),"Nguyễn Thanh Tùng")</f>
        <v>Nguyễn Thanh Tùng</v>
      </c>
      <c r="E1048527" s="40" t="n">
        <f aca="false">IFERROR(__xludf.dummyfunction("""COMPUTED_VALUE"""),46194)</f>
        <v>46194</v>
      </c>
      <c r="F1048527" s="41" t="str">
        <f aca="false">IFERROR(__xludf.dummyfunction("""COMPUTED_VALUE"""),"CN")</f>
        <v>CN</v>
      </c>
      <c r="G1048527" s="37" t="str">
        <f aca="false">IFERROR(__xludf.dummyfunction("""COMPUTED_VALUE"""),"18:00-20:00")</f>
        <v>18:00-20:00</v>
      </c>
      <c r="H1048527" s="42" t="str">
        <f aca="false">IFERROR(__xludf.dummyfunction("""COMPUTED_VALUE"""),"https://hocmai.vn/mod/scorm/view_file.php?id=181205")</f>
        <v>https://hocmai.vn/mod/scorm/view_file.php?id=181205</v>
      </c>
      <c r="I1048527" s="42" t="str">
        <f aca="false">IFERROR(__xludf.dummyfunction("""COMPUTED_VALUE"""),"https://hocmai.vn/mod/scorm/view_file.php?id=181227")</f>
        <v>https://hocmai.vn/mod/scorm/view_file.php?id=181227</v>
      </c>
      <c r="J1048527" s="42" t="str">
        <f aca="false">IFERROR(__xludf.dummyfunction("""COMPUTED_VALUE"""),"https://drive.google.com/drive/folders/1Cg_dCU169HROL3BC0bwpGuesRbQBrDy0?usp=drive_link")</f>
        <v>https://drive.google.com/drive/folders/1Cg_dCU169HROL3BC0bwpGuesRbQBrDy0?usp=drive_link</v>
      </c>
      <c r="K1048527" s="68" t="str">
        <f aca="false">IFERROR(__xludf.dummyfunction("""COMPUTED_VALUE"""),"Chientd2")</f>
        <v>Chientd2</v>
      </c>
      <c r="L1048527" s="68" t="str">
        <f aca="false">IFERROR(__xludf.dummyfunction("""COMPUTED_VALUE"""),"Tưởng Thị Huyền Trang")</f>
        <v>Tưởng Thị Huyền Trang</v>
      </c>
      <c r="M1048527" s="69" t="str">
        <f aca="false">IFERROR(__xludf.dummyfunction("""COMPUTED_VALUE"""),"https://hocmai.sharepoint.com/Education_Development/Lists/San_xuat_video/DispForm.aspx?ID=12165")</f>
        <v>https://hocmai.sharepoint.com/Education_Development/Lists/San_xuat_video/DispForm.aspx?ID=12165</v>
      </c>
      <c r="N1048527" s="63" t="n">
        <f aca="false">IFERROR(__xludf.dummyfunction("""COMPUTED_VALUE"""),3312)</f>
        <v>3312</v>
      </c>
      <c r="O1048527" s="63" t="n">
        <f aca="false">IFERROR(__xludf.dummyfunction("""COMPUTED_VALUE"""),166559)</f>
        <v>166559</v>
      </c>
      <c r="P1048527" s="63"/>
      <c r="Q1048527" s="63" t="n">
        <f aca="false">IFERROR(__xludf.dummyfunction("""COMPUTED_VALUE"""),7934)</f>
        <v>7934</v>
      </c>
      <c r="R1048527" s="41"/>
      <c r="S1048527" s="41"/>
      <c r="T1048527" s="63" t="n">
        <f aca="false">IFERROR(__xludf.dummyfunction("""COMPUTED_VALUE"""),7935)</f>
        <v>7935</v>
      </c>
      <c r="U1048527" s="63" t="n">
        <f aca="false">IFERROR(__xludf.dummyfunction("""COMPUTED_VALUE"""),23589)</f>
        <v>23589</v>
      </c>
      <c r="V1048527" s="70" t="n">
        <f aca="false">IFERROR(__xludf.dummyfunction("""COMPUTED_VALUE"""),46197)</f>
        <v>46197</v>
      </c>
      <c r="W1048527" s="39" t="str">
        <f aca="false">IFERROR(__xludf.dummyfunction("""COMPUTED_VALUE"""),"Hoàn thành XB")</f>
        <v>Hoàn thành XB</v>
      </c>
      <c r="X1048527" s="41" t="str">
        <f aca="false">IFERROR(__xludf.dummyfunction("""COMPUTED_VALUE"""),"Huent7")</f>
        <v>Huent7</v>
      </c>
      <c r="Y1048527" s="44"/>
      <c r="Z1048527" s="57"/>
      <c r="AA1048527" s="57" t="str">
        <f aca="false">IFERROR(__xludf.dummyfunction("""COMPUTED_VALUE"""),"EM")</f>
        <v>EM</v>
      </c>
      <c r="AB1048527" s="41" t="n">
        <f aca="false">IFERROR(__xludf.dummyfunction("""COMPUTED_VALUE"""),6)</f>
        <v>6</v>
      </c>
      <c r="AC1048527" s="57"/>
      <c r="AD1048527" s="46"/>
      <c r="AE1048527" s="46"/>
      <c r="AF1048527" s="47" t="str">
        <f aca="false">IFERROR(__xludf.dummyfunction("""COMPUTED_VALUE"""),"lophoctoan-946194")</f>
        <v>lophoctoan-946194</v>
      </c>
      <c r="AG1048527" s="46" t="str">
        <f aca="false">IFERROR(__xludf.dummyfunction("""COMPUTED_VALUE"""),"")</f>
        <v/>
      </c>
      <c r="AH1048527" s="53" t="b">
        <f aca="false">IFERROR(__xludf.dummyfunction("""COMPUTED_VALUE"""),TRUE())</f>
        <v>1</v>
      </c>
      <c r="AI1048527" s="35"/>
      <c r="AJ1048527" s="35"/>
      <c r="AK1048527" s="35"/>
      <c r="AL1048527" s="35"/>
      <c r="AM1048527" s="35"/>
      <c r="AN1048527" s="35"/>
      <c r="AO1048527" s="46"/>
    </row>
    <row r="1048528" customFormat="false" ht="15.75" hidden="false" customHeight="true" outlineLevel="0" collapsed="false">
      <c r="A1048528" s="37" t="str">
        <f aca="false">IFERROR(__xludf.dummyfunction("""COMPUTED_VALUE"""),"Đọc hiểu")</f>
        <v>Đọc hiểu</v>
      </c>
      <c r="B1048528" s="37" t="str">
        <f aca="false">IFERROR(__xludf.dummyfunction("""COMPUTED_VALUE"""),"TOV_TSA_DH02")</f>
        <v>TOV_TSA_DH02</v>
      </c>
      <c r="C1048528" s="59" t="str">
        <f aca="false">IFERROR(__xludf.dummyfunction("""COMPUTED_VALUE"""),"Luyện đọc văn bản có định hướng")</f>
        <v>Luyện đọc văn bản có định hướng</v>
      </c>
      <c r="D1048528" s="39" t="str">
        <f aca="false">IFERROR(__xludf.dummyfunction("""COMPUTED_VALUE"""),"Vương Thúy Hằng")</f>
        <v>Vương Thúy Hằng</v>
      </c>
      <c r="E1048528" s="40" t="n">
        <f aca="false">IFERROR(__xludf.dummyfunction("""COMPUTED_VALUE"""),46195)</f>
        <v>46195</v>
      </c>
      <c r="F1048528" s="41" t="n">
        <f aca="false">IFERROR(__xludf.dummyfunction("""COMPUTED_VALUE"""),2)</f>
        <v>2</v>
      </c>
      <c r="G1048528" s="37" t="str">
        <f aca="false">IFERROR(__xludf.dummyfunction("""COMPUTED_VALUE"""),"21:30-23:30")</f>
        <v>21:30-23:30</v>
      </c>
      <c r="H1048528" s="42" t="str">
        <f aca="false">IFERROR(__xludf.dummyfunction("""COMPUTED_VALUE"""),"https://hocmai.vn/mod/scorm/view_file.php?id=181291")</f>
        <v>https://hocmai.vn/mod/scorm/view_file.php?id=181291</v>
      </c>
      <c r="I1048528" s="42" t="str">
        <f aca="false">IFERROR(__xludf.dummyfunction("""COMPUTED_VALUE"""),"https://hocmai.vn/mod/scorm/view_file.php?inpopup=true&amp;id=181303")</f>
        <v>https://hocmai.vn/mod/scorm/view_file.php?inpopup=true&amp;id=181303</v>
      </c>
      <c r="J1048528" s="42" t="str">
        <f aca="false">IFERROR(__xludf.dummyfunction("""COMPUTED_VALUE"""),"https://drive.google.com/file/d/1I4D--9YMOYbV6laGTSr36CG-8ZuStet5/view?usp=drive_link")</f>
        <v>https://drive.google.com/file/d/1I4D--9YMOYbV6laGTSr36CG-8ZuStet5/view?usp=drive_link</v>
      </c>
      <c r="K1048528" s="68" t="str">
        <f aca="false">IFERROR(__xludf.dummyfunction("""COMPUTED_VALUE"""),"Hangvt3")</f>
        <v>Hangvt3</v>
      </c>
      <c r="L1048528" s="68" t="str">
        <f aca="false">IFERROR(__xludf.dummyfunction("""COMPUTED_VALUE"""),"Phan Đức Kiên")</f>
        <v>Phan Đức Kiên</v>
      </c>
      <c r="M1048528" s="71"/>
      <c r="N1048528" s="77" t="str">
        <f aca="false">IFERROR(__xludf.dummyfunction("""COMPUTED_VALUE"""),"3109")</f>
        <v>3109</v>
      </c>
      <c r="O1048528" s="63" t="n">
        <f aca="false">IFERROR(__xludf.dummyfunction("""COMPUTED_VALUE"""),167225)</f>
        <v>167225</v>
      </c>
      <c r="P1048528" s="63"/>
      <c r="Q1048528" s="63"/>
      <c r="R1048528" s="41"/>
      <c r="S1048528" s="41"/>
      <c r="T1048528" s="63"/>
      <c r="U1048528" s="63"/>
      <c r="V1048528" s="70" t="n">
        <f aca="false">IFERROR(__xludf.dummyfunction("""COMPUTED_VALUE"""),46198)</f>
        <v>46198</v>
      </c>
      <c r="W1048528" s="39" t="str">
        <f aca="false">IFERROR(__xludf.dummyfunction("""COMPUTED_VALUE"""),"Hoàn thành XB")</f>
        <v>Hoàn thành XB</v>
      </c>
      <c r="X1048528" s="41" t="str">
        <f aca="false">IFERROR(__xludf.dummyfunction("""COMPUTED_VALUE"""),"Hoantt")</f>
        <v>Hoantt</v>
      </c>
      <c r="Y1048528" s="44" t="str">
        <f aca="false">IFERROR(__xludf.dummyfunction("""COMPUTED_VALUE"""),"done")</f>
        <v>done</v>
      </c>
      <c r="Z1048528" s="57" t="str">
        <f aca="false">IFERROR(__xludf.dummyfunction("""COMPUTED_VALUE"""),"#N/A")</f>
        <v>#N/A</v>
      </c>
      <c r="AA1048528" s="57"/>
      <c r="AB1048528" s="41" t="n">
        <f aca="false">IFERROR(__xludf.dummyfunction("""COMPUTED_VALUE"""),6)</f>
        <v>6</v>
      </c>
      <c r="AC1048528" s="57" t="str">
        <f aca="false">IFERROR(__xludf.dummyfunction("""COMPUTED_VALUE"""),"gv.hangvt@hocmai.edu.vn ")</f>
        <v>gv.hangvt@hocmai.edu.vn </v>
      </c>
      <c r="AD1048528" s="46" t="str">
        <f aca="false">IFERROR(__xludf.dummyfunction("""COMPUTED_VALUE"""),"duckien010607@gmail.com")</f>
        <v>duckien010607@gmail.com</v>
      </c>
      <c r="AE1048528" s="46"/>
      <c r="AF1048528" s="47" t="str">
        <f aca="false">IFERROR(__xludf.dummyfunction("""COMPUTED_VALUE"""),"lophoctoan-946195")</f>
        <v>lophoctoan-946195</v>
      </c>
      <c r="AG1048528" s="46" t="str">
        <f aca="false">IFERROR(__xludf.dummyfunction("""COMPUTED_VALUE"""),"")</f>
        <v/>
      </c>
      <c r="AH1048528" s="35"/>
      <c r="AI1048528" s="53" t="b">
        <f aca="false">IFERROR(__xludf.dummyfunction("""COMPUTED_VALUE"""),TRUE())</f>
        <v>1</v>
      </c>
      <c r="AJ1048528" s="35"/>
      <c r="AK1048528" s="35"/>
      <c r="AL1048528" s="35"/>
      <c r="AM1048528" s="35"/>
      <c r="AN1048528" s="35"/>
      <c r="AO1048528" s="46"/>
    </row>
    <row r="1048529" customFormat="false" ht="15.75" hidden="false" customHeight="true" outlineLevel="0" collapsed="false">
      <c r="A1048529" s="37" t="str">
        <f aca="false">IFERROR(__xludf.dummyfunction("""COMPUTED_VALUE"""),"Tiếng Anh")</f>
        <v>Tiếng Anh</v>
      </c>
      <c r="B1048529" s="37" t="str">
        <f aca="false">IFERROR(__xludf.dummyfunction("""COMPUTED_VALUE"""),"TOV_HV_TA02")</f>
        <v>TOV_HV_TA02</v>
      </c>
      <c r="C1048529" s="59" t="str">
        <f aca="false">IFERROR(__xludf.dummyfunction("""COMPUTED_VALUE"""),"Cấu tạo từ - Trật tự từ - Phép song hành")</f>
        <v>Cấu tạo từ - Trật tự từ - Phép song hành</v>
      </c>
      <c r="D1048529" s="39" t="str">
        <f aca="false">IFERROR(__xludf.dummyfunction("""COMPUTED_VALUE"""),"Nguyễn Thanh Hương")</f>
        <v>Nguyễn Thanh Hương</v>
      </c>
      <c r="E1048529" s="40" t="n">
        <f aca="false">IFERROR(__xludf.dummyfunction("""COMPUTED_VALUE"""),46195)</f>
        <v>46195</v>
      </c>
      <c r="F1048529" s="41" t="n">
        <f aca="false">IFERROR(__xludf.dummyfunction("""COMPUTED_VALUE"""),2)</f>
        <v>2</v>
      </c>
      <c r="G1048529" s="37" t="str">
        <f aca="false">IFERROR(__xludf.dummyfunction("""COMPUTED_VALUE"""),"20:00-22:00")</f>
        <v>20:00-22:00</v>
      </c>
      <c r="H1048529" s="42" t="str">
        <f aca="false">IFERROR(__xludf.dummyfunction("""COMPUTED_VALUE"""),"https://hocmai.vn/file.php/3140/TLHS_TOV_HV_TA0_Cau_tao_tu_-_Trat_tu_tu_-_Phep_song_hanh.pdf")</f>
        <v>https://hocmai.vn/file.php/3140/TLHS_TOV_HV_TA0_Cau_tao_tu_-_Trat_tu_tu_-_Phep_song_hanh.pdf</v>
      </c>
      <c r="I1048529" s="42" t="str">
        <f aca="false">IFERROR(__xludf.dummyfunction("""COMPUTED_VALUE"""),"https://hocmai.vn/mod/scorm/view_file.php?inpopup=true&amp;id=181331")</f>
        <v>https://hocmai.vn/mod/scorm/view_file.php?inpopup=true&amp;id=181331</v>
      </c>
      <c r="J1048529" s="42" t="str">
        <f aca="false">IFERROR(__xludf.dummyfunction("""COMPUTED_VALUE"""),"https://drive.google.com/file/d/1zSIPT2y1-wItf9l7W5XZUV2vHGzXLhOd/view?usp=drive_link")</f>
        <v>https://drive.google.com/file/d/1zSIPT2y1-wItf9l7W5XZUV2vHGzXLhOd/view?usp=drive_link</v>
      </c>
      <c r="K1048529" s="68" t="str">
        <f aca="false">IFERROR(__xludf.dummyfunction("""COMPUTED_VALUE"""),"Dienlt")</f>
        <v>Dienlt</v>
      </c>
      <c r="L1048529" s="68" t="str">
        <f aca="false">IFERROR(__xludf.dummyfunction("""COMPUTED_VALUE"""),"Nguyễn Lê Thụy Quyên ")</f>
        <v>Nguyễn Lê Thụy Quyên </v>
      </c>
      <c r="M1048529" s="71"/>
      <c r="N1048529" s="77" t="str">
        <f aca="false">IFERROR(__xludf.dummyfunction("""COMPUTED_VALUE"""),"3140,3165")</f>
        <v>3140,3165</v>
      </c>
      <c r="O1048529" s="73" t="n">
        <f aca="false">IFERROR(__xludf.dummyfunction("""COMPUTED_VALUE"""),167538.167606)</f>
        <v>167538.167606</v>
      </c>
      <c r="P1048529" s="63" t="str">
        <f aca="false">IFERROR(__xludf.dummyfunction("""COMPUTED_VALUE"""),"9030,9038,9047")</f>
        <v>9030,9038,9047</v>
      </c>
      <c r="Q1048529" s="63"/>
      <c r="R1048529" s="41"/>
      <c r="S1048529" s="41"/>
      <c r="T1048529" s="63"/>
      <c r="U1048529" s="63"/>
      <c r="V1048529" s="70" t="n">
        <f aca="false">IFERROR(__xludf.dummyfunction("""COMPUTED_VALUE"""),46198)</f>
        <v>46198</v>
      </c>
      <c r="W1048529" s="39" t="str">
        <f aca="false">IFERROR(__xludf.dummyfunction("""COMPUTED_VALUE"""),"Hoàn thành XB")</f>
        <v>Hoàn thành XB</v>
      </c>
      <c r="X1048529" s="41" t="str">
        <f aca="false">IFERROR(__xludf.dummyfunction("""COMPUTED_VALUE"""),"Dienlt")</f>
        <v>Dienlt</v>
      </c>
      <c r="Y1048529" s="44" t="str">
        <f aca="false">IFERROR(__xludf.dummyfunction("""COMPUTED_VALUE"""),"done")</f>
        <v>done</v>
      </c>
      <c r="Z1048529" s="57" t="str">
        <f aca="false">IFERROR(__xludf.dummyfunction("""COMPUTED_VALUE"""),"#N/A")</f>
        <v>#N/A</v>
      </c>
      <c r="AA1048529" s="57"/>
      <c r="AB1048529" s="41" t="n">
        <f aca="false">IFERROR(__xludf.dummyfunction("""COMPUTED_VALUE"""),6)</f>
        <v>6</v>
      </c>
      <c r="AC1048529" s="57" t="str">
        <f aca="false">IFERROR(__xludf.dummyfunction("""COMPUTED_VALUE"""),"gv.huongnt@hocmai.edu.vn ")</f>
        <v>gv.huongnt@hocmai.edu.vn </v>
      </c>
      <c r="AD1048529" s="46" t="str">
        <f aca="false">IFERROR(__xludf.dummyfunction("""COMPUTED_VALUE"""),"nguyenlethuyquyencp@gmail.com")</f>
        <v>nguyenlethuyquyencp@gmail.com</v>
      </c>
      <c r="AE1048529" s="46"/>
      <c r="AF1048529" s="47" t="str">
        <f aca="false">IFERROR(__xludf.dummyfunction("""COMPUTED_VALUE"""),"lophoctienganh46195")</f>
        <v>lophoctienganh46195</v>
      </c>
      <c r="AG1048529" s="46" t="str">
        <f aca="false">IFERROR(__xludf.dummyfunction("""COMPUTED_VALUE"""),"")</f>
        <v/>
      </c>
      <c r="AH1048529" s="35"/>
      <c r="AI1048529" s="35"/>
      <c r="AJ1048529" s="53" t="b">
        <f aca="false">IFERROR(__xludf.dummyfunction("""COMPUTED_VALUE"""),TRUE())</f>
        <v>1</v>
      </c>
      <c r="AK1048529" s="53" t="b">
        <f aca="false">IFERROR(__xludf.dummyfunction("""COMPUTED_VALUE"""),TRUE())</f>
        <v>1</v>
      </c>
      <c r="AL1048529" s="35"/>
      <c r="AM1048529" s="53" t="b">
        <f aca="false">IFERROR(__xludf.dummyfunction("""COMPUTED_VALUE"""),TRUE())</f>
        <v>1</v>
      </c>
      <c r="AN1048529" s="35"/>
      <c r="AO1048529" s="46"/>
    </row>
    <row r="1048530" customFormat="false" ht="15.75" hidden="false" customHeight="true" outlineLevel="0" collapsed="false">
      <c r="A1048530" s="37" t="str">
        <f aca="false">IFERROR(__xludf.dummyfunction("""COMPUTED_VALUE"""),"Hóa học ")</f>
        <v>Hóa học </v>
      </c>
      <c r="B1048530" s="37" t="str">
        <f aca="false">IFERROR(__xludf.dummyfunction("""COMPUTED_VALUE"""),"TOV_HSA_HH02")</f>
        <v>TOV_HSA_HH02</v>
      </c>
      <c r="C1048530" s="59" t="str">
        <f aca="false">IFERROR(__xludf.dummyfunction("""COMPUTED_VALUE"""),"Bảng tuần hoàn và xu hướng biến đổi")</f>
        <v>Bảng tuần hoàn và xu hướng biến đổi</v>
      </c>
      <c r="D1048530" s="39" t="str">
        <f aca="false">IFERROR(__xludf.dummyfunction("""COMPUTED_VALUE"""),"Chu Hải Long")</f>
        <v>Chu Hải Long</v>
      </c>
      <c r="E1048530" s="40" t="n">
        <f aca="false">IFERROR(__xludf.dummyfunction("""COMPUTED_VALUE"""),46195)</f>
        <v>46195</v>
      </c>
      <c r="F1048530" s="41" t="n">
        <f aca="false">IFERROR(__xludf.dummyfunction("""COMPUTED_VALUE"""),2)</f>
        <v>2</v>
      </c>
      <c r="G1048530" s="37" t="str">
        <f aca="false">IFERROR(__xludf.dummyfunction("""COMPUTED_VALUE"""),"20:00-22:00")</f>
        <v>20:00-22:00</v>
      </c>
      <c r="H1048530" s="42" t="str">
        <f aca="false">IFERROR(__xludf.dummyfunction("""COMPUTED_VALUE"""),"https://hocmai.vn/mod/scorm/view_file.php?id=181275")</f>
        <v>https://hocmai.vn/mod/scorm/view_file.php?id=181275</v>
      </c>
      <c r="I1048530" s="42" t="str">
        <f aca="false">IFERROR(__xludf.dummyfunction("""COMPUTED_VALUE"""),"https://hocmai.vn/mod/scorm/view_file.php?id=181288")</f>
        <v>https://hocmai.vn/mod/scorm/view_file.php?id=181288</v>
      </c>
      <c r="J1048530" s="42" t="str">
        <f aca="false">IFERROR(__xludf.dummyfunction("""COMPUTED_VALUE"""),"2. TOV_HSA_HH02 – BẢNG TUẦN HOÀN VÀ XU HƯỚNG BIẾN ĐỔI")</f>
        <v>2. TOV_HSA_HH02 – BẢNG TUẦN HOÀN VÀ XU HƯỚNG BIẾN ĐỔI</v>
      </c>
      <c r="K1048530" s="68" t="str">
        <f aca="false">IFERROR(__xludf.dummyfunction("""COMPUTED_VALUE"""),"Huebt")</f>
        <v>Huebt</v>
      </c>
      <c r="L1048530" s="68" t="str">
        <f aca="false">IFERROR(__xludf.dummyfunction("""COMPUTED_VALUE"""),"Võ Hương Giang")</f>
        <v>Võ Hương Giang</v>
      </c>
      <c r="M1048530" s="71"/>
      <c r="N1048530" s="77" t="str">
        <f aca="false">IFERROR(__xludf.dummyfunction("""COMPUTED_VALUE"""),"3120")</f>
        <v>3120</v>
      </c>
      <c r="O1048530" s="63" t="n">
        <f aca="false">IFERROR(__xludf.dummyfunction("""COMPUTED_VALUE"""),167426)</f>
        <v>167426</v>
      </c>
      <c r="P1048530" s="63"/>
      <c r="Q1048530" s="63"/>
      <c r="R1048530" s="41"/>
      <c r="S1048530" s="41"/>
      <c r="T1048530" s="63" t="n">
        <f aca="false">IFERROR(__xludf.dummyfunction("""COMPUTED_VALUE"""),23594)</f>
        <v>23594</v>
      </c>
      <c r="U1048530" s="63" t="n">
        <f aca="false">IFERROR(__xludf.dummyfunction("""COMPUTED_VALUE"""),10479)</f>
        <v>10479</v>
      </c>
      <c r="V1048530" s="70" t="n">
        <f aca="false">IFERROR(__xludf.dummyfunction("""COMPUTED_VALUE"""),46198)</f>
        <v>46198</v>
      </c>
      <c r="W1048530" s="39" t="str">
        <f aca="false">IFERROR(__xludf.dummyfunction("""COMPUTED_VALUE"""),"Hoàn thành XB")</f>
        <v>Hoàn thành XB</v>
      </c>
      <c r="X1048530" s="41" t="str">
        <f aca="false">IFERROR(__xludf.dummyfunction("""COMPUTED_VALUE"""),"Huebt")</f>
        <v>Huebt</v>
      </c>
      <c r="Y1048530" s="44" t="str">
        <f aca="false">IFERROR(__xludf.dummyfunction("""COMPUTED_VALUE"""),"done")</f>
        <v>done</v>
      </c>
      <c r="Z1048530" s="57" t="str">
        <f aca="false">IFERROR(__xludf.dummyfunction("""COMPUTED_VALUE"""),"#N/A")</f>
        <v>#N/A</v>
      </c>
      <c r="AA1048530" s="57"/>
      <c r="AB1048530" s="41" t="n">
        <f aca="false">IFERROR(__xludf.dummyfunction("""COMPUTED_VALUE"""),6)</f>
        <v>6</v>
      </c>
      <c r="AC1048530" s="57" t="str">
        <f aca="false">IFERROR(__xludf.dummyfunction("""COMPUTED_VALUE"""),"gv.longch@hocmai.edu.vn")</f>
        <v>gv.longch@hocmai.edu.vn</v>
      </c>
      <c r="AD1048530" s="46" t="str">
        <f aca="false">IFERROR(__xludf.dummyfunction("""COMPUTED_VALUE"""),"giangvh@ctv.hocmai.vn")</f>
        <v>giangvh@ctv.hocmai.vn</v>
      </c>
      <c r="AE1048530" s="46"/>
      <c r="AF1048530" s="74" t="b">
        <f aca="false">IFERROR(__xludf.dummyfunction("""COMPUTED_VALUE"""),FALSE())</f>
        <v>0</v>
      </c>
      <c r="AG1048530" s="46" t="str">
        <f aca="false">IFERROR(__xludf.dummyfunction("""COMPUTED_VALUE"""),"")</f>
        <v/>
      </c>
      <c r="AH1048530" s="35"/>
      <c r="AI1048530" s="35"/>
      <c r="AJ1048530" s="53" t="b">
        <f aca="false">IFERROR(__xludf.dummyfunction("""COMPUTED_VALUE"""),TRUE())</f>
        <v>1</v>
      </c>
      <c r="AK1048530" s="53" t="b">
        <f aca="false">IFERROR(__xludf.dummyfunction("""COMPUTED_VALUE"""),TRUE())</f>
        <v>1</v>
      </c>
      <c r="AL1048530" s="35"/>
      <c r="AM1048530" s="35"/>
      <c r="AN1048530" s="35"/>
      <c r="AO1048530" s="46"/>
    </row>
    <row r="1048531" customFormat="false" ht="15.75" hidden="false" customHeight="true" outlineLevel="0" collapsed="false">
      <c r="A1048531" s="37" t="str">
        <f aca="false">IFERROR(__xludf.dummyfunction("""COMPUTED_VALUE"""),"Toán")</f>
        <v>Toán</v>
      </c>
      <c r="B1048531" s="37" t="str">
        <f aca="false">IFERROR(__xludf.dummyfunction("""COMPUTED_VALUE"""),"TOV_TC_T02")</f>
        <v>TOV_TC_T02</v>
      </c>
      <c r="C1048531" s="59" t="str">
        <f aca="false">IFERROR(__xludf.dummyfunction("""COMPUTED_VALUE"""),"Các dạng câu hỏi điển hình về hàm số (P2)")</f>
        <v>Các dạng câu hỏi điển hình về hàm số (P2)</v>
      </c>
      <c r="D1048531" s="39" t="str">
        <f aca="false">IFERROR(__xludf.dummyfunction("""COMPUTED_VALUE"""),"Nguyễn Thanh Tùng")</f>
        <v>Nguyễn Thanh Tùng</v>
      </c>
      <c r="E1048531" s="40" t="n">
        <f aca="false">IFERROR(__xludf.dummyfunction("""COMPUTED_VALUE"""),46196)</f>
        <v>46196</v>
      </c>
      <c r="F1048531" s="41" t="n">
        <f aca="false">IFERROR(__xludf.dummyfunction("""COMPUTED_VALUE"""),3)</f>
        <v>3</v>
      </c>
      <c r="G1048531" s="37" t="str">
        <f aca="false">IFERROR(__xludf.dummyfunction("""COMPUTED_VALUE"""),"21:00-23:00")</f>
        <v>21:00-23:00</v>
      </c>
      <c r="H1048531" s="42" t="str">
        <f aca="false">IFERROR(__xludf.dummyfunction("""COMPUTED_VALUE"""),"https://hocmai.vn/file.php/3127/Tai_lieu_live_2026_-_2027/TLHS_TOV_TC_T02_CAC_DANG_CAU_HOI_DIEN_HINH_VE_HAM_SO_P2_.pdf")</f>
        <v>https://hocmai.vn/file.php/3127/Tai_lieu_live_2026_-_2027/TLHS_TOV_TC_T02_CAC_DANG_CAU_HOI_DIEN_HINH_VE_HAM_SO_P2_.pdf</v>
      </c>
      <c r="I1048531" s="37"/>
      <c r="J1048531" s="42" t="str">
        <f aca="false">IFERROR(__xludf.dummyfunction("""COMPUTED_VALUE"""),"https://drive.google.com/drive/folders/1pyNO0Em49CNepL2ayQ_d3u0JUCf7am5n?usp=drive_link")</f>
        <v>https://drive.google.com/drive/folders/1pyNO0Em49CNepL2ayQ_d3u0JUCf7am5n?usp=drive_link</v>
      </c>
      <c r="K1048531" s="68" t="str">
        <f aca="false">IFERROR(__xludf.dummyfunction("""COMPUTED_VALUE"""),"Chientd2")</f>
        <v>Chientd2</v>
      </c>
      <c r="L1048531" s="68" t="str">
        <f aca="false">IFERROR(__xludf.dummyfunction("""COMPUTED_VALUE"""),"Tưởng Thị Huyền Trang")</f>
        <v>Tưởng Thị Huyền Trang</v>
      </c>
      <c r="M1048531" s="71"/>
      <c r="N1048531" s="77" t="str">
        <f aca="false">IFERROR(__xludf.dummyfunction("""COMPUTED_VALUE"""),"3108,3117,3315,3127,3314")</f>
        <v>3108,3117,3315,3127,3314</v>
      </c>
      <c r="O1048531" s="63" t="str">
        <f aca="false">IFERROR(__xludf.dummyfunction("""COMPUTED_VALUE"""),"168357, 168572, 168313, 167460, 167060")</f>
        <v>168357, 168572, 168313, 167460, 167060</v>
      </c>
      <c r="P1048531" s="63" t="str">
        <f aca="false">IFERROR(__xludf.dummyfunction("""COMPUTED_VALUE"""),"9025,9028,9036,9104,9106,9017,9102")</f>
        <v>9025,9028,9036,9104,9106,9017,9102</v>
      </c>
      <c r="Q1048531" s="63" t="n">
        <f aca="false">IFERROR(__xludf.dummyfunction("""COMPUTED_VALUE"""),167060)</f>
        <v>167060</v>
      </c>
      <c r="R1048531" s="41"/>
      <c r="S1048531" s="41"/>
      <c r="T1048531" s="63" t="str">
        <f aca="false">IFERROR(__xludf.dummyfunction("""COMPUTED_VALUE"""),"23596, 23598, 23599")</f>
        <v>23596, 23598, 23599</v>
      </c>
      <c r="U1048531" s="63"/>
      <c r="V1048531" s="70" t="n">
        <f aca="false">IFERROR(__xludf.dummyfunction("""COMPUTED_VALUE"""),46199)</f>
        <v>46199</v>
      </c>
      <c r="W1048531" s="39" t="str">
        <f aca="false">IFERROR(__xludf.dummyfunction("""COMPUTED_VALUE"""),"Hoàn thành XB")</f>
        <v>Hoàn thành XB</v>
      </c>
      <c r="X1048531" s="41" t="str">
        <f aca="false">IFERROR(__xludf.dummyfunction("""COMPUTED_VALUE"""),"Chientd2")</f>
        <v>Chientd2</v>
      </c>
      <c r="Y1048531" s="44" t="str">
        <f aca="false">IFERROR(__xludf.dummyfunction("""COMPUTED_VALUE"""),"done")</f>
        <v>done</v>
      </c>
      <c r="Z1048531" s="57" t="str">
        <f aca="false">IFERROR(__xludf.dummyfunction("""COMPUTED_VALUE"""),"#N/A")</f>
        <v>#N/A</v>
      </c>
      <c r="AA1048531" s="57"/>
      <c r="AB1048531" s="41" t="n">
        <f aca="false">IFERROR(__xludf.dummyfunction("""COMPUTED_VALUE"""),6)</f>
        <v>6</v>
      </c>
      <c r="AC1048531" s="57" t="str">
        <f aca="false">IFERROR(__xludf.dummyfunction("""COMPUTED_VALUE"""),"gv.tungnt@hocmai.edu.vn ")</f>
        <v>gv.tungnt@hocmai.edu.vn </v>
      </c>
      <c r="AD1048531" s="46" t="str">
        <f aca="false">IFERROR(__xludf.dummyfunction("""COMPUTED_VALUE"""),"trangcrazy699@gmail.com")</f>
        <v>trangcrazy699@gmail.com</v>
      </c>
      <c r="AE1048531" s="46"/>
      <c r="AF1048531" s="47" t="str">
        <f aca="false">IFERROR(__xludf.dummyfunction("""COMPUTED_VALUE"""),"lophoctoan-946196")</f>
        <v>lophoctoan-946196</v>
      </c>
      <c r="AG1048531" s="46" t="str">
        <f aca="false">IFERROR(__xludf.dummyfunction("""COMPUTED_VALUE"""),"")</f>
        <v/>
      </c>
      <c r="AH1048531" s="35"/>
      <c r="AI1048531" s="53" t="b">
        <f aca="false">IFERROR(__xludf.dummyfunction("""COMPUTED_VALUE"""),TRUE())</f>
        <v>1</v>
      </c>
      <c r="AJ1048531" s="53" t="b">
        <f aca="false">IFERROR(__xludf.dummyfunction("""COMPUTED_VALUE"""),TRUE())</f>
        <v>1</v>
      </c>
      <c r="AK1048531" s="53" t="b">
        <f aca="false">IFERROR(__xludf.dummyfunction("""COMPUTED_VALUE"""),TRUE())</f>
        <v>1</v>
      </c>
      <c r="AL1048531" s="53" t="b">
        <f aca="false">IFERROR(__xludf.dummyfunction("""COMPUTED_VALUE"""),TRUE())</f>
        <v>1</v>
      </c>
      <c r="AM1048531" s="35"/>
      <c r="AN1048531" s="35"/>
      <c r="AO1048531" s="46"/>
    </row>
    <row r="1048532" customFormat="false" ht="15.75" hidden="false" customHeight="true" outlineLevel="0" collapsed="false">
      <c r="A1048532" s="37" t="str">
        <f aca="false">IFERROR(__xludf.dummyfunction("""COMPUTED_VALUE"""),"Tiếng Việt")</f>
        <v>Tiếng Việt</v>
      </c>
      <c r="B1048532" s="37" t="str">
        <f aca="false">IFERROR(__xludf.dummyfunction("""COMPUTED_VALUE"""),"TOV_V-ACT_TV02")</f>
        <v>TOV_V-ACT_TV02</v>
      </c>
      <c r="C1048532" s="59" t="str">
        <f aca="false">IFERROR(__xludf.dummyfunction("""COMPUTED_VALUE"""),"Khái quát lịch sử văn học Việt Nam")</f>
        <v>Khái quát lịch sử văn học Việt Nam</v>
      </c>
      <c r="D1048532" s="39" t="str">
        <f aca="false">IFERROR(__xludf.dummyfunction("""COMPUTED_VALUE"""),"Văn Trịnh Quỳnh An")</f>
        <v>Văn Trịnh Quỳnh An</v>
      </c>
      <c r="E1048532" s="40" t="n">
        <f aca="false">IFERROR(__xludf.dummyfunction("""COMPUTED_VALUE"""),46196)</f>
        <v>46196</v>
      </c>
      <c r="F1048532" s="41" t="n">
        <f aca="false">IFERROR(__xludf.dummyfunction("""COMPUTED_VALUE"""),3)</f>
        <v>3</v>
      </c>
      <c r="G1048532" s="37" t="str">
        <f aca="false">IFERROR(__xludf.dummyfunction("""COMPUTED_VALUE"""),"20:00-21:30")</f>
        <v>20:00-21:30</v>
      </c>
      <c r="H1048532" s="42" t="str">
        <f aca="false">IFERROR(__xludf.dummyfunction("""COMPUTED_VALUE"""),"https://hocmai.vn/mod/scorm/view_file.php?inpopup=true&amp;id=181449")</f>
        <v>https://hocmai.vn/mod/scorm/view_file.php?inpopup=true&amp;id=181449</v>
      </c>
      <c r="I1048532" s="42" t="str">
        <f aca="false">IFERROR(__xludf.dummyfunction("""COMPUTED_VALUE"""),"https://hocmai.vn/mod/scorm/view_file.php?inpopup=true&amp;id=181469")</f>
        <v>https://hocmai.vn/mod/scorm/view_file.php?inpopup=true&amp;id=181469</v>
      </c>
      <c r="J1048532" s="42" t="str">
        <f aca="false">IFERROR(__xludf.dummyfunction("""COMPUTED_VALUE"""),"https://drive.google.com/drive/folders/1JHDqVb3xRrwGnYimgACRrgTW5zPkDchA")</f>
        <v>https://drive.google.com/drive/folders/1JHDqVb3xRrwGnYimgACRrgTW5zPkDchA</v>
      </c>
      <c r="K1048532" s="68" t="str">
        <f aca="false">IFERROR(__xludf.dummyfunction("""COMPUTED_VALUE"""),"Hangvt3")</f>
        <v>Hangvt3</v>
      </c>
      <c r="L1048532" s="68" t="str">
        <f aca="false">IFERROR(__xludf.dummyfunction("""COMPUTED_VALUE"""),"Bùi Vĩnh Thọ")</f>
        <v>Bùi Vĩnh Thọ</v>
      </c>
      <c r="M1048532" s="71"/>
      <c r="N1048532" s="77" t="str">
        <f aca="false">IFERROR(__xludf.dummyfunction("""COMPUTED_VALUE"""),"3125,3338")</f>
        <v>3125,3338</v>
      </c>
      <c r="O1048532" s="63" t="n">
        <f aca="false">IFERROR(__xludf.dummyfunction("""COMPUTED_VALUE"""),167354)</f>
        <v>167354</v>
      </c>
      <c r="P1048532" s="63"/>
      <c r="Q1048532" s="63"/>
      <c r="R1048532" s="41"/>
      <c r="S1048532" s="41"/>
      <c r="T1048532" s="63"/>
      <c r="U1048532" s="63"/>
      <c r="V1048532" s="70" t="n">
        <f aca="false">IFERROR(__xludf.dummyfunction("""COMPUTED_VALUE"""),46199)</f>
        <v>46199</v>
      </c>
      <c r="W1048532" s="39" t="str">
        <f aca="false">IFERROR(__xludf.dummyfunction("""COMPUTED_VALUE"""),"Hoàn thành XB")</f>
        <v>Hoàn thành XB</v>
      </c>
      <c r="X1048532" s="41" t="str">
        <f aca="false">IFERROR(__xludf.dummyfunction("""COMPUTED_VALUE"""),"Hoantt")</f>
        <v>Hoantt</v>
      </c>
      <c r="Y1048532" s="44" t="str">
        <f aca="false">IFERROR(__xludf.dummyfunction("""COMPUTED_VALUE"""),"done")</f>
        <v>done</v>
      </c>
      <c r="Z1048532" s="57" t="str">
        <f aca="false">IFERROR(__xludf.dummyfunction("""COMPUTED_VALUE"""),"#N/A")</f>
        <v>#N/A</v>
      </c>
      <c r="AA1048532" s="57"/>
      <c r="AB1048532" s="41" t="n">
        <f aca="false">IFERROR(__xludf.dummyfunction("""COMPUTED_VALUE"""),6)</f>
        <v>6</v>
      </c>
      <c r="AC1048532" s="57" t="str">
        <f aca="false">IFERROR(__xludf.dummyfunction("""COMPUTED_VALUE"""),"gv.anvtq@hocmai.edu.vn ")</f>
        <v>gv.anvtq@hocmai.edu.vn </v>
      </c>
      <c r="AD1048532" s="46" t="str">
        <f aca="false">IFERROR(__xludf.dummyfunction("""COMPUTED_VALUE"""),"vinhtho0704@gmail.com")</f>
        <v>vinhtho0704@gmail.com</v>
      </c>
      <c r="AE1048532" s="46"/>
      <c r="AF1048532" s="74" t="b">
        <f aca="false">IFERROR(__xludf.dummyfunction("""COMPUTED_VALUE"""),FALSE())</f>
        <v>0</v>
      </c>
      <c r="AG1048532" s="46" t="str">
        <f aca="false">IFERROR(__xludf.dummyfunction("""COMPUTED_VALUE"""),"")</f>
        <v/>
      </c>
      <c r="AH1048532" s="35"/>
      <c r="AI1048532" s="35"/>
      <c r="AJ1048532" s="35"/>
      <c r="AK1048532" s="35"/>
      <c r="AL1048532" s="35"/>
      <c r="AM1048532" s="53" t="b">
        <f aca="false">IFERROR(__xludf.dummyfunction("""COMPUTED_VALUE"""),TRUE())</f>
        <v>1</v>
      </c>
      <c r="AN1048532" s="53" t="b">
        <f aca="false">IFERROR(__xludf.dummyfunction("""COMPUTED_VALUE"""),FALSE())</f>
        <v>0</v>
      </c>
      <c r="AO1048532" s="46"/>
    </row>
    <row r="1048533" customFormat="false" ht="15.75" hidden="false" customHeight="true" outlineLevel="0" collapsed="false">
      <c r="A1048533" s="37" t="str">
        <f aca="false">IFERROR(__xludf.dummyfunction("""COMPUTED_VALUE"""),"Khoa học")</f>
        <v>Khoa học</v>
      </c>
      <c r="B1048533" s="37" t="str">
        <f aca="false">IFERROR(__xludf.dummyfunction("""COMPUTED_VALUE"""),"TOS_V-ACT_KH02")</f>
        <v>TOS_V-ACT_KH02</v>
      </c>
      <c r="C1048533" s="59" t="str">
        <f aca="false">IFERROR(__xludf.dummyfunction("""COMPUTED_VALUE"""),"Kỹ năng scan &amp; skim – Chọn từ khóa trong văn bản khoa học.")</f>
        <v>Kỹ năng scan &amp; skim – Chọn từ khóa trong văn bản khoa học.</v>
      </c>
      <c r="D1048533" s="39" t="str">
        <f aca="false">IFERROR(__xludf.dummyfunction("""COMPUTED_VALUE"""),"Lê Văn Minh")</f>
        <v>Lê Văn Minh</v>
      </c>
      <c r="E1048533" s="40" t="n">
        <f aca="false">IFERROR(__xludf.dummyfunction("""COMPUTED_VALUE"""),46196)</f>
        <v>46196</v>
      </c>
      <c r="F1048533" s="41" t="n">
        <f aca="false">IFERROR(__xludf.dummyfunction("""COMPUTED_VALUE"""),3)</f>
        <v>3</v>
      </c>
      <c r="G1048533" s="37" t="str">
        <f aca="false">IFERROR(__xludf.dummyfunction("""COMPUTED_VALUE"""),"20:00-21:30")</f>
        <v>20:00-21:30</v>
      </c>
      <c r="H1048533" s="42" t="str">
        <f aca="false">IFERROR(__xludf.dummyfunction("""COMPUTED_VALUE"""),"https://hocmai.vn/mod/scorm/view_file.php?id=181063")</f>
        <v>https://hocmai.vn/mod/scorm/view_file.php?id=181063</v>
      </c>
      <c r="I1048533" s="42" t="str">
        <f aca="false">IFERROR(__xludf.dummyfunction("""COMPUTED_VALUE"""),"https://hocmai.vn/mod/scorm/view_file.php?inpopup=true&amp;id=181079")</f>
        <v>https://hocmai.vn/mod/scorm/view_file.php?inpopup=true&amp;id=181079</v>
      </c>
      <c r="J1048533" s="42" t="str">
        <f aca="false">IFERROR(__xludf.dummyfunction("""COMPUTED_VALUE"""),"https://drive.google.com/drive/folders/12ECceLYypgjNBQZUsOfyhJVoXlEymYHg")</f>
        <v>https://drive.google.com/drive/folders/12ECceLYypgjNBQZUsOfyhJVoXlEymYHg</v>
      </c>
      <c r="K1048533" s="68" t="str">
        <f aca="false">IFERROR(__xludf.dummyfunction("""COMPUTED_VALUE"""),"Trinhntt")</f>
        <v>Trinhntt</v>
      </c>
      <c r="L1048533" s="68" t="str">
        <f aca="false">IFERROR(__xludf.dummyfunction("""COMPUTED_VALUE"""),"Lê Quốc Việt")</f>
        <v>Lê Quốc Việt</v>
      </c>
      <c r="M1048533" s="71"/>
      <c r="N1048533" s="77" t="str">
        <f aca="false">IFERROR(__xludf.dummyfunction("""COMPUTED_VALUE"""),"3340")</f>
        <v>3340</v>
      </c>
      <c r="O1048533" s="63" t="n">
        <f aca="false">IFERROR(__xludf.dummyfunction("""COMPUTED_VALUE"""),167493)</f>
        <v>167493</v>
      </c>
      <c r="P1048533" s="63"/>
      <c r="Q1048533" s="63"/>
      <c r="R1048533" s="41"/>
      <c r="S1048533" s="41"/>
      <c r="T1048533" s="63"/>
      <c r="U1048533" s="63"/>
      <c r="V1048533" s="70" t="n">
        <f aca="false">IFERROR(__xludf.dummyfunction("""COMPUTED_VALUE"""),46199)</f>
        <v>46199</v>
      </c>
      <c r="W1048533" s="39" t="str">
        <f aca="false">IFERROR(__xludf.dummyfunction("""COMPUTED_VALUE"""),"Hoàn thành XB")</f>
        <v>Hoàn thành XB</v>
      </c>
      <c r="X1048533" s="41" t="str">
        <f aca="false">IFERROR(__xludf.dummyfunction("""COMPUTED_VALUE"""),"Kimnq")</f>
        <v>Kimnq</v>
      </c>
      <c r="Y1048533" s="44" t="str">
        <f aca="false">IFERROR(__xludf.dummyfunction("""COMPUTED_VALUE"""),"done")</f>
        <v>done</v>
      </c>
      <c r="Z1048533" s="57" t="str">
        <f aca="false">IFERROR(__xludf.dummyfunction("""COMPUTED_VALUE"""),"#N/A")</f>
        <v>#N/A</v>
      </c>
      <c r="AA1048533" s="57"/>
      <c r="AB1048533" s="41" t="n">
        <f aca="false">IFERROR(__xludf.dummyfunction("""COMPUTED_VALUE"""),6)</f>
        <v>6</v>
      </c>
      <c r="AC1048533" s="57" t="str">
        <f aca="false">IFERROR(__xludf.dummyfunction("""COMPUTED_VALUE"""),"gv.minhlv@hocmai.edu.vn		")</f>
        <v>gv.minhlv@hocmai.edu.vn		</v>
      </c>
      <c r="AD1048533" s="46" t="str">
        <f aca="false">IFERROR(__xludf.dummyfunction("""COMPUTED_VALUE"""),"Ralph02091@gmail.com")</f>
        <v>Ralph02091@gmail.com</v>
      </c>
      <c r="AE1048533" s="46"/>
      <c r="AF1048533" s="47" t="str">
        <f aca="false">IFERROR(__xludf.dummyfunction("""COMPUTED_VALUE"""),"lophoctoan-946196")</f>
        <v>lophoctoan-946196</v>
      </c>
      <c r="AG1048533" s="46" t="str">
        <f aca="false">IFERROR(__xludf.dummyfunction("""COMPUTED_VALUE"""),"")</f>
        <v/>
      </c>
      <c r="AH1048533" s="35"/>
      <c r="AI1048533" s="35"/>
      <c r="AJ1048533" s="35"/>
      <c r="AK1048533" s="35"/>
      <c r="AL1048533" s="35"/>
      <c r="AM1048533" s="35"/>
      <c r="AN1048533" s="53" t="b">
        <f aca="false">IFERROR(__xludf.dummyfunction("""COMPUTED_VALUE"""),TRUE())</f>
        <v>1</v>
      </c>
      <c r="AO1048533" s="46"/>
    </row>
    <row r="1048534" customFormat="false" ht="15.75" hidden="false" customHeight="true" outlineLevel="0" collapsed="false">
      <c r="A1048534" s="37" t="str">
        <f aca="false">IFERROR(__xludf.dummyfunction("""COMPUTED_VALUE"""),"Định tính")</f>
        <v>Định tính</v>
      </c>
      <c r="B1048534" s="37" t="str">
        <f aca="false">IFERROR(__xludf.dummyfunction("""COMPUTED_VALUE"""),"TOV_HSA_DT02")</f>
        <v>TOV_HSA_DT02</v>
      </c>
      <c r="C1048534" s="59" t="str">
        <f aca="false">IFERROR(__xludf.dummyfunction("""COMPUTED_VALUE"""),"Tiếng Việt: Từ loại và kết hợp từ trong câu")</f>
        <v>Tiếng Việt: Từ loại và kết hợp từ trong câu</v>
      </c>
      <c r="D1048534" s="39" t="str">
        <f aca="false">IFERROR(__xludf.dummyfunction("""COMPUTED_VALUE"""),"Phạm Hữu Cường")</f>
        <v>Phạm Hữu Cường</v>
      </c>
      <c r="E1048534" s="40" t="n">
        <f aca="false">IFERROR(__xludf.dummyfunction("""COMPUTED_VALUE"""),46197)</f>
        <v>46197</v>
      </c>
      <c r="F1048534" s="41" t="n">
        <f aca="false">IFERROR(__xludf.dummyfunction("""COMPUTED_VALUE"""),4)</f>
        <v>4</v>
      </c>
      <c r="G1048534" s="37" t="str">
        <f aca="false">IFERROR(__xludf.dummyfunction("""COMPUTED_VALUE"""),"21:00-23:00")</f>
        <v>21:00-23:00</v>
      </c>
      <c r="H1048534" s="42" t="str">
        <f aca="false">IFERROR(__xludf.dummyfunction("""COMPUTED_VALUE"""),"https://hocmai.vn/mod/scorm/view_file.php?inpopup=true&amp;id=181308")</f>
        <v>https://hocmai.vn/mod/scorm/view_file.php?inpopup=true&amp;id=181308</v>
      </c>
      <c r="I1048534" s="42" t="str">
        <f aca="false">IFERROR(__xludf.dummyfunction("""COMPUTED_VALUE"""),"https://hocmai.vn/mod/scorm/view_file.php?inpopup=true&amp;id=181517")</f>
        <v>https://hocmai.vn/mod/scorm/view_file.php?inpopup=true&amp;id=181517</v>
      </c>
      <c r="J1048534" s="42" t="str">
        <f aca="false">IFERROR(__xludf.dummyfunction("""COMPUTED_VALUE"""),"https://drive.google.com/file/d/1i8zcmxcDcNFt_IBXyatObqphrcK8bUMm/view?usp=drivesdk")</f>
        <v>https://drive.google.com/file/d/1i8zcmxcDcNFt_IBXyatObqphrcK8bUMm/view?usp=drivesdk</v>
      </c>
      <c r="K1048534" s="68" t="str">
        <f aca="false">IFERROR(__xludf.dummyfunction("""COMPUTED_VALUE"""),"Hangvt3")</f>
        <v>Hangvt3</v>
      </c>
      <c r="L1048534" s="68" t="str">
        <f aca="false">IFERROR(__xludf.dummyfunction("""COMPUTED_VALUE"""),"Kiều Bảo Minh")</f>
        <v>Kiều Bảo Minh</v>
      </c>
      <c r="M1048534" s="71"/>
      <c r="N1048534" s="77" t="str">
        <f aca="false">IFERROR(__xludf.dummyfunction("""COMPUTED_VALUE"""),"3118")</f>
        <v>3118</v>
      </c>
      <c r="O1048534" s="63" t="n">
        <f aca="false">IFERROR(__xludf.dummyfunction("""COMPUTED_VALUE"""),167291)</f>
        <v>167291</v>
      </c>
      <c r="P1048534" s="63"/>
      <c r="Q1048534" s="63"/>
      <c r="R1048534" s="41"/>
      <c r="S1048534" s="41"/>
      <c r="T1048534" s="63"/>
      <c r="U1048534" s="63"/>
      <c r="V1048534" s="70" t="n">
        <f aca="false">IFERROR(__xludf.dummyfunction("""COMPUTED_VALUE"""),46200)</f>
        <v>46200</v>
      </c>
      <c r="W1048534" s="39" t="str">
        <f aca="false">IFERROR(__xludf.dummyfunction("""COMPUTED_VALUE"""),"Hoàn thành XB")</f>
        <v>Hoàn thành XB</v>
      </c>
      <c r="X1048534" s="41" t="str">
        <f aca="false">IFERROR(__xludf.dummyfunction("""COMPUTED_VALUE"""),"Hoantt")</f>
        <v>Hoantt</v>
      </c>
      <c r="Y1048534" s="44" t="str">
        <f aca="false">IFERROR(__xludf.dummyfunction("""COMPUTED_VALUE"""),"done")</f>
        <v>done</v>
      </c>
      <c r="Z1048534" s="57" t="str">
        <f aca="false">IFERROR(__xludf.dummyfunction("""COMPUTED_VALUE"""),"#N/A")</f>
        <v>#N/A</v>
      </c>
      <c r="AA1048534" s="57"/>
      <c r="AB1048534" s="41" t="n">
        <f aca="false">IFERROR(__xludf.dummyfunction("""COMPUTED_VALUE"""),6)</f>
        <v>6</v>
      </c>
      <c r="AC1048534" s="57" t="str">
        <f aca="false">IFERROR(__xludf.dummyfunction("""COMPUTED_VALUE"""),"gv.cuongph@hocmai.edu.vn ")</f>
        <v>gv.cuongph@hocmai.edu.vn </v>
      </c>
      <c r="AD1048534" s="46" t="str">
        <f aca="false">IFERROR(__xludf.dummyfunction("""COMPUTED_VALUE"""),"mkieu2662@gmail.com")</f>
        <v>mkieu2662@gmail.com</v>
      </c>
      <c r="AE1048534" s="46"/>
      <c r="AF1048534" s="74" t="b">
        <f aca="false">IFERROR(__xludf.dummyfunction("""COMPUTED_VALUE"""),FALSE())</f>
        <v>0</v>
      </c>
      <c r="AG1048534" s="46" t="str">
        <f aca="false">IFERROR(__xludf.dummyfunction("""COMPUTED_VALUE"""),"")</f>
        <v/>
      </c>
      <c r="AH1048534" s="35"/>
      <c r="AI1048534" s="35"/>
      <c r="AJ1048534" s="53" t="b">
        <f aca="false">IFERROR(__xludf.dummyfunction("""COMPUTED_VALUE"""),TRUE())</f>
        <v>1</v>
      </c>
      <c r="AK1048534" s="53" t="b">
        <f aca="false">IFERROR(__xludf.dummyfunction("""COMPUTED_VALUE"""),TRUE())</f>
        <v>1</v>
      </c>
      <c r="AL1048534" s="35"/>
      <c r="AM1048534" s="35"/>
      <c r="AN1048534" s="35"/>
      <c r="AO1048534" s="46"/>
    </row>
    <row r="1048535" customFormat="false" ht="15.75" hidden="false" customHeight="true" outlineLevel="0" collapsed="false">
      <c r="A1048535" s="37" t="str">
        <f aca="false">IFERROR(__xludf.dummyfunction("""COMPUTED_VALUE"""),"SLKH")</f>
        <v>SLKH</v>
      </c>
      <c r="B1048535" s="37" t="str">
        <f aca="false">IFERROR(__xludf.dummyfunction("""COMPUTED_VALUE"""),"TOV_V-ACT_KH02")</f>
        <v>TOV_V-ACT_KH02</v>
      </c>
      <c r="C1048535" s="59" t="str">
        <f aca="false">IFERROR(__xludf.dummyfunction("""COMPUTED_VALUE"""),"Kỹ năng scan &amp; skim – Chọn từ khóa trong văn bản khoa học.")</f>
        <v>Kỹ năng scan &amp; skim – Chọn từ khóa trong văn bản khoa học.</v>
      </c>
      <c r="D1048535" s="39" t="str">
        <f aca="false">IFERROR(__xludf.dummyfunction("""COMPUTED_VALUE"""),"Vũ Khắc Ngọc")</f>
        <v>Vũ Khắc Ngọc</v>
      </c>
      <c r="E1048535" s="40" t="n">
        <f aca="false">IFERROR(__xludf.dummyfunction("""COMPUTED_VALUE"""),46197)</f>
        <v>46197</v>
      </c>
      <c r="F1048535" s="41" t="n">
        <f aca="false">IFERROR(__xludf.dummyfunction("""COMPUTED_VALUE"""),4)</f>
        <v>4</v>
      </c>
      <c r="G1048535" s="37" t="str">
        <f aca="false">IFERROR(__xludf.dummyfunction("""COMPUTED_VALUE"""),"21:30-23:00")</f>
        <v>21:30-23:00</v>
      </c>
      <c r="H1048535" s="42" t="str">
        <f aca="false">IFERROR(__xludf.dummyfunction("""COMPUTED_VALUE"""),"https://hocmai.vn/mod/scorm/view_file.php?inpopup=true&amp;id=181064")</f>
        <v>https://hocmai.vn/mod/scorm/view_file.php?inpopup=true&amp;id=181064</v>
      </c>
      <c r="I1048535" s="42" t="str">
        <f aca="false">IFERROR(__xludf.dummyfunction("""COMPUTED_VALUE"""),"https://hocmai.vn/mod/scorm/view_file.php?inpopup=true&amp;id=181073")</f>
        <v>https://hocmai.vn/mod/scorm/view_file.php?inpopup=true&amp;id=181073</v>
      </c>
      <c r="J1048535" s="42" t="str">
        <f aca="false">IFERROR(__xludf.dummyfunction("""COMPUTED_VALUE"""),"https://drive.google.com/drive/folders/12ECceLYypgjNBQZUsOfyhJVoXlEymYHg")</f>
        <v>https://drive.google.com/drive/folders/12ECceLYypgjNBQZUsOfyhJVoXlEymYHg</v>
      </c>
      <c r="K1048535" s="68" t="str">
        <f aca="false">IFERROR(__xludf.dummyfunction("""COMPUTED_VALUE"""),"Trinhntt")</f>
        <v>Trinhntt</v>
      </c>
      <c r="L1048535" s="68" t="str">
        <f aca="false">IFERROR(__xludf.dummyfunction("""COMPUTED_VALUE"""),"Lường Nhật Nam")</f>
        <v>Lường Nhật Nam</v>
      </c>
      <c r="M1048535" s="71"/>
      <c r="N1048535" s="77" t="str">
        <f aca="false">IFERROR(__xludf.dummyfunction("""COMPUTED_VALUE"""),"3126")</f>
        <v>3126</v>
      </c>
      <c r="O1048535" s="63" t="n">
        <f aca="false">IFERROR(__xludf.dummyfunction("""COMPUTED_VALUE"""),167378)</f>
        <v>167378</v>
      </c>
      <c r="P1048535" s="63"/>
      <c r="Q1048535" s="63"/>
      <c r="R1048535" s="41"/>
      <c r="S1048535" s="41"/>
      <c r="T1048535" s="63"/>
      <c r="U1048535" s="63"/>
      <c r="V1048535" s="70" t="n">
        <f aca="false">IFERROR(__xludf.dummyfunction("""COMPUTED_VALUE"""),46200)</f>
        <v>46200</v>
      </c>
      <c r="W1048535" s="39" t="str">
        <f aca="false">IFERROR(__xludf.dummyfunction("""COMPUTED_VALUE"""),"Hoàn thành XB")</f>
        <v>Hoàn thành XB</v>
      </c>
      <c r="X1048535" s="41" t="str">
        <f aca="false">IFERROR(__xludf.dummyfunction("""COMPUTED_VALUE"""),"Trinhntt")</f>
        <v>Trinhntt</v>
      </c>
      <c r="Y1048535" s="44" t="str">
        <f aca="false">IFERROR(__xludf.dummyfunction("""COMPUTED_VALUE"""),"done")</f>
        <v>done</v>
      </c>
      <c r="Z1048535" s="57" t="str">
        <f aca="false">IFERROR(__xludf.dummyfunction("""COMPUTED_VALUE"""),"#N/A")</f>
        <v>#N/A</v>
      </c>
      <c r="AA1048535" s="57"/>
      <c r="AB1048535" s="41" t="n">
        <f aca="false">IFERROR(__xludf.dummyfunction("""COMPUTED_VALUE"""),6)</f>
        <v>6</v>
      </c>
      <c r="AC1048535" s="57" t="str">
        <f aca="false">IFERROR(__xludf.dummyfunction("""COMPUTED_VALUE"""),"gv.ngocvk@hocmai.edu.vn")</f>
        <v>gv.ngocvk@hocmai.edu.vn</v>
      </c>
      <c r="AD1048535" s="46" t="str">
        <f aca="false">IFERROR(__xludf.dummyfunction("""COMPUTED_VALUE"""),"nhatnam1092@gmail.com")</f>
        <v>nhatnam1092@gmail.com</v>
      </c>
      <c r="AE1048535" s="46"/>
      <c r="AF1048535" s="74" t="b">
        <f aca="false">IFERROR(__xludf.dummyfunction("""COMPUTED_VALUE"""),FALSE())</f>
        <v>0</v>
      </c>
      <c r="AG1048535" s="46" t="str">
        <f aca="false">IFERROR(__xludf.dummyfunction("""COMPUTED_VALUE"""),"")</f>
        <v/>
      </c>
      <c r="AH1048535" s="35"/>
      <c r="AI1048535" s="35"/>
      <c r="AJ1048535" s="35"/>
      <c r="AK1048535" s="35"/>
      <c r="AL1048535" s="35"/>
      <c r="AM1048535" s="53" t="b">
        <f aca="false">IFERROR(__xludf.dummyfunction("""COMPUTED_VALUE"""),TRUE())</f>
        <v>1</v>
      </c>
      <c r="AN1048535" s="35"/>
      <c r="AO1048535" s="46"/>
    </row>
    <row r="1048536" customFormat="false" ht="15.75" hidden="false" customHeight="true" outlineLevel="0" collapsed="false">
      <c r="A1048536" s="37" t="str">
        <f aca="false">IFERROR(__xludf.dummyfunction("""COMPUTED_VALUE"""),"Vật lí")</f>
        <v>Vật lí</v>
      </c>
      <c r="B1048536" s="37" t="str">
        <f aca="false">IFERROR(__xludf.dummyfunction("""COMPUTED_VALUE"""),"TOV_TSA_L02")</f>
        <v>TOV_TSA_L02</v>
      </c>
      <c r="C1048536" s="59" t="str">
        <f aca="false">IFERROR(__xludf.dummyfunction("""COMPUTED_VALUE"""),"Chuyển động thẳng – Phân tích đồ thị và mô hình chuyển động")</f>
        <v>Chuyển động thẳng – Phân tích đồ thị và mô hình chuyển động</v>
      </c>
      <c r="D1048536" s="39" t="str">
        <f aca="false">IFERROR(__xludf.dummyfunction("""COMPUTED_VALUE"""),"Thiều Thị Dung")</f>
        <v>Thiều Thị Dung</v>
      </c>
      <c r="E1048536" s="40" t="n">
        <f aca="false">IFERROR(__xludf.dummyfunction("""COMPUTED_VALUE"""),46198)</f>
        <v>46198</v>
      </c>
      <c r="F1048536" s="41" t="n">
        <f aca="false">IFERROR(__xludf.dummyfunction("""COMPUTED_VALUE"""),5)</f>
        <v>5</v>
      </c>
      <c r="G1048536" s="37" t="str">
        <f aca="false">IFERROR(__xludf.dummyfunction("""COMPUTED_VALUE"""),"21:00-23:00")</f>
        <v>21:00-23:00</v>
      </c>
      <c r="H1048536" s="42" t="str">
        <f aca="false">IFERROR(__xludf.dummyfunction("""COMPUTED_VALUE"""),"https://hocmai.vn/file.php/3110/Nam_hoc_2026_-_2027/VAT_LI/TAI_LIEU_HOC_SINH/TLHS_TOV_TSA_T02_Chuyen_dong_thang_-_Phan_tich_do_thi_va_cac_mo_hinh_chuyen_dong.pdf")</f>
        <v>https://hocmai.vn/file.php/3110/Nam_hoc_2026_-_2027/VAT_LI/TAI_LIEU_HOC_SINH/TLHS_TOV_TSA_T02_Chuyen_dong_thang_-_Phan_tich_do_thi_va_cac_mo_hinh_chuyen_dong.pdf</v>
      </c>
      <c r="I1048536" s="42" t="str">
        <f aca="false">IFERROR(__xludf.dummyfunction("""COMPUTED_VALUE"""),"https://hocmai.vn/file.php/3110/Nam_hoc_2026_-_2027/VAT_LI/BTTL/BTTL_TOV_TSA_L02._Chuyen_dong_thang_-_Phan_tich_do_thi_va_mo_hinh_chuyen_dong.pdf")</f>
        <v>https://hocmai.vn/file.php/3110/Nam_hoc_2026_-_2027/VAT_LI/BTTL/BTTL_TOV_TSA_L02._Chuyen_dong_thang_-_Phan_tich_do_thi_va_mo_hinh_chuyen_dong.pdf</v>
      </c>
      <c r="J1048536" s="42" t="str">
        <f aca="false">IFERROR(__xludf.dummyfunction("""COMPUTED_VALUE"""),"https://drive.google.com/drive/folders/1dEynXH-7yADJPBMDK4vUjdcmDFPYz5T7")</f>
        <v>https://drive.google.com/drive/folders/1dEynXH-7yADJPBMDK4vUjdcmDFPYz5T7</v>
      </c>
      <c r="K1048536" s="68" t="str">
        <f aca="false">IFERROR(__xludf.dummyfunction("""COMPUTED_VALUE"""),"Trangnth2")</f>
        <v>Trangnth2</v>
      </c>
      <c r="L1048536" s="68" t="str">
        <f aca="false">IFERROR(__xludf.dummyfunction("""COMPUTED_VALUE"""),"Trần Đức Lương")</f>
        <v>Trần Đức Lương</v>
      </c>
      <c r="M1048536" s="71"/>
      <c r="N1048536" s="77" t="str">
        <f aca="false">IFERROR(__xludf.dummyfunction("""COMPUTED_VALUE"""),"3110")</f>
        <v>3110</v>
      </c>
      <c r="O1048536" s="63" t="n">
        <f aca="false">IFERROR(__xludf.dummyfunction("""COMPUTED_VALUE"""),167248)</f>
        <v>167248</v>
      </c>
      <c r="P1048536" s="63"/>
      <c r="Q1048536" s="63"/>
      <c r="R1048536" s="41"/>
      <c r="S1048536" s="41"/>
      <c r="T1048536" s="63" t="n">
        <f aca="false">IFERROR(__xludf.dummyfunction("""COMPUTED_VALUE"""),23729)</f>
        <v>23729</v>
      </c>
      <c r="U1048536" s="63"/>
      <c r="V1048536" s="70" t="n">
        <f aca="false">IFERROR(__xludf.dummyfunction("""COMPUTED_VALUE"""),46201)</f>
        <v>46201</v>
      </c>
      <c r="W1048536" s="39" t="str">
        <f aca="false">IFERROR(__xludf.dummyfunction("""COMPUTED_VALUE"""),"Hoàn thành XB")</f>
        <v>Hoàn thành XB</v>
      </c>
      <c r="X1048536" s="41" t="str">
        <f aca="false">IFERROR(__xludf.dummyfunction("""COMPUTED_VALUE"""),"Trangnth2")</f>
        <v>Trangnth2</v>
      </c>
      <c r="Y1048536" s="44" t="str">
        <f aca="false">IFERROR(__xludf.dummyfunction("""COMPUTED_VALUE"""),"done")</f>
        <v>done</v>
      </c>
      <c r="Z1048536" s="57" t="str">
        <f aca="false">IFERROR(__xludf.dummyfunction("""COMPUTED_VALUE"""),"#N/A")</f>
        <v>#N/A</v>
      </c>
      <c r="AA1048536" s="57"/>
      <c r="AB1048536" s="41" t="n">
        <f aca="false">IFERROR(__xludf.dummyfunction("""COMPUTED_VALUE"""),6)</f>
        <v>6</v>
      </c>
      <c r="AC1048536" s="57" t="str">
        <f aca="false">IFERROR(__xludf.dummyfunction("""COMPUTED_VALUE"""),"dungtt2@hocmai.vn                ")</f>
        <v>dungtt2@hocmai.vn                </v>
      </c>
      <c r="AD1048536" s="46" t="str">
        <f aca="false">IFERROR(__xludf.dummyfunction("""COMPUTED_VALUE"""),"ss.hsa01@ctv.hocmai.vn")</f>
        <v>ss.hsa01@ctv.hocmai.vn</v>
      </c>
      <c r="AE1048536" s="46"/>
      <c r="AF1048536" s="74" t="b">
        <f aca="false">IFERROR(__xludf.dummyfunction("""COMPUTED_VALUE"""),FALSE())</f>
        <v>0</v>
      </c>
      <c r="AG1048536" s="46" t="str">
        <f aca="false">IFERROR(__xludf.dummyfunction("""COMPUTED_VALUE"""),"")</f>
        <v/>
      </c>
      <c r="AH1048536" s="35"/>
      <c r="AI1048536" s="53" t="b">
        <f aca="false">IFERROR(__xludf.dummyfunction("""COMPUTED_VALUE"""),TRUE())</f>
        <v>1</v>
      </c>
      <c r="AJ1048536" s="35"/>
      <c r="AK1048536" s="35"/>
      <c r="AL1048536" s="35"/>
      <c r="AM1048536" s="35"/>
      <c r="AN1048536" s="35"/>
      <c r="AO1048536" s="46"/>
    </row>
    <row r="1048537" customFormat="false" ht="15.75" hidden="false" customHeight="true" outlineLevel="0" collapsed="false">
      <c r="A1048537" s="37" t="str">
        <f aca="false">IFERROR(__xludf.dummyfunction("""COMPUTED_VALUE"""),"Toán")</f>
        <v>Toán</v>
      </c>
      <c r="B1048537" s="37" t="str">
        <f aca="false">IFERROR(__xludf.dummyfunction("""COMPUTED_VALUE"""),"TOV_HSA_DL02")</f>
        <v>TOV_HSA_DL02</v>
      </c>
      <c r="C1048537" s="59" t="str">
        <f aca="false">IFERROR(__xludf.dummyfunction("""COMPUTED_VALUE"""),"Các bài toán về hàm hợp (P1)")</f>
        <v>Các bài toán về hàm hợp (P1)</v>
      </c>
      <c r="D1048537" s="39" t="str">
        <f aca="false">IFERROR(__xludf.dummyfunction("""COMPUTED_VALUE"""),"Nguyễn Thanh Tùng")</f>
        <v>Nguyễn Thanh Tùng</v>
      </c>
      <c r="E1048537" s="40" t="n">
        <f aca="false">IFERROR(__xludf.dummyfunction("""COMPUTED_VALUE"""),46198)</f>
        <v>46198</v>
      </c>
      <c r="F1048537" s="41" t="n">
        <f aca="false">IFERROR(__xludf.dummyfunction("""COMPUTED_VALUE"""),5)</f>
        <v>5</v>
      </c>
      <c r="G1048537" s="37" t="str">
        <f aca="false">IFERROR(__xludf.dummyfunction("""COMPUTED_VALUE"""),"18:00-20:00")</f>
        <v>18:00-20:00</v>
      </c>
      <c r="H1048537" s="42" t="str">
        <f aca="false">IFERROR(__xludf.dummyfunction("""COMPUTED_VALUE"""),"https://hocmai.vn/file.php/3315/Tai_lieu_live_2026_-_2027/TLHS_TOV_HSA_DL02_Cac_bai_toan_ve_ham_hop_P1.pdf")</f>
        <v>https://hocmai.vn/file.php/3315/Tai_lieu_live_2026_-_2027/TLHS_TOV_HSA_DL02_Cac_bai_toan_ve_ham_hop_P1.pdf</v>
      </c>
      <c r="I1048537" s="37"/>
      <c r="J1048537" s="42" t="str">
        <f aca="false">IFERROR(__xludf.dummyfunction("""COMPUTED_VALUE"""),"https://drive.google.com/file/d/1v7qy1prZ808bxMOqDgzx9ThU8mkyn1Uf/view?usp=drive_link")</f>
        <v>https://drive.google.com/file/d/1v7qy1prZ808bxMOqDgzx9ThU8mkyn1Uf/view?usp=drive_link</v>
      </c>
      <c r="K1048537" s="68" t="str">
        <f aca="false">IFERROR(__xludf.dummyfunction("""COMPUTED_VALUE"""),"Locdd")</f>
        <v>Locdd</v>
      </c>
      <c r="L1048537" s="68" t="str">
        <f aca="false">IFERROR(__xludf.dummyfunction("""COMPUTED_VALUE"""),"Tưởng Thị Huyền Trang")</f>
        <v>Tưởng Thị Huyền Trang</v>
      </c>
      <c r="M1048537" s="71"/>
      <c r="N1048537" s="77" t="str">
        <f aca="false">IFERROR(__xludf.dummyfunction("""COMPUTED_VALUE"""),"3117,3315")</f>
        <v>3117,3315</v>
      </c>
      <c r="O1048537" s="73" t="n">
        <f aca="false">IFERROR(__xludf.dummyfunction("""COMPUTED_VALUE"""),168573.168314)</f>
        <v>168573.168314</v>
      </c>
      <c r="P1048537" s="63" t="str">
        <f aca="false">IFERROR(__xludf.dummyfunction("""COMPUTED_VALUE"""),"9028,9036,9104,9106")</f>
        <v>9028,9036,9104,9106</v>
      </c>
      <c r="Q1048537" s="63" t="n">
        <f aca="false">IFERROR(__xludf.dummyfunction("""COMPUTED_VALUE"""),168314)</f>
        <v>168314</v>
      </c>
      <c r="R1048537" s="41"/>
      <c r="S1048537" s="41"/>
      <c r="T1048537" s="63"/>
      <c r="U1048537" s="63"/>
      <c r="V1048537" s="70" t="n">
        <f aca="false">IFERROR(__xludf.dummyfunction("""COMPUTED_VALUE"""),46201)</f>
        <v>46201</v>
      </c>
      <c r="W1048537" s="39" t="str">
        <f aca="false">IFERROR(__xludf.dummyfunction("""COMPUTED_VALUE"""),"Hoàn thành XB")</f>
        <v>Hoàn thành XB</v>
      </c>
      <c r="X1048537" s="41" t="str">
        <f aca="false">IFERROR(__xludf.dummyfunction("""COMPUTED_VALUE"""),"Locdd")</f>
        <v>Locdd</v>
      </c>
      <c r="Y1048537" s="44" t="str">
        <f aca="false">IFERROR(__xludf.dummyfunction("""COMPUTED_VALUE"""),"done")</f>
        <v>done</v>
      </c>
      <c r="Z1048537" s="57" t="str">
        <f aca="false">IFERROR(__xludf.dummyfunction("""COMPUTED_VALUE"""),"#N/A")</f>
        <v>#N/A</v>
      </c>
      <c r="AA1048537" s="56" t="str">
        <f aca="false">IFERROR(__xludf.dummyfunction("""COMPUTED_VALUE"""),"https://drive.google.com/file/d/1UxRO00rvXQCv76dx4dCWBiEd5dJOqHCH/view")</f>
        <v>https://drive.google.com/file/d/1UxRO00rvXQCv76dx4dCWBiEd5dJOqHCH/view</v>
      </c>
      <c r="AB1048537" s="41" t="n">
        <f aca="false">IFERROR(__xludf.dummyfunction("""COMPUTED_VALUE"""),6)</f>
        <v>6</v>
      </c>
      <c r="AC1048537" s="57" t="str">
        <f aca="false">IFERROR(__xludf.dummyfunction("""COMPUTED_VALUE"""),"gv.tungnt@hocmai.edu.vn ")</f>
        <v>gv.tungnt@hocmai.edu.vn </v>
      </c>
      <c r="AD1048537" s="46" t="str">
        <f aca="false">IFERROR(__xludf.dummyfunction("""COMPUTED_VALUE"""),"trangcrazy699@gmail.com")</f>
        <v>trangcrazy699@gmail.com</v>
      </c>
      <c r="AE1048537" s="46"/>
      <c r="AF1048537" s="47" t="str">
        <f aca="false">IFERROR(__xludf.dummyfunction("""COMPUTED_VALUE"""),"lophoctoan-946198")</f>
        <v>lophoctoan-946198</v>
      </c>
      <c r="AG1048537" s="46" t="str">
        <f aca="false">IFERROR(__xludf.dummyfunction("""COMPUTED_VALUE"""),"")</f>
        <v/>
      </c>
      <c r="AH1048537" s="35"/>
      <c r="AI1048537" s="35"/>
      <c r="AJ1048537" s="53" t="b">
        <f aca="false">IFERROR(__xludf.dummyfunction("""COMPUTED_VALUE"""),TRUE())</f>
        <v>1</v>
      </c>
      <c r="AK1048537" s="53" t="b">
        <f aca="false">IFERROR(__xludf.dummyfunction("""COMPUTED_VALUE"""),TRUE())</f>
        <v>1</v>
      </c>
      <c r="AL1048537" s="35"/>
      <c r="AM1048537" s="35"/>
      <c r="AN1048537" s="35"/>
      <c r="AO1048537" s="46"/>
    </row>
    <row r="1048538" customFormat="false" ht="15.75" hidden="false" customHeight="true" outlineLevel="0" collapsed="false">
      <c r="A1048538" s="37" t="str">
        <f aca="false">IFERROR(__xludf.dummyfunction("""COMPUTED_VALUE"""),"Vật lí")</f>
        <v>Vật lí</v>
      </c>
      <c r="B1048538" s="37" t="str">
        <f aca="false">IFERROR(__xludf.dummyfunction("""COMPUTED_VALUE"""),"TOV_HSA_VL02")</f>
        <v>TOV_HSA_VL02</v>
      </c>
      <c r="C1048538" s="59" t="str">
        <f aca="false">IFERROR(__xludf.dummyfunction("""COMPUTED_VALUE"""),"Động học – Quy luật chuyển động")</f>
        <v>Động học – Quy luật chuyển động</v>
      </c>
      <c r="D1048538" s="39" t="str">
        <f aca="false">IFERROR(__xludf.dummyfunction("""COMPUTED_VALUE"""),"Nguyễn Hữu Tình")</f>
        <v>Nguyễn Hữu Tình</v>
      </c>
      <c r="E1048538" s="40" t="n">
        <f aca="false">IFERROR(__xludf.dummyfunction("""COMPUTED_VALUE"""),46198)</f>
        <v>46198</v>
      </c>
      <c r="F1048538" s="41" t="n">
        <f aca="false">IFERROR(__xludf.dummyfunction("""COMPUTED_VALUE"""),5)</f>
        <v>5</v>
      </c>
      <c r="G1048538" s="37" t="str">
        <f aca="false">IFERROR(__xludf.dummyfunction("""COMPUTED_VALUE"""),"21:00-23:00")</f>
        <v>21:00-23:00</v>
      </c>
      <c r="H1048538" s="42" t="str">
        <f aca="false">IFERROR(__xludf.dummyfunction("""COMPUTED_VALUE"""),"https://hocmai.vn/file.php/3119/NAM_HOC_2026_-_2027/Tai_lieu_live/TLHS_TOV_HSA_VL02_Dong_hoc_-_Quy_luat_chuyen_dong.pdf")</f>
        <v>https://hocmai.vn/file.php/3119/NAM_HOC_2026_-_2027/Tai_lieu_live/TLHS_TOV_HSA_VL02_Dong_hoc_-_Quy_luat_chuyen_dong.pdf</v>
      </c>
      <c r="I1048538" s="42" t="str">
        <f aca="false">IFERROR(__xludf.dummyfunction("""COMPUTED_VALUE"""),"https://hocmai.vn/file.php/3119/NAM_HOC_2026_-_2027/BTTL/BTTL_TOV_HSA_VL02_Dong_hoc_-_Quy_luat_chuyen_dong.pdf")</f>
        <v>https://hocmai.vn/file.php/3119/NAM_HOC_2026_-_2027/BTTL/BTTL_TOV_HSA_VL02_Dong_hoc_-_Quy_luat_chuyen_dong.pdf</v>
      </c>
      <c r="J1048538" s="42" t="str">
        <f aca="false">IFERROR(__xludf.dummyfunction("""COMPUTED_VALUE"""),"https://drive.google.com/drive/folders/1R1JvqQ24x0EFH4sBgYvWtkZoG3P2j9Xo")</f>
        <v>https://drive.google.com/drive/folders/1R1JvqQ24x0EFH4sBgYvWtkZoG3P2j9Xo</v>
      </c>
      <c r="K1048538" s="68" t="str">
        <f aca="false">IFERROR(__xludf.dummyfunction("""COMPUTED_VALUE"""),"Trangnth2")</f>
        <v>Trangnth2</v>
      </c>
      <c r="L1048538" s="68" t="str">
        <f aca="false">IFERROR(__xludf.dummyfunction("""COMPUTED_VALUE"""),"Kiều Bảo Minh")</f>
        <v>Kiều Bảo Minh</v>
      </c>
      <c r="M1048538" s="71"/>
      <c r="N1048538" s="76" t="str">
        <f aca="false">IFERROR(__xludf.dummyfunction("""COMPUTED_VALUE"""),"3119")</f>
        <v>3119</v>
      </c>
      <c r="O1048538" s="63" t="n">
        <f aca="false">IFERROR(__xludf.dummyfunction("""COMPUTED_VALUE"""),167517)</f>
        <v>167517</v>
      </c>
      <c r="P1048538" s="63"/>
      <c r="Q1048538" s="63"/>
      <c r="R1048538" s="41"/>
      <c r="S1048538" s="41"/>
      <c r="T1048538" s="63"/>
      <c r="U1048538" s="63" t="n">
        <f aca="false">IFERROR(__xludf.dummyfunction("""COMPUTED_VALUE"""),10458)</f>
        <v>10458</v>
      </c>
      <c r="V1048538" s="70" t="n">
        <f aca="false">IFERROR(__xludf.dummyfunction("""COMPUTED_VALUE"""),46201)</f>
        <v>46201</v>
      </c>
      <c r="W1048538" s="39" t="str">
        <f aca="false">IFERROR(__xludf.dummyfunction("""COMPUTED_VALUE"""),"Hoàn thành XB")</f>
        <v>Hoàn thành XB</v>
      </c>
      <c r="X1048538" s="41" t="str">
        <f aca="false">IFERROR(__xludf.dummyfunction("""COMPUTED_VALUE"""),"Trangnth2")</f>
        <v>Trangnth2</v>
      </c>
      <c r="Y1048538" s="44" t="str">
        <f aca="false">IFERROR(__xludf.dummyfunction("""COMPUTED_VALUE"""),"done")</f>
        <v>done</v>
      </c>
      <c r="Z1048538" s="57" t="str">
        <f aca="false">IFERROR(__xludf.dummyfunction("""COMPUTED_VALUE"""),"#N/A")</f>
        <v>#N/A</v>
      </c>
      <c r="AA1048538" s="57"/>
      <c r="AB1048538" s="41" t="n">
        <f aca="false">IFERROR(__xludf.dummyfunction("""COMPUTED_VALUE"""),6)</f>
        <v>6</v>
      </c>
      <c r="AC1048538" s="57" t="str">
        <f aca="false">IFERROR(__xludf.dummyfunction("""COMPUTED_VALUE"""),"gv.tinhnh@hocmai.edu.vn ")</f>
        <v>gv.tinhnh@hocmai.edu.vn </v>
      </c>
      <c r="AD1048538" s="46" t="str">
        <f aca="false">IFERROR(__xludf.dummyfunction("""COMPUTED_VALUE"""),"mkieu2662@gmail.com")</f>
        <v>mkieu2662@gmail.com</v>
      </c>
      <c r="AE1048538" s="46"/>
      <c r="AF1048538" s="74" t="b">
        <f aca="false">IFERROR(__xludf.dummyfunction("""COMPUTED_VALUE"""),FALSE())</f>
        <v>0</v>
      </c>
      <c r="AG1048538" s="46" t="str">
        <f aca="false">IFERROR(__xludf.dummyfunction("""COMPUTED_VALUE"""),"")</f>
        <v/>
      </c>
      <c r="AH1048538" s="35"/>
      <c r="AI1048538" s="35"/>
      <c r="AJ1048538" s="53" t="b">
        <f aca="false">IFERROR(__xludf.dummyfunction("""COMPUTED_VALUE"""),TRUE())</f>
        <v>1</v>
      </c>
      <c r="AK1048538" s="53" t="b">
        <f aca="false">IFERROR(__xludf.dummyfunction("""COMPUTED_VALUE"""),TRUE())</f>
        <v>1</v>
      </c>
      <c r="AL1048538" s="35"/>
      <c r="AM1048538" s="35"/>
      <c r="AN1048538" s="35"/>
      <c r="AO1048538" s="46"/>
    </row>
    <row r="1048539" customFormat="false" ht="15.75" hidden="false" customHeight="true" outlineLevel="0" collapsed="false">
      <c r="A1048539" s="37" t="str">
        <f aca="false">IFERROR(__xludf.dummyfunction("""COMPUTED_VALUE"""),"Toán")</f>
        <v>Toán</v>
      </c>
      <c r="B1048539" s="37" t="str">
        <f aca="false">IFERROR(__xludf.dummyfunction("""COMPUTED_VALUE"""),"TOA_V-ACT_T02")</f>
        <v>TOA_V-ACT_T02</v>
      </c>
      <c r="C1048539" s="59" t="str">
        <f aca="false">IFERROR(__xludf.dummyfunction("""COMPUTED_VALUE"""),"Phương pháp, kĩ năng xử lí các bài toán về hình học phẳng (P1)")</f>
        <v>Phương pháp, kĩ năng xử lí các bài toán về hình học phẳng (P1)</v>
      </c>
      <c r="D1048539" s="39" t="str">
        <f aca="false">IFERROR(__xludf.dummyfunction("""COMPUTED_VALUE"""),"Nguyễn Hoài Nam")</f>
        <v>Nguyễn Hoài Nam</v>
      </c>
      <c r="E1048539" s="40" t="n">
        <f aca="false">IFERROR(__xludf.dummyfunction("""COMPUTED_VALUE"""),46198)</f>
        <v>46198</v>
      </c>
      <c r="F1048539" s="41" t="n">
        <f aca="false">IFERROR(__xludf.dummyfunction("""COMPUTED_VALUE"""),5)</f>
        <v>5</v>
      </c>
      <c r="G1048539" s="37" t="str">
        <f aca="false">IFERROR(__xludf.dummyfunction("""COMPUTED_VALUE"""),"21:00-22:30")</f>
        <v>21:00-22:30</v>
      </c>
      <c r="H1048539" s="42" t="str">
        <f aca="false">IFERROR(__xludf.dummyfunction("""COMPUTED_VALUE"""),"https://hocmai.vn/file.php/3124/TLHS_TOA_V-ACT_T02.pdf")</f>
        <v>https://hocmai.vn/file.php/3124/TLHS_TOA_V-ACT_T02.pdf</v>
      </c>
      <c r="I1048539" s="42" t="str">
        <f aca="false">IFERROR(__xludf.dummyfunction("""COMPUTED_VALUE"""),"https://hocmai.vn/file.php/3124/BTTL_TOA_V-ACT_T02.pdf")</f>
        <v>https://hocmai.vn/file.php/3124/BTTL_TOA_V-ACT_T02.pdf</v>
      </c>
      <c r="J1048539" s="42" t="str">
        <f aca="false">IFERROR(__xludf.dummyfunction("""COMPUTED_VALUE"""),"https://drive.google.com/drive/folders/1GbXRgXQ2sOIZvOC-18KUNslqyUgCIqqr?usp=sharing")</f>
        <v>https://drive.google.com/drive/folders/1GbXRgXQ2sOIZvOC-18KUNslqyUgCIqqr?usp=sharing</v>
      </c>
      <c r="K1048539" s="68" t="str">
        <f aca="false">IFERROR(__xludf.dummyfunction("""COMPUTED_VALUE"""),"Lent")</f>
        <v>Lent</v>
      </c>
      <c r="L1048539" s="68" t="str">
        <f aca="false">IFERROR(__xludf.dummyfunction("""COMPUTED_VALUE"""),"Lường Nhật Nam")</f>
        <v>Lường Nhật Nam</v>
      </c>
      <c r="M1048539" s="71"/>
      <c r="N1048539" s="77" t="str">
        <f aca="false">IFERROR(__xludf.dummyfunction("""COMPUTED_VALUE"""),"3124,3316")</f>
        <v>3124,3316</v>
      </c>
      <c r="O1048539" s="73" t="n">
        <f aca="false">IFERROR(__xludf.dummyfunction("""COMPUTED_VALUE"""),167186.166856)</f>
        <v>167186.166856</v>
      </c>
      <c r="P1048539" s="63" t="n">
        <f aca="false">IFERROR(__xludf.dummyfunction("""COMPUTED_VALUE"""),9044.9108)</f>
        <v>9044.9108</v>
      </c>
      <c r="Q1048539" s="63" t="n">
        <f aca="false">IFERROR(__xludf.dummyfunction("""COMPUTED_VALUE"""),167186)</f>
        <v>167186</v>
      </c>
      <c r="R1048539" s="41" t="n">
        <f aca="false">IFERROR(__xludf.dummyfunction("""COMPUTED_VALUE"""),166856)</f>
        <v>166856</v>
      </c>
      <c r="S1048539" s="41"/>
      <c r="T1048539" s="63"/>
      <c r="U1048539" s="63"/>
      <c r="V1048539" s="70" t="n">
        <f aca="false">IFERROR(__xludf.dummyfunction("""COMPUTED_VALUE"""),46201)</f>
        <v>46201</v>
      </c>
      <c r="W1048539" s="39" t="str">
        <f aca="false">IFERROR(__xludf.dummyfunction("""COMPUTED_VALUE"""),"Hoàn thành XB")</f>
        <v>Hoàn thành XB</v>
      </c>
      <c r="X1048539" s="41" t="str">
        <f aca="false">IFERROR(__xludf.dummyfunction("""COMPUTED_VALUE"""),"Lent")</f>
        <v>Lent</v>
      </c>
      <c r="Y1048539" s="44" t="str">
        <f aca="false">IFERROR(__xludf.dummyfunction("""COMPUTED_VALUE"""),"done")</f>
        <v>done</v>
      </c>
      <c r="Z1048539" s="57" t="str">
        <f aca="false">IFERROR(__xludf.dummyfunction("""COMPUTED_VALUE"""),"#N/A")</f>
        <v>#N/A</v>
      </c>
      <c r="AA1048539" s="57"/>
      <c r="AB1048539" s="41" t="n">
        <f aca="false">IFERROR(__xludf.dummyfunction("""COMPUTED_VALUE"""),6)</f>
        <v>6</v>
      </c>
      <c r="AC1048539" s="57" t="str">
        <f aca="false">IFERROR(__xludf.dummyfunction("""COMPUTED_VALUE"""),"gv.namnh@hocmai.edu.vn ")</f>
        <v>gv.namnh@hocmai.edu.vn </v>
      </c>
      <c r="AD1048539" s="46" t="str">
        <f aca="false">IFERROR(__xludf.dummyfunction("""COMPUTED_VALUE"""),"nhatnam1092@gmail.com")</f>
        <v>nhatnam1092@gmail.com</v>
      </c>
      <c r="AE1048539" s="46"/>
      <c r="AF1048539" s="47" t="str">
        <f aca="false">IFERROR(__xludf.dummyfunction("""COMPUTED_VALUE"""),"lophoctoan-946198")</f>
        <v>lophoctoan-946198</v>
      </c>
      <c r="AG1048539" s="46" t="str">
        <f aca="false">IFERROR(__xludf.dummyfunction("""COMPUTED_VALUE"""),"")</f>
        <v/>
      </c>
      <c r="AH1048539" s="35"/>
      <c r="AI1048539" s="35"/>
      <c r="AJ1048539" s="35"/>
      <c r="AK1048539" s="35"/>
      <c r="AL1048539" s="35"/>
      <c r="AM1048539" s="53" t="b">
        <f aca="false">IFERROR(__xludf.dummyfunction("""COMPUTED_VALUE"""),TRUE())</f>
        <v>1</v>
      </c>
      <c r="AN1048539" s="53" t="b">
        <f aca="false">IFERROR(__xludf.dummyfunction("""COMPUTED_VALUE"""),TRUE())</f>
        <v>1</v>
      </c>
      <c r="AO1048539" s="46"/>
    </row>
    <row r="1048540" customFormat="false" ht="15.75" hidden="false" customHeight="true" outlineLevel="0" collapsed="false">
      <c r="A1048540" s="37" t="str">
        <f aca="false">IFERROR(__xludf.dummyfunction("""COMPUTED_VALUE"""),"Toán")</f>
        <v>Toán</v>
      </c>
      <c r="B1048540" s="37" t="str">
        <f aca="false">IFERROR(__xludf.dummyfunction("""COMPUTED_VALUE"""),"TOV_TSA_T02")</f>
        <v>TOV_TSA_T02</v>
      </c>
      <c r="C1048540" s="59" t="str">
        <f aca="false">IFERROR(__xludf.dummyfunction("""COMPUTED_VALUE"""),"Đồng dư thức và các ứng dụng")</f>
        <v>Đồng dư thức và các ứng dụng</v>
      </c>
      <c r="D1048540" s="39" t="str">
        <f aca="false">IFERROR(__xludf.dummyfunction("""COMPUTED_VALUE"""),"Nguyễn Thanh Tùng")</f>
        <v>Nguyễn Thanh Tùng</v>
      </c>
      <c r="E1048540" s="40" t="n">
        <f aca="false">IFERROR(__xludf.dummyfunction("""COMPUTED_VALUE"""),46199)</f>
        <v>46199</v>
      </c>
      <c r="F1048540" s="41" t="n">
        <f aca="false">IFERROR(__xludf.dummyfunction("""COMPUTED_VALUE"""),6)</f>
        <v>6</v>
      </c>
      <c r="G1048540" s="37" t="str">
        <f aca="false">IFERROR(__xludf.dummyfunction("""COMPUTED_VALUE"""),"18:00-20:00")</f>
        <v>18:00-20:00</v>
      </c>
      <c r="H1048540" s="42" t="str">
        <f aca="false">IFERROR(__xludf.dummyfunction("""COMPUTED_VALUE"""),"https://hocmai.vn/mod/scorm/view_file.php?inpopup=true&amp;id=181350")</f>
        <v>https://hocmai.vn/mod/scorm/view_file.php?inpopup=true&amp;id=181350</v>
      </c>
      <c r="I1048540" s="37"/>
      <c r="J1048540" s="42" t="str">
        <f aca="false">IFERROR(__xludf.dummyfunction("""COMPUTED_VALUE"""),"https://drive.google.com/file/d/1KMzbSnzb7OIa7hCO9Axz0fKqT2KniZaC/view?usp=drive_link")</f>
        <v>https://drive.google.com/file/d/1KMzbSnzb7OIa7hCO9Axz0fKqT2KniZaC/view?usp=drive_link</v>
      </c>
      <c r="K1048540" s="68" t="str">
        <f aca="false">IFERROR(__xludf.dummyfunction("""COMPUTED_VALUE"""),"Locdd")</f>
        <v>Locdd</v>
      </c>
      <c r="L1048540" s="68" t="str">
        <f aca="false">IFERROR(__xludf.dummyfunction("""COMPUTED_VALUE"""),"Tưởng Thị Huyền Trang")</f>
        <v>Tưởng Thị Huyền Trang</v>
      </c>
      <c r="M1048540" s="71"/>
      <c r="N1048540" s="77" t="str">
        <f aca="false">IFERROR(__xludf.dummyfunction("""COMPUTED_VALUE"""),"3108")</f>
        <v>3108</v>
      </c>
      <c r="O1048540" s="63" t="n">
        <f aca="false">IFERROR(__xludf.dummyfunction("""COMPUTED_VALUE"""),168358)</f>
        <v>168358</v>
      </c>
      <c r="P1048540" s="63"/>
      <c r="Q1048540" s="63"/>
      <c r="R1048540" s="41"/>
      <c r="S1048540" s="41"/>
      <c r="T1048540" s="63"/>
      <c r="U1048540" s="63"/>
      <c r="V1048540" s="70" t="n">
        <f aca="false">IFERROR(__xludf.dummyfunction("""COMPUTED_VALUE"""),46202)</f>
        <v>46202</v>
      </c>
      <c r="W1048540" s="39" t="str">
        <f aca="false">IFERROR(__xludf.dummyfunction("""COMPUTED_VALUE"""),"Hoàn thành XB")</f>
        <v>Hoàn thành XB</v>
      </c>
      <c r="X1048540" s="41" t="str">
        <f aca="false">IFERROR(__xludf.dummyfunction("""COMPUTED_VALUE"""),"Locdd")</f>
        <v>Locdd</v>
      </c>
      <c r="Y1048540" s="44" t="str">
        <f aca="false">IFERROR(__xludf.dummyfunction("""COMPUTED_VALUE"""),"done")</f>
        <v>done</v>
      </c>
      <c r="Z1048540" s="57" t="str">
        <f aca="false">IFERROR(__xludf.dummyfunction("""COMPUTED_VALUE"""),"#N/A")</f>
        <v>#N/A</v>
      </c>
      <c r="AA1048540" s="57"/>
      <c r="AB1048540" s="41" t="n">
        <f aca="false">IFERROR(__xludf.dummyfunction("""COMPUTED_VALUE"""),6)</f>
        <v>6</v>
      </c>
      <c r="AC1048540" s="57" t="str">
        <f aca="false">IFERROR(__xludf.dummyfunction("""COMPUTED_VALUE"""),"gv.tungnt@hocmai.edu.vn ")</f>
        <v>gv.tungnt@hocmai.edu.vn </v>
      </c>
      <c r="AD1048540" s="46" t="str">
        <f aca="false">IFERROR(__xludf.dummyfunction("""COMPUTED_VALUE"""),"trangcrazy699@gmail.com")</f>
        <v>trangcrazy699@gmail.com</v>
      </c>
      <c r="AE1048540" s="46"/>
      <c r="AF1048540" s="47" t="str">
        <f aca="false">IFERROR(__xludf.dummyfunction("""COMPUTED_VALUE"""),"lophoctoan-946199")</f>
        <v>lophoctoan-946199</v>
      </c>
      <c r="AG1048540" s="46" t="str">
        <f aca="false">IFERROR(__xludf.dummyfunction("""COMPUTED_VALUE"""),"")</f>
        <v/>
      </c>
      <c r="AH1048540" s="35"/>
      <c r="AI1048540" s="53" t="b">
        <f aca="false">IFERROR(__xludf.dummyfunction("""COMPUTED_VALUE"""),TRUE())</f>
        <v>1</v>
      </c>
      <c r="AJ1048540" s="35"/>
      <c r="AK1048540" s="35"/>
      <c r="AL1048540" s="35"/>
      <c r="AM1048540" s="35"/>
      <c r="AN1048540" s="35"/>
      <c r="AO1048540" s="46"/>
    </row>
    <row r="1048541" customFormat="false" ht="15.75" hidden="false" customHeight="true" outlineLevel="0" collapsed="false">
      <c r="A1048541" s="37" t="str">
        <f aca="false">IFERROR(__xludf.dummyfunction("""COMPUTED_VALUE"""),"Sinh học")</f>
        <v>Sinh học</v>
      </c>
      <c r="B1048541" s="37" t="str">
        <f aca="false">IFERROR(__xludf.dummyfunction("""COMPUTED_VALUE"""),"TOV_HSA_SH02")</f>
        <v>TOV_HSA_SH02</v>
      </c>
      <c r="C1048541" s="59" t="str">
        <f aca="false">IFERROR(__xludf.dummyfunction("""COMPUTED_VALUE"""),"Thành phần hoá học tế bào – Enzyme")</f>
        <v>Thành phần hoá học tế bào – Enzyme</v>
      </c>
      <c r="D1048541" s="39" t="str">
        <f aca="false">IFERROR(__xludf.dummyfunction("""COMPUTED_VALUE"""),"Nguyễn Dương Ánh Hồng")</f>
        <v>Nguyễn Dương Ánh Hồng</v>
      </c>
      <c r="E1048541" s="40" t="n">
        <f aca="false">IFERROR(__xludf.dummyfunction("""COMPUTED_VALUE"""),46199)</f>
        <v>46199</v>
      </c>
      <c r="F1048541" s="41" t="n">
        <f aca="false">IFERROR(__xludf.dummyfunction("""COMPUTED_VALUE"""),6)</f>
        <v>6</v>
      </c>
      <c r="G1048541" s="37" t="str">
        <f aca="false">IFERROR(__xludf.dummyfunction("""COMPUTED_VALUE"""),"20:00-22:00")</f>
        <v>20:00-22:00</v>
      </c>
      <c r="H1048541" s="42" t="str">
        <f aca="false">IFERROR(__xludf.dummyfunction("""COMPUTED_VALUE"""),"https://hocmai.vn/mod/scorm/view_file.php?id=181395")</f>
        <v>https://hocmai.vn/mod/scorm/view_file.php?id=181395</v>
      </c>
      <c r="I1048541" s="42" t="str">
        <f aca="false">IFERROR(__xludf.dummyfunction("""COMPUTED_VALUE"""),"https://hocmai.vn/mod/scorm/view_file.php?inpopup=true&amp;id=181016")</f>
        <v>https://hocmai.vn/mod/scorm/view_file.php?inpopup=true&amp;id=181016</v>
      </c>
      <c r="J1048541" s="42" t="str">
        <f aca="false">IFERROR(__xludf.dummyfunction("""COMPUTED_VALUE"""),"https://drive.google.com/drive/folders/1tNUM6fkL3q6YdXVZytryIawi_Yv1ts6J?usp=drive_link")</f>
        <v>https://drive.google.com/drive/folders/1tNUM6fkL3q6YdXVZytryIawi_Yv1ts6J?usp=drive_link</v>
      </c>
      <c r="K1048541" s="68" t="str">
        <f aca="false">IFERROR(__xludf.dummyfunction("""COMPUTED_VALUE"""),"Phuongdt")</f>
        <v>Phuongdt</v>
      </c>
      <c r="L1048541" s="68" t="str">
        <f aca="false">IFERROR(__xludf.dummyfunction("""COMPUTED_VALUE"""),"Phạm Quang Thành")</f>
        <v>Phạm Quang Thành</v>
      </c>
      <c r="M1048541" s="71"/>
      <c r="N1048541" s="77" t="str">
        <f aca="false">IFERROR(__xludf.dummyfunction("""COMPUTED_VALUE"""),"3121")</f>
        <v>3121</v>
      </c>
      <c r="O1048541" s="63" t="n">
        <f aca="false">IFERROR(__xludf.dummyfunction("""COMPUTED_VALUE"""),167319)</f>
        <v>167319</v>
      </c>
      <c r="P1048541" s="63"/>
      <c r="Q1048541" s="63"/>
      <c r="R1048541" s="41"/>
      <c r="S1048541" s="41"/>
      <c r="T1048541" s="63" t="n">
        <f aca="false">IFERROR(__xludf.dummyfunction("""COMPUTED_VALUE"""),23455)</f>
        <v>23455</v>
      </c>
      <c r="U1048541" s="63"/>
      <c r="V1048541" s="70" t="n">
        <f aca="false">IFERROR(__xludf.dummyfunction("""COMPUTED_VALUE"""),46202)</f>
        <v>46202</v>
      </c>
      <c r="W1048541" s="39" t="str">
        <f aca="false">IFERROR(__xludf.dummyfunction("""COMPUTED_VALUE"""),"Hoàn thành XB")</f>
        <v>Hoàn thành XB</v>
      </c>
      <c r="X1048541" s="41" t="str">
        <f aca="false">IFERROR(__xludf.dummyfunction("""COMPUTED_VALUE"""),"Phuongdt")</f>
        <v>Phuongdt</v>
      </c>
      <c r="Y1048541" s="44" t="str">
        <f aca="false">IFERROR(__xludf.dummyfunction("""COMPUTED_VALUE"""),"done")</f>
        <v>done</v>
      </c>
      <c r="Z1048541" s="57" t="str">
        <f aca="false">IFERROR(__xludf.dummyfunction("""COMPUTED_VALUE"""),"#N/A")</f>
        <v>#N/A</v>
      </c>
      <c r="AA1048541" s="57"/>
      <c r="AB1048541" s="41" t="n">
        <f aca="false">IFERROR(__xludf.dummyfunction("""COMPUTED_VALUE"""),6)</f>
        <v>6</v>
      </c>
      <c r="AC1048541" s="57" t="str">
        <f aca="false">IFERROR(__xludf.dummyfunction("""COMPUTED_VALUE"""),"gv.hongnda@hocmai.edu.vn ")</f>
        <v>gv.hongnda@hocmai.edu.vn </v>
      </c>
      <c r="AD1048541" s="46" t="str">
        <f aca="false">IFERROR(__xludf.dummyfunction("""COMPUTED_VALUE"""),"nguyenquockhanh8823@gmail.com")</f>
        <v>nguyenquockhanh8823@gmail.com</v>
      </c>
      <c r="AE1048541" s="46"/>
      <c r="AF1048541" s="74" t="b">
        <f aca="false">IFERROR(__xludf.dummyfunction("""COMPUTED_VALUE"""),FALSE())</f>
        <v>0</v>
      </c>
      <c r="AG1048541" s="46" t="str">
        <f aca="false">IFERROR(__xludf.dummyfunction("""COMPUTED_VALUE"""),"")</f>
        <v/>
      </c>
      <c r="AH1048541" s="35"/>
      <c r="AI1048541" s="35"/>
      <c r="AJ1048541" s="53" t="b">
        <f aca="false">IFERROR(__xludf.dummyfunction("""COMPUTED_VALUE"""),TRUE())</f>
        <v>1</v>
      </c>
      <c r="AK1048541" s="53" t="b">
        <f aca="false">IFERROR(__xludf.dummyfunction("""COMPUTED_VALUE"""),TRUE())</f>
        <v>1</v>
      </c>
      <c r="AL1048541" s="35"/>
      <c r="AM1048541" s="35"/>
      <c r="AN1048541" s="35"/>
      <c r="AO1048541" s="46"/>
    </row>
    <row r="1048542" customFormat="false" ht="15.75" hidden="false" customHeight="true" outlineLevel="0" collapsed="false">
      <c r="A1048542" s="37" t="str">
        <f aca="false">IFERROR(__xludf.dummyfunction("""COMPUTED_VALUE"""),"Sinh học")</f>
        <v>Sinh học</v>
      </c>
      <c r="B1048542" s="37" t="str">
        <f aca="false">IFERROR(__xludf.dummyfunction("""COMPUTED_VALUE"""),"TOV_TSA_S01")</f>
        <v>TOV_TSA_S01</v>
      </c>
      <c r="C1048542" s="59" t="str">
        <f aca="false">IFERROR(__xludf.dummyfunction("""COMPUTED_VALUE"""),"Thành phần hóa học và cấu trúc của tế bào")</f>
        <v>Thành phần hóa học và cấu trúc của tế bào</v>
      </c>
      <c r="D1048542" s="39" t="str">
        <f aca="false">IFERROR(__xludf.dummyfunction("""COMPUTED_VALUE"""),"Vũ Khắc Ngọc")</f>
        <v>Vũ Khắc Ngọc</v>
      </c>
      <c r="E1048542" s="40" t="n">
        <f aca="false">IFERROR(__xludf.dummyfunction("""COMPUTED_VALUE"""),46200)</f>
        <v>46200</v>
      </c>
      <c r="F1048542" s="41" t="n">
        <f aca="false">IFERROR(__xludf.dummyfunction("""COMPUTED_VALUE"""),7)</f>
        <v>7</v>
      </c>
      <c r="G1048542" s="37" t="str">
        <f aca="false">IFERROR(__xludf.dummyfunction("""COMPUTED_VALUE"""),"21:30-23:30")</f>
        <v>21:30-23:30</v>
      </c>
      <c r="H1048542" s="42" t="str">
        <f aca="false">IFERROR(__xludf.dummyfunction("""COMPUTED_VALUE"""),"https://hocmai.vn/mod/scorm/view_file.php?inpopup=true&amp;id=181087")</f>
        <v>https://hocmai.vn/mod/scorm/view_file.php?inpopup=true&amp;id=181087</v>
      </c>
      <c r="I1048542" s="42" t="str">
        <f aca="false">IFERROR(__xludf.dummyfunction("""COMPUTED_VALUE"""),"https://hocmai.vn/mod/scorm/view_file.php?inpopup=true&amp;id=181088")</f>
        <v>https://hocmai.vn/mod/scorm/view_file.php?inpopup=true&amp;id=181088</v>
      </c>
      <c r="J1048542" s="42" t="str">
        <f aca="false">IFERROR(__xludf.dummyfunction("""COMPUTED_VALUE"""),"https://drive.google.com/drive/folders/1zGeSvI82GLpI3FKLLfzXY3DgEiDOY4ar?usp=drive_link")</f>
        <v>https://drive.google.com/drive/folders/1zGeSvI82GLpI3FKLLfzXY3DgEiDOY4ar?usp=drive_link</v>
      </c>
      <c r="K1048542" s="68" t="str">
        <f aca="false">IFERROR(__xludf.dummyfunction("""COMPUTED_VALUE"""),"Phuongdt")</f>
        <v>Phuongdt</v>
      </c>
      <c r="L1048542" s="68" t="str">
        <f aca="false">IFERROR(__xludf.dummyfunction("""COMPUTED_VALUE"""),"Bùi Vĩnh Thọ")</f>
        <v>Bùi Vĩnh Thọ</v>
      </c>
      <c r="M1048542" s="71"/>
      <c r="N1048542" s="77" t="str">
        <f aca="false">IFERROR(__xludf.dummyfunction("""COMPUTED_VALUE"""),"3110")</f>
        <v>3110</v>
      </c>
      <c r="O1048542" s="63" t="n">
        <f aca="false">IFERROR(__xludf.dummyfunction("""COMPUTED_VALUE"""),167249)</f>
        <v>167249</v>
      </c>
      <c r="P1048542" s="63"/>
      <c r="Q1048542" s="63"/>
      <c r="R1048542" s="41"/>
      <c r="S1048542" s="41"/>
      <c r="T1048542" s="63" t="n">
        <f aca="false">IFERROR(__xludf.dummyfunction("""COMPUTED_VALUE"""),23456)</f>
        <v>23456</v>
      </c>
      <c r="U1048542" s="63" t="n">
        <f aca="false">IFERROR(__xludf.dummyfunction("""COMPUTED_VALUE"""),10611)</f>
        <v>10611</v>
      </c>
      <c r="V1048542" s="70" t="n">
        <f aca="false">IFERROR(__xludf.dummyfunction("""COMPUTED_VALUE"""),46203)</f>
        <v>46203</v>
      </c>
      <c r="W1048542" s="39" t="str">
        <f aca="false">IFERROR(__xludf.dummyfunction("""COMPUTED_VALUE"""),"Hoàn thành XB")</f>
        <v>Hoàn thành XB</v>
      </c>
      <c r="X1048542" s="41" t="str">
        <f aca="false">IFERROR(__xludf.dummyfunction("""COMPUTED_VALUE"""),"Phuongdt")</f>
        <v>Phuongdt</v>
      </c>
      <c r="Y1048542" s="44" t="str">
        <f aca="false">IFERROR(__xludf.dummyfunction("""COMPUTED_VALUE"""),"done")</f>
        <v>done</v>
      </c>
      <c r="Z1048542" s="57" t="str">
        <f aca="false">IFERROR(__xludf.dummyfunction("""COMPUTED_VALUE"""),"#N/A")</f>
        <v>#N/A</v>
      </c>
      <c r="AA1048542" s="57"/>
      <c r="AB1048542" s="41" t="n">
        <f aca="false">IFERROR(__xludf.dummyfunction("""COMPUTED_VALUE"""),6)</f>
        <v>6</v>
      </c>
      <c r="AC1048542" s="57" t="str">
        <f aca="false">IFERROR(__xludf.dummyfunction("""COMPUTED_VALUE"""),"gv.ngocvk@hocmai.edu.vn")</f>
        <v>gv.ngocvk@hocmai.edu.vn</v>
      </c>
      <c r="AD1048542" s="46" t="str">
        <f aca="false">IFERROR(__xludf.dummyfunction("""COMPUTED_VALUE"""),"vinhtho0704@gmail.com")</f>
        <v>vinhtho0704@gmail.com</v>
      </c>
      <c r="AE1048542" s="46"/>
      <c r="AF1048542" s="74" t="b">
        <f aca="false">IFERROR(__xludf.dummyfunction("""COMPUTED_VALUE"""),FALSE())</f>
        <v>0</v>
      </c>
      <c r="AG1048542" s="46" t="str">
        <f aca="false">IFERROR(__xludf.dummyfunction("""COMPUTED_VALUE"""),"")</f>
        <v/>
      </c>
      <c r="AH1048542" s="35"/>
      <c r="AI1048542" s="53" t="b">
        <f aca="false">IFERROR(__xludf.dummyfunction("""COMPUTED_VALUE"""),TRUE())</f>
        <v>1</v>
      </c>
      <c r="AJ1048542" s="35"/>
      <c r="AK1048542" s="35"/>
      <c r="AL1048542" s="35"/>
      <c r="AM1048542" s="35"/>
      <c r="AN1048542" s="35"/>
      <c r="AO1048542" s="46"/>
    </row>
    <row r="1048543" customFormat="false" ht="15.75" hidden="false" customHeight="true" outlineLevel="0" collapsed="false">
      <c r="A1048543" s="37" t="str">
        <f aca="false">IFERROR(__xludf.dummyfunction("""COMPUTED_VALUE"""),"Tiếng Anh")</f>
        <v>Tiếng Anh</v>
      </c>
      <c r="B1048543" s="37" t="str">
        <f aca="false">IFERROR(__xludf.dummyfunction("""COMPUTED_VALUE"""),"TOS_V-ACT_TA02")</f>
        <v>TOS_V-ACT_TA02</v>
      </c>
      <c r="C1048543" s="59" t="str">
        <f aca="false">IFERROR(__xludf.dummyfunction("""COMPUTED_VALUE"""),"Tổng ôn ngữ pháp: Động từ")</f>
        <v>Tổng ôn ngữ pháp: Động từ</v>
      </c>
      <c r="D1048543" s="39" t="str">
        <f aca="false">IFERROR(__xludf.dummyfunction("""COMPUTED_VALUE"""),"Nguyễn Phương Linh")</f>
        <v>Nguyễn Phương Linh</v>
      </c>
      <c r="E1048543" s="40" t="n">
        <f aca="false">IFERROR(__xludf.dummyfunction("""COMPUTED_VALUE"""),46200)</f>
        <v>46200</v>
      </c>
      <c r="F1048543" s="41" t="n">
        <f aca="false">IFERROR(__xludf.dummyfunction("""COMPUTED_VALUE"""),7)</f>
        <v>7</v>
      </c>
      <c r="G1048543" s="37" t="str">
        <f aca="false">IFERROR(__xludf.dummyfunction("""COMPUTED_VALUE"""),"18:00-19:30")</f>
        <v>18:00-19:30</v>
      </c>
      <c r="H1048543" s="42" t="str">
        <f aca="false">IFERROR(__xludf.dummyfunction("""COMPUTED_VALUE"""),"https://hocmai.vn/mod/scorm/view_file.php?inpopup=true&amp;id=181492")</f>
        <v>https://hocmai.vn/mod/scorm/view_file.php?inpopup=true&amp;id=181492</v>
      </c>
      <c r="I1048543" s="42" t="str">
        <f aca="false">IFERROR(__xludf.dummyfunction("""COMPUTED_VALUE"""),"https://hocmai.vn/mod/scorm/view_file.php?inpopup=true&amp;id=181493")</f>
        <v>https://hocmai.vn/mod/scorm/view_file.php?inpopup=true&amp;id=181493</v>
      </c>
      <c r="J1048543" s="42" t="str">
        <f aca="false">IFERROR(__xludf.dummyfunction("""COMPUTED_VALUE"""),"https://drive.google.com/file/d/14P5nOSktJSKKdWW0YREcCn-FhA3RjKfi/view?usp=drive_link")</f>
        <v>https://drive.google.com/file/d/14P5nOSktJSKKdWW0YREcCn-FhA3RjKfi/view?usp=drive_link</v>
      </c>
      <c r="K1048543" s="68" t="str">
        <f aca="false">IFERROR(__xludf.dummyfunction("""COMPUTED_VALUE"""),"Dienlt")</f>
        <v>Dienlt</v>
      </c>
      <c r="L1048543" s="68" t="str">
        <f aca="false">IFERROR(__xludf.dummyfunction("""COMPUTED_VALUE"""),"Lê Quốc Việt")</f>
        <v>Lê Quốc Việt</v>
      </c>
      <c r="M1048543" s="71"/>
      <c r="N1048543" s="77" t="str">
        <f aca="false">IFERROR(__xludf.dummyfunction("""COMPUTED_VALUE"""),"3339")</f>
        <v>3339</v>
      </c>
      <c r="O1048543" s="63" t="n">
        <f aca="false">IFERROR(__xludf.dummyfunction("""COMPUTED_VALUE"""),167630)</f>
        <v>167630</v>
      </c>
      <c r="P1048543" s="63"/>
      <c r="Q1048543" s="63"/>
      <c r="R1048543" s="41"/>
      <c r="S1048543" s="41"/>
      <c r="T1048543" s="63"/>
      <c r="U1048543" s="63"/>
      <c r="V1048543" s="70" t="n">
        <f aca="false">IFERROR(__xludf.dummyfunction("""COMPUTED_VALUE"""),46203)</f>
        <v>46203</v>
      </c>
      <c r="W1048543" s="39" t="str">
        <f aca="false">IFERROR(__xludf.dummyfunction("""COMPUTED_VALUE"""),"Hoàn thành XB")</f>
        <v>Hoàn thành XB</v>
      </c>
      <c r="X1048543" s="41" t="str">
        <f aca="false">IFERROR(__xludf.dummyfunction("""COMPUTED_VALUE"""),"Dienlt")</f>
        <v>Dienlt</v>
      </c>
      <c r="Y1048543" s="44" t="str">
        <f aca="false">IFERROR(__xludf.dummyfunction("""COMPUTED_VALUE"""),"done")</f>
        <v>done</v>
      </c>
      <c r="Z1048543" s="57" t="str">
        <f aca="false">IFERROR(__xludf.dummyfunction("""COMPUTED_VALUE"""),"#N/A")</f>
        <v>#N/A</v>
      </c>
      <c r="AA1048543" s="57"/>
      <c r="AB1048543" s="41" t="n">
        <f aca="false">IFERROR(__xludf.dummyfunction("""COMPUTED_VALUE"""),6)</f>
        <v>6</v>
      </c>
      <c r="AC1048543" s="57" t="str">
        <f aca="false">IFERROR(__xludf.dummyfunction("""COMPUTED_VALUE"""),"gv.linhnp@hocmai.edu.vn		")</f>
        <v>gv.linhnp@hocmai.edu.vn		</v>
      </c>
      <c r="AD1048543" s="46" t="str">
        <f aca="false">IFERROR(__xludf.dummyfunction("""COMPUTED_VALUE"""),"Ralph02091@gmail.com")</f>
        <v>Ralph02091@gmail.com</v>
      </c>
      <c r="AE1048543" s="46"/>
      <c r="AF1048543" s="47" t="str">
        <f aca="false">IFERROR(__xludf.dummyfunction("""COMPUTED_VALUE"""),"lophoctienganh46200")</f>
        <v>lophoctienganh46200</v>
      </c>
      <c r="AG1048543" s="46" t="str">
        <f aca="false">IFERROR(__xludf.dummyfunction("""COMPUTED_VALUE"""),"")</f>
        <v/>
      </c>
      <c r="AH1048543" s="35"/>
      <c r="AI1048543" s="35"/>
      <c r="AJ1048543" s="35"/>
      <c r="AK1048543" s="35"/>
      <c r="AL1048543" s="35"/>
      <c r="AM1048543" s="35"/>
      <c r="AN1048543" s="53" t="b">
        <f aca="false">IFERROR(__xludf.dummyfunction("""COMPUTED_VALUE"""),TRUE())</f>
        <v>1</v>
      </c>
      <c r="AO1048543" s="46"/>
    </row>
    <row r="1048544" customFormat="false" ht="15.75" hidden="false" customHeight="true" outlineLevel="0" collapsed="false">
      <c r="A1048544" s="37" t="str">
        <f aca="false">IFERROR(__xludf.dummyfunction("""COMPUTED_VALUE"""),"Toán")</f>
        <v>Toán</v>
      </c>
      <c r="B1048544" s="37" t="str">
        <f aca="false">IFERROR(__xludf.dummyfunction("""COMPUTED_VALUE"""),"NT_N_11")</f>
        <v>NT_N_11</v>
      </c>
      <c r="C1048544" s="59" t="str">
        <f aca="false">IFERROR(__xludf.dummyfunction("""COMPUTED_VALUE"""),"Tiệm cận của đồ thị hàm số (P1)")</f>
        <v>Tiệm cận của đồ thị hàm số (P1)</v>
      </c>
      <c r="D1048544" s="39" t="str">
        <f aca="false">IFERROR(__xludf.dummyfunction("""COMPUTED_VALUE"""),"Nguyễn Hoài Nam")</f>
        <v>Nguyễn Hoài Nam</v>
      </c>
      <c r="E1048544" s="40" t="n">
        <f aca="false">IFERROR(__xludf.dummyfunction("""COMPUTED_VALUE"""),46201)</f>
        <v>46201</v>
      </c>
      <c r="F1048544" s="41" t="str">
        <f aca="false">IFERROR(__xludf.dummyfunction("""COMPUTED_VALUE"""),"CN")</f>
        <v>CN</v>
      </c>
      <c r="G1048544" s="37" t="str">
        <f aca="false">IFERROR(__xludf.dummyfunction("""COMPUTED_VALUE"""),"21:00-22:30")</f>
        <v>21:00-22:30</v>
      </c>
      <c r="H1048544" s="42" t="str">
        <f aca="false">IFERROR(__xludf.dummyfunction("""COMPUTED_VALUE"""),"https://hocmai.vn/mod/scorm/view_file.php?inpopup=true&amp;id=181516")</f>
        <v>https://hocmai.vn/mod/scorm/view_file.php?inpopup=true&amp;id=181516</v>
      </c>
      <c r="I1048544" s="42" t="str">
        <f aca="false">IFERROR(__xludf.dummyfunction("""COMPUTED_VALUE"""),"https://hocmai.vn/mod/scorm/view_file.php?inpopup=true&amp;id=181520")</f>
        <v>https://hocmai.vn/mod/scorm/view_file.php?inpopup=true&amp;id=181520</v>
      </c>
      <c r="J1048544" s="42" t="str">
        <f aca="false">IFERROR(__xludf.dummyfunction("""COMPUTED_VALUE"""),"https://drive.google.com/drive/folders/16XszIDTs79FfM3eC9t4ZPF8ACAu8VD01?usp=sharing")</f>
        <v>https://drive.google.com/drive/folders/16XszIDTs79FfM3eC9t4ZPF8ACAu8VD01?usp=sharing</v>
      </c>
      <c r="K1048544" s="68" t="str">
        <f aca="false">IFERROR(__xludf.dummyfunction("""COMPUTED_VALUE"""),"lent")</f>
        <v>lent</v>
      </c>
      <c r="L1048544" s="68" t="str">
        <f aca="false">IFERROR(__xludf.dummyfunction("""COMPUTED_VALUE"""),"Tưởng Thị Huyền Trang")</f>
        <v>Tưởng Thị Huyền Trang</v>
      </c>
      <c r="M1048544" s="69" t="str">
        <f aca="false">IFERROR(__xludf.dummyfunction("""COMPUTED_VALUE"""),"https://hocmai.sharepoint.com/Education_Development/Lists/San_xuat_video/DispForm.aspx?ID=12198")</f>
        <v>https://hocmai.sharepoint.com/Education_Development/Lists/San_xuat_video/DispForm.aspx?ID=12198</v>
      </c>
      <c r="N1048544" s="78" t="n">
        <f aca="false">IFERROR(__xludf.dummyfunction("""COMPUTED_VALUE"""),3313)</f>
        <v>3313</v>
      </c>
      <c r="O1048544" s="63" t="n">
        <f aca="false">IFERROR(__xludf.dummyfunction("""COMPUTED_VALUE"""),166636)</f>
        <v>166636</v>
      </c>
      <c r="P1048544" s="63"/>
      <c r="Q1048544" s="63" t="n">
        <f aca="false">IFERROR(__xludf.dummyfunction("""COMPUTED_VALUE"""),8018)</f>
        <v>8018</v>
      </c>
      <c r="R1048544" s="41"/>
      <c r="S1048544" s="41"/>
      <c r="T1048544" s="63" t="n">
        <f aca="false">IFERROR(__xludf.dummyfunction("""COMPUTED_VALUE"""),8019)</f>
        <v>8019</v>
      </c>
      <c r="U1048544" s="63" t="n">
        <f aca="false">IFERROR(__xludf.dummyfunction("""COMPUTED_VALUE"""),23713)</f>
        <v>23713</v>
      </c>
      <c r="V1048544" s="70" t="n">
        <f aca="false">IFERROR(__xludf.dummyfunction("""COMPUTED_VALUE"""),46203)</f>
        <v>46203</v>
      </c>
      <c r="W1048544" s="39" t="str">
        <f aca="false">IFERROR(__xludf.dummyfunction("""COMPUTED_VALUE"""),"Hoàn thành XB")</f>
        <v>Hoàn thành XB</v>
      </c>
      <c r="X1048544" s="41" t="str">
        <f aca="false">IFERROR(__xludf.dummyfunction("""COMPUTED_VALUE"""),"Huent7")</f>
        <v>Huent7</v>
      </c>
      <c r="Y1048544" s="44"/>
      <c r="Z1048544" s="57"/>
      <c r="AA1048544" s="57"/>
      <c r="AB1048544" s="41" t="n">
        <f aca="false">IFERROR(__xludf.dummyfunction("""COMPUTED_VALUE"""),6)</f>
        <v>6</v>
      </c>
      <c r="AC1048544" s="57"/>
      <c r="AD1048544" s="46"/>
      <c r="AE1048544" s="46"/>
      <c r="AF1048544" s="47" t="str">
        <f aca="false">IFERROR(__xludf.dummyfunction("""COMPUTED_VALUE"""),"lophoctoan-946201")</f>
        <v>lophoctoan-946201</v>
      </c>
      <c r="AG1048544" s="46" t="str">
        <f aca="false">IFERROR(__xludf.dummyfunction("""COMPUTED_VALUE"""),"")</f>
        <v/>
      </c>
      <c r="AH1048544" s="53" t="b">
        <f aca="false">IFERROR(__xludf.dummyfunction("""COMPUTED_VALUE"""),TRUE())</f>
        <v>1</v>
      </c>
      <c r="AI1048544" s="35"/>
      <c r="AJ1048544" s="35"/>
      <c r="AK1048544" s="35"/>
      <c r="AL1048544" s="35"/>
      <c r="AM1048544" s="35"/>
      <c r="AN1048544" s="35"/>
      <c r="AO1048544" s="46"/>
    </row>
    <row r="1048545" customFormat="false" ht="15.75" hidden="false" customHeight="true" outlineLevel="0" collapsed="false">
      <c r="A1048545" s="37" t="str">
        <f aca="false">IFERROR(__xludf.dummyfunction("""COMPUTED_VALUE"""),"Toán")</f>
        <v>Toán</v>
      </c>
      <c r="B1048545" s="37" t="str">
        <f aca="false">IFERROR(__xludf.dummyfunction("""COMPUTED_VALUE"""),"NT_T_27")</f>
        <v>NT_T_27</v>
      </c>
      <c r="C1048545" s="59" t="str">
        <f aca="false">IFERROR(__xludf.dummyfunction("""COMPUTED_VALUE"""),"Tích phân và phương pháp tính")</f>
        <v>Tích phân và phương pháp tính</v>
      </c>
      <c r="D1048545" s="39" t="str">
        <f aca="false">IFERROR(__xludf.dummyfunction("""COMPUTED_VALUE"""),"Nguyễn Thanh Tùng")</f>
        <v>Nguyễn Thanh Tùng</v>
      </c>
      <c r="E1048545" s="40" t="n">
        <f aca="false">IFERROR(__xludf.dummyfunction("""COMPUTED_VALUE"""),46201)</f>
        <v>46201</v>
      </c>
      <c r="F1048545" s="41" t="str">
        <f aca="false">IFERROR(__xludf.dummyfunction("""COMPUTED_VALUE"""),"CN")</f>
        <v>CN</v>
      </c>
      <c r="G1048545" s="37" t="str">
        <f aca="false">IFERROR(__xludf.dummyfunction("""COMPUTED_VALUE"""),"18:00-20:00")</f>
        <v>18:00-20:00</v>
      </c>
      <c r="H1048545" s="42" t="str">
        <f aca="false">IFERROR(__xludf.dummyfunction("""COMPUTED_VALUE"""),"https://hocmai.vn/mod/scorm/view_file.php?id=181573")</f>
        <v>https://hocmai.vn/mod/scorm/view_file.php?id=181573</v>
      </c>
      <c r="I1048545" s="42" t="str">
        <f aca="false">IFERROR(__xludf.dummyfunction("""COMPUTED_VALUE"""),"https://hocmai.vn/mod/scorm/view_file.php?id=181641")</f>
        <v>https://hocmai.vn/mod/scorm/view_file.php?id=181641</v>
      </c>
      <c r="J1048545" s="42" t="str">
        <f aca="false">IFERROR(__xludf.dummyfunction("""COMPUTED_VALUE"""),"https://drive.google.com/drive/folders/1JD_Wqht1ev3CUcyCmKEMEbFyaZ9SUFsI?usp=drive_link")</f>
        <v>https://drive.google.com/drive/folders/1JD_Wqht1ev3CUcyCmKEMEbFyaZ9SUFsI?usp=drive_link</v>
      </c>
      <c r="K1048545" s="68" t="str">
        <f aca="false">IFERROR(__xludf.dummyfunction("""COMPUTED_VALUE"""),"Chientd2")</f>
        <v>Chientd2</v>
      </c>
      <c r="L1048545" s="68" t="str">
        <f aca="false">IFERROR(__xludf.dummyfunction("""COMPUTED_VALUE"""),"Tưởng Thị Huyền Trang")</f>
        <v>Tưởng Thị Huyền Trang</v>
      </c>
      <c r="M1048545" s="69" t="str">
        <f aca="false">IFERROR(__xludf.dummyfunction("""COMPUTED_VALUE"""),"https://hocmai.sharepoint.com/Education_Development/Lists/San_xuat_video/DispForm.aspx?ID=12166")</f>
        <v>https://hocmai.sharepoint.com/Education_Development/Lists/San_xuat_video/DispForm.aspx?ID=12166</v>
      </c>
      <c r="N1048545" s="63" t="n">
        <f aca="false">IFERROR(__xludf.dummyfunction("""COMPUTED_VALUE"""),3312)</f>
        <v>3312</v>
      </c>
      <c r="O1048545" s="63" t="n">
        <f aca="false">IFERROR(__xludf.dummyfunction("""COMPUTED_VALUE"""),166560)</f>
        <v>166560</v>
      </c>
      <c r="P1048545" s="63"/>
      <c r="Q1048545" s="63" t="n">
        <f aca="false">IFERROR(__xludf.dummyfunction("""COMPUTED_VALUE"""),7936)</f>
        <v>7936</v>
      </c>
      <c r="R1048545" s="41"/>
      <c r="S1048545" s="41"/>
      <c r="T1048545" s="63" t="n">
        <f aca="false">IFERROR(__xludf.dummyfunction("""COMPUTED_VALUE"""),7937)</f>
        <v>7937</v>
      </c>
      <c r="U1048545" s="63" t="n">
        <f aca="false">IFERROR(__xludf.dummyfunction("""COMPUTED_VALUE"""),23738)</f>
        <v>23738</v>
      </c>
      <c r="V1048545" s="70" t="n">
        <f aca="false">IFERROR(__xludf.dummyfunction("""COMPUTED_VALUE"""),46204)</f>
        <v>46204</v>
      </c>
      <c r="W1048545" s="39" t="str">
        <f aca="false">IFERROR(__xludf.dummyfunction("""COMPUTED_VALUE"""),"Hoàn thành XB")</f>
        <v>Hoàn thành XB</v>
      </c>
      <c r="X1048545" s="41" t="str">
        <f aca="false">IFERROR(__xludf.dummyfunction("""COMPUTED_VALUE"""),"Huent7")</f>
        <v>Huent7</v>
      </c>
      <c r="Y1048545" s="44"/>
      <c r="Z1048545" s="57"/>
      <c r="AA1048545" s="57"/>
      <c r="AB1048545" s="41" t="n">
        <f aca="false">IFERROR(__xludf.dummyfunction("""COMPUTED_VALUE"""),6)</f>
        <v>6</v>
      </c>
      <c r="AC1048545" s="57"/>
      <c r="AD1048545" s="46"/>
      <c r="AE1048545" s="46"/>
      <c r="AF1048545" s="47" t="str">
        <f aca="false">IFERROR(__xludf.dummyfunction("""COMPUTED_VALUE"""),"lophoctoan-946201")</f>
        <v>lophoctoan-946201</v>
      </c>
      <c r="AG1048545" s="46" t="str">
        <f aca="false">IFERROR(__xludf.dummyfunction("""COMPUTED_VALUE"""),"")</f>
        <v/>
      </c>
      <c r="AH1048545" s="53" t="b">
        <f aca="false">IFERROR(__xludf.dummyfunction("""COMPUTED_VALUE"""),TRUE())</f>
        <v>1</v>
      </c>
      <c r="AI1048545" s="35"/>
      <c r="AJ1048545" s="35"/>
      <c r="AK1048545" s="35"/>
      <c r="AL1048545" s="35"/>
      <c r="AM1048545" s="35"/>
      <c r="AN1048545" s="35"/>
      <c r="AO1048545" s="46"/>
    </row>
    <row r="1048546" customFormat="false" ht="15.75" hidden="false" customHeight="true" outlineLevel="0" collapsed="false">
      <c r="A1048546" s="37" t="str">
        <f aca="false">IFERROR(__xludf.dummyfunction("""COMPUTED_VALUE"""),"Đọc hiểu")</f>
        <v>Đọc hiểu</v>
      </c>
      <c r="B1048546" s="37" t="str">
        <f aca="false">IFERROR(__xludf.dummyfunction("""COMPUTED_VALUE"""),"TOV_TSA_DH03")</f>
        <v>TOV_TSA_DH03</v>
      </c>
      <c r="C1048546" s="59" t="str">
        <f aca="false">IFERROR(__xludf.dummyfunction("""COMPUTED_VALUE"""),"Từ ngữ và câu văn trong mạch nghĩa của văn bản")</f>
        <v>Từ ngữ và câu văn trong mạch nghĩa của văn bản</v>
      </c>
      <c r="D1048546" s="39" t="str">
        <f aca="false">IFERROR(__xludf.dummyfunction("""COMPUTED_VALUE"""),"Vũ Khắc Ngọc")</f>
        <v>Vũ Khắc Ngọc</v>
      </c>
      <c r="E1048546" s="40" t="n">
        <f aca="false">IFERROR(__xludf.dummyfunction("""COMPUTED_VALUE"""),46202)</f>
        <v>46202</v>
      </c>
      <c r="F1048546" s="41" t="n">
        <f aca="false">IFERROR(__xludf.dummyfunction("""COMPUTED_VALUE"""),2)</f>
        <v>2</v>
      </c>
      <c r="G1048546" s="37" t="str">
        <f aca="false">IFERROR(__xludf.dummyfunction("""COMPUTED_VALUE"""),"21:30-23:30")</f>
        <v>21:30-23:30</v>
      </c>
      <c r="H1048546" s="42" t="str">
        <f aca="false">IFERROR(__xludf.dummyfunction("""COMPUTED_VALUE"""),"https://hocmai.vn/mod/scorm/view_file.php?inpopup=true&amp;id=181305")</f>
        <v>https://hocmai.vn/mod/scorm/view_file.php?inpopup=true&amp;id=181305</v>
      </c>
      <c r="I1048546" s="42" t="str">
        <f aca="false">IFERROR(__xludf.dummyfunction("""COMPUTED_VALUE"""),"https://hocmai.vn/mod/scorm/view_file.php?inpopup=true&amp;id=181306")</f>
        <v>https://hocmai.vn/mod/scorm/view_file.php?inpopup=true&amp;id=181306</v>
      </c>
      <c r="J1048546" s="42" t="str">
        <f aca="false">IFERROR(__xludf.dummyfunction("""COMPUTED_VALUE"""),"https://drive.google.com/file/d/11f9UwVOxIhuR98wV-Mdg0vTMk_byUXZ5/view?usp=drive_link")</f>
        <v>https://drive.google.com/file/d/11f9UwVOxIhuR98wV-Mdg0vTMk_byUXZ5/view?usp=drive_link</v>
      </c>
      <c r="K1048546" s="68" t="str">
        <f aca="false">IFERROR(__xludf.dummyfunction("""COMPUTED_VALUE"""),"Hangvt3")</f>
        <v>Hangvt3</v>
      </c>
      <c r="L1048546" s="68" t="str">
        <f aca="false">IFERROR(__xludf.dummyfunction("""COMPUTED_VALUE"""),"Phan Đức Kiên")</f>
        <v>Phan Đức Kiên</v>
      </c>
      <c r="M1048546" s="71"/>
      <c r="N1048546" s="77" t="str">
        <f aca="false">IFERROR(__xludf.dummyfunction("""COMPUTED_VALUE"""),"3109")</f>
        <v>3109</v>
      </c>
      <c r="O1048546" s="63" t="n">
        <f aca="false">IFERROR(__xludf.dummyfunction("""COMPUTED_VALUE"""),167226)</f>
        <v>167226</v>
      </c>
      <c r="P1048546" s="63"/>
      <c r="Q1048546" s="63"/>
      <c r="R1048546" s="41"/>
      <c r="S1048546" s="41"/>
      <c r="T1048546" s="63"/>
      <c r="U1048546" s="63"/>
      <c r="V1048546" s="70" t="n">
        <f aca="false">IFERROR(__xludf.dummyfunction("""COMPUTED_VALUE"""),46205)</f>
        <v>46205</v>
      </c>
      <c r="W1048546" s="39" t="str">
        <f aca="false">IFERROR(__xludf.dummyfunction("""COMPUTED_VALUE"""),"Hoàn thành XB")</f>
        <v>Hoàn thành XB</v>
      </c>
      <c r="X1048546" s="41" t="str">
        <f aca="false">IFERROR(__xludf.dummyfunction("""COMPUTED_VALUE"""),"Hoantt")</f>
        <v>Hoantt</v>
      </c>
      <c r="Y1048546" s="44" t="str">
        <f aca="false">IFERROR(__xludf.dummyfunction("""COMPUTED_VALUE"""),"done")</f>
        <v>done</v>
      </c>
      <c r="Z1048546" s="57" t="str">
        <f aca="false">IFERROR(__xludf.dummyfunction("""COMPUTED_VALUE"""),"#N/A")</f>
        <v>#N/A</v>
      </c>
      <c r="AA1048546" s="57"/>
      <c r="AB1048546" s="41" t="n">
        <f aca="false">IFERROR(__xludf.dummyfunction("""COMPUTED_VALUE"""),6)</f>
        <v>6</v>
      </c>
      <c r="AC1048546" s="57" t="str">
        <f aca="false">IFERROR(__xludf.dummyfunction("""COMPUTED_VALUE"""),"gv.ngocvk@hocmai.edu.vn")</f>
        <v>gv.ngocvk@hocmai.edu.vn</v>
      </c>
      <c r="AD1048546" s="46" t="str">
        <f aca="false">IFERROR(__xludf.dummyfunction("""COMPUTED_VALUE"""),"duckien010607@gmail.com")</f>
        <v>duckien010607@gmail.com</v>
      </c>
      <c r="AE1048546" s="46"/>
      <c r="AF1048546" s="47" t="str">
        <f aca="false">IFERROR(__xludf.dummyfunction("""COMPUTED_VALUE"""),"lophoctoan-946202")</f>
        <v>lophoctoan-946202</v>
      </c>
      <c r="AG1048546" s="46" t="str">
        <f aca="false">IFERROR(__xludf.dummyfunction("""COMPUTED_VALUE"""),"")</f>
        <v/>
      </c>
      <c r="AH1048546" s="35"/>
      <c r="AI1048546" s="53" t="b">
        <f aca="false">IFERROR(__xludf.dummyfunction("""COMPUTED_VALUE"""),TRUE())</f>
        <v>1</v>
      </c>
      <c r="AJ1048546" s="35"/>
      <c r="AK1048546" s="35"/>
      <c r="AL1048546" s="35"/>
      <c r="AM1048546" s="35"/>
      <c r="AN1048546" s="35"/>
      <c r="AO1048546" s="46"/>
    </row>
    <row r="1048547" customFormat="false" ht="15.75" hidden="false" customHeight="true" outlineLevel="0" collapsed="false">
      <c r="A1048547" s="37" t="str">
        <f aca="false">IFERROR(__xludf.dummyfunction("""COMPUTED_VALUE"""),"Tiếng Anh")</f>
        <v>Tiếng Anh</v>
      </c>
      <c r="B1048547" s="37" t="str">
        <f aca="false">IFERROR(__xludf.dummyfunction("""COMPUTED_VALUE"""),"TOV_HV_TA03")</f>
        <v>TOV_HV_TA03</v>
      </c>
      <c r="C1048547" s="59" t="str">
        <f aca="false">IFERROR(__xludf.dummyfunction("""COMPUTED_VALUE"""),"Mạo từ - Lượng từ - Liên từ")</f>
        <v>Mạo từ - Lượng từ - Liên từ</v>
      </c>
      <c r="D1048547" s="39" t="str">
        <f aca="false">IFERROR(__xludf.dummyfunction("""COMPUTED_VALUE"""),"Nguyễn Thanh Hương")</f>
        <v>Nguyễn Thanh Hương</v>
      </c>
      <c r="E1048547" s="40" t="n">
        <f aca="false">IFERROR(__xludf.dummyfunction("""COMPUTED_VALUE"""),46202)</f>
        <v>46202</v>
      </c>
      <c r="F1048547" s="41" t="n">
        <f aca="false">IFERROR(__xludf.dummyfunction("""COMPUTED_VALUE"""),2)</f>
        <v>2</v>
      </c>
      <c r="G1048547" s="37" t="str">
        <f aca="false">IFERROR(__xludf.dummyfunction("""COMPUTED_VALUE"""),"20:00-22:00")</f>
        <v>20:00-22:00</v>
      </c>
      <c r="H1048547" s="37"/>
      <c r="I1048547" s="37"/>
      <c r="J1048547" s="42" t="str">
        <f aca="false">IFERROR(__xludf.dummyfunction("""COMPUTED_VALUE"""),"https://drive.google.com/file/d/1GlIDqfdMRpEVmlDQil3n5aIqLjNgX9dH/view?usp=drive_link")</f>
        <v>https://drive.google.com/file/d/1GlIDqfdMRpEVmlDQil3n5aIqLjNgX9dH/view?usp=drive_link</v>
      </c>
      <c r="K1048547" s="68" t="str">
        <f aca="false">IFERROR(__xludf.dummyfunction("""COMPUTED_VALUE"""),"Dienlt")</f>
        <v>Dienlt</v>
      </c>
      <c r="L1048547" s="68" t="str">
        <f aca="false">IFERROR(__xludf.dummyfunction("""COMPUTED_VALUE"""),"Nguyễn Lê Thụy Quyên ")</f>
        <v>Nguyễn Lê Thụy Quyên </v>
      </c>
      <c r="M1048547" s="71"/>
      <c r="N1048547" s="77" t="str">
        <f aca="false">IFERROR(__xludf.dummyfunction("""COMPUTED_VALUE"""),"3140,3165,3339")</f>
        <v>3140,3165,3339</v>
      </c>
      <c r="O1048547" s="73" t="str">
        <f aca="false">IFERROR(__xludf.dummyfunction("""COMPUTED_VALUE"""),"167539,167607,167631")</f>
        <v>167539,167607,167631</v>
      </c>
      <c r="P1048547" s="63" t="str">
        <f aca="false">IFERROR(__xludf.dummyfunction("""COMPUTED_VALUE"""),"9030,9038,9047,9119")</f>
        <v>9030,9038,9047,9119</v>
      </c>
      <c r="Q1048547" s="63"/>
      <c r="R1048547" s="41"/>
      <c r="S1048547" s="41"/>
      <c r="T1048547" s="63"/>
      <c r="U1048547" s="63"/>
      <c r="V1048547" s="70" t="n">
        <f aca="false">IFERROR(__xludf.dummyfunction("""COMPUTED_VALUE"""),46205)</f>
        <v>46205</v>
      </c>
      <c r="W1048547" s="39" t="str">
        <f aca="false">IFERROR(__xludf.dummyfunction("""COMPUTED_VALUE"""),"Hoàn thành XB")</f>
        <v>Hoàn thành XB</v>
      </c>
      <c r="X1048547" s="41" t="str">
        <f aca="false">IFERROR(__xludf.dummyfunction("""COMPUTED_VALUE"""),"Dienlt")</f>
        <v>Dienlt</v>
      </c>
      <c r="Y1048547" s="44" t="str">
        <f aca="false">IFERROR(__xludf.dummyfunction("""COMPUTED_VALUE"""),"done")</f>
        <v>done</v>
      </c>
      <c r="Z1048547" s="57" t="str">
        <f aca="false">IFERROR(__xludf.dummyfunction("""COMPUTED_VALUE"""),"#N/A")</f>
        <v>#N/A</v>
      </c>
      <c r="AA1048547" s="57"/>
      <c r="AB1048547" s="41" t="n">
        <f aca="false">IFERROR(__xludf.dummyfunction("""COMPUTED_VALUE"""),6)</f>
        <v>6</v>
      </c>
      <c r="AC1048547" s="57" t="str">
        <f aca="false">IFERROR(__xludf.dummyfunction("""COMPUTED_VALUE"""),"gv.huongnt@hocmai.edu.vn ")</f>
        <v>gv.huongnt@hocmai.edu.vn </v>
      </c>
      <c r="AD1048547" s="46" t="str">
        <f aca="false">IFERROR(__xludf.dummyfunction("""COMPUTED_VALUE"""),"nguyenlethuyquyencp@gmail.com")</f>
        <v>nguyenlethuyquyencp@gmail.com</v>
      </c>
      <c r="AE1048547" s="46"/>
      <c r="AF1048547" s="47" t="str">
        <f aca="false">IFERROR(__xludf.dummyfunction("""COMPUTED_VALUE"""),"lophoctienganh46202")</f>
        <v>lophoctienganh46202</v>
      </c>
      <c r="AG1048547" s="46" t="str">
        <f aca="false">IFERROR(__xludf.dummyfunction("""COMPUTED_VALUE"""),"")</f>
        <v/>
      </c>
      <c r="AH1048547" s="35"/>
      <c r="AI1048547" s="35"/>
      <c r="AJ1048547" s="53" t="b">
        <f aca="false">IFERROR(__xludf.dummyfunction("""COMPUTED_VALUE"""),TRUE())</f>
        <v>1</v>
      </c>
      <c r="AK1048547" s="53" t="b">
        <f aca="false">IFERROR(__xludf.dummyfunction("""COMPUTED_VALUE"""),TRUE())</f>
        <v>1</v>
      </c>
      <c r="AL1048547" s="35"/>
      <c r="AM1048547" s="53" t="b">
        <f aca="false">IFERROR(__xludf.dummyfunction("""COMPUTED_VALUE"""),TRUE())</f>
        <v>1</v>
      </c>
      <c r="AN1048547" s="53" t="b">
        <f aca="false">IFERROR(__xludf.dummyfunction("""COMPUTED_VALUE"""),TRUE())</f>
        <v>1</v>
      </c>
      <c r="AO1048547" s="46"/>
    </row>
    <row r="1048548" customFormat="false" ht="15.75" hidden="false" customHeight="true" outlineLevel="0" collapsed="false">
      <c r="A1048548" s="37" t="str">
        <f aca="false">IFERROR(__xludf.dummyfunction("""COMPUTED_VALUE"""),"Hóa học")</f>
        <v>Hóa học</v>
      </c>
      <c r="B1048548" s="37" t="str">
        <f aca="false">IFERROR(__xludf.dummyfunction("""COMPUTED_VALUE"""),"TOV_HSA_HH03")</f>
        <v>TOV_HSA_HH03</v>
      </c>
      <c r="C1048548" s="59" t="str">
        <f aca="false">IFERROR(__xludf.dummyfunction("""COMPUTED_VALUE"""),"Liên kết hóa học")</f>
        <v>Liên kết hóa học</v>
      </c>
      <c r="D1048548" s="39" t="str">
        <f aca="false">IFERROR(__xludf.dummyfunction("""COMPUTED_VALUE"""),"Chu Hải Long")</f>
        <v>Chu Hải Long</v>
      </c>
      <c r="E1048548" s="40" t="n">
        <f aca="false">IFERROR(__xludf.dummyfunction("""COMPUTED_VALUE"""),46202)</f>
        <v>46202</v>
      </c>
      <c r="F1048548" s="41" t="n">
        <f aca="false">IFERROR(__xludf.dummyfunction("""COMPUTED_VALUE"""),2)</f>
        <v>2</v>
      </c>
      <c r="G1048548" s="37" t="str">
        <f aca="false">IFERROR(__xludf.dummyfunction("""COMPUTED_VALUE"""),"20:00-22:00")</f>
        <v>20:00-22:00</v>
      </c>
      <c r="H1048548" s="42" t="str">
        <f aca="false">IFERROR(__xludf.dummyfunction("""COMPUTED_VALUE"""),"https://hocmai.vn/mod/scorm/view_file.php?id=181574")</f>
        <v>https://hocmai.vn/mod/scorm/view_file.php?id=181574</v>
      </c>
      <c r="I1048548" s="42" t="str">
        <f aca="false">IFERROR(__xludf.dummyfunction("""COMPUTED_VALUE"""),"https://hocmai.vn/mod/scorm/view_file.php?id=181575")</f>
        <v>https://hocmai.vn/mod/scorm/view_file.php?id=181575</v>
      </c>
      <c r="J1048548" s="42" t="str">
        <f aca="false">IFERROR(__xludf.dummyfunction("""COMPUTED_VALUE"""),"3. TOV_HSA_HH03 – LIÊN KẾT HÓA HỌC")</f>
        <v>3. TOV_HSA_HH03 – LIÊN KẾT HÓA HỌC</v>
      </c>
      <c r="K1048548" s="68" t="str">
        <f aca="false">IFERROR(__xludf.dummyfunction("""COMPUTED_VALUE"""),"Huebt")</f>
        <v>Huebt</v>
      </c>
      <c r="L1048548" s="68" t="str">
        <f aca="false">IFERROR(__xludf.dummyfunction("""COMPUTED_VALUE"""),"Võ Hương Giang")</f>
        <v>Võ Hương Giang</v>
      </c>
      <c r="M1048548" s="71"/>
      <c r="N1048548" s="77" t="str">
        <f aca="false">IFERROR(__xludf.dummyfunction("""COMPUTED_VALUE"""),"3120")</f>
        <v>3120</v>
      </c>
      <c r="O1048548" s="63" t="n">
        <f aca="false">IFERROR(__xludf.dummyfunction("""COMPUTED_VALUE"""),167427)</f>
        <v>167427</v>
      </c>
      <c r="P1048548" s="63"/>
      <c r="Q1048548" s="63"/>
      <c r="R1048548" s="41"/>
      <c r="S1048548" s="41"/>
      <c r="T1048548" s="63" t="n">
        <f aca="false">IFERROR(__xludf.dummyfunction("""COMPUTED_VALUE"""),23731)</f>
        <v>23731</v>
      </c>
      <c r="U1048548" s="63" t="n">
        <f aca="false">IFERROR(__xludf.dummyfunction("""COMPUTED_VALUE"""),10480)</f>
        <v>10480</v>
      </c>
      <c r="V1048548" s="70" t="n">
        <f aca="false">IFERROR(__xludf.dummyfunction("""COMPUTED_VALUE"""),46205)</f>
        <v>46205</v>
      </c>
      <c r="W1048548" s="39" t="str">
        <f aca="false">IFERROR(__xludf.dummyfunction("""COMPUTED_VALUE"""),"Hoàn thành XB")</f>
        <v>Hoàn thành XB</v>
      </c>
      <c r="X1048548" s="41" t="str">
        <f aca="false">IFERROR(__xludf.dummyfunction("""COMPUTED_VALUE"""),"Huebt")</f>
        <v>Huebt</v>
      </c>
      <c r="Y1048548" s="44" t="str">
        <f aca="false">IFERROR(__xludf.dummyfunction("""COMPUTED_VALUE"""),"done")</f>
        <v>done</v>
      </c>
      <c r="Z1048548" s="57" t="str">
        <f aca="false">IFERROR(__xludf.dummyfunction("""COMPUTED_VALUE"""),"#N/A")</f>
        <v>#N/A</v>
      </c>
      <c r="AA1048548" s="57"/>
      <c r="AB1048548" s="41" t="n">
        <f aca="false">IFERROR(__xludf.dummyfunction("""COMPUTED_VALUE"""),6)</f>
        <v>6</v>
      </c>
      <c r="AC1048548" s="57" t="str">
        <f aca="false">IFERROR(__xludf.dummyfunction("""COMPUTED_VALUE"""),"gv.longch@hocmai.edu.vn")</f>
        <v>gv.longch@hocmai.edu.vn</v>
      </c>
      <c r="AD1048548" s="46" t="str">
        <f aca="false">IFERROR(__xludf.dummyfunction("""COMPUTED_VALUE"""),"giangvh@ctv.hocmai.vn")</f>
        <v>giangvh@ctv.hocmai.vn</v>
      </c>
      <c r="AE1048548" s="46"/>
      <c r="AF1048548" s="74" t="b">
        <f aca="false">IFERROR(__xludf.dummyfunction("""COMPUTED_VALUE"""),FALSE())</f>
        <v>0</v>
      </c>
      <c r="AG1048548" s="46" t="str">
        <f aca="false">IFERROR(__xludf.dummyfunction("""COMPUTED_VALUE"""),"")</f>
        <v/>
      </c>
      <c r="AH1048548" s="35"/>
      <c r="AI1048548" s="35"/>
      <c r="AJ1048548" s="53" t="b">
        <f aca="false">IFERROR(__xludf.dummyfunction("""COMPUTED_VALUE"""),TRUE())</f>
        <v>1</v>
      </c>
      <c r="AK1048548" s="53" t="b">
        <f aca="false">IFERROR(__xludf.dummyfunction("""COMPUTED_VALUE"""),TRUE())</f>
        <v>1</v>
      </c>
      <c r="AL1048548" s="35"/>
      <c r="AM1048548" s="35"/>
      <c r="AN1048548" s="35"/>
      <c r="AO1048548" s="46"/>
    </row>
    <row r="1048549" customFormat="false" ht="15.75" hidden="false" customHeight="true" outlineLevel="0" collapsed="false">
      <c r="A1048549" s="37" t="str">
        <f aca="false">IFERROR(__xludf.dummyfunction("""COMPUTED_VALUE"""),"Toán")</f>
        <v>Toán</v>
      </c>
      <c r="B1048549" s="37" t="str">
        <f aca="false">IFERROR(__xludf.dummyfunction("""COMPUTED_VALUE"""),"TOV_TC_T03")</f>
        <v>TOV_TC_T03</v>
      </c>
      <c r="C1048549" s="59" t="str">
        <f aca="false">IFERROR(__xludf.dummyfunction("""COMPUTED_VALUE"""),"Bài toán thực tế có yếu tố cực trị, tối ưu")</f>
        <v>Bài toán thực tế có yếu tố cực trị, tối ưu</v>
      </c>
      <c r="D1048549" s="39" t="str">
        <f aca="false">IFERROR(__xludf.dummyfunction("""COMPUTED_VALUE"""),"Nguyễn Thanh Tùng")</f>
        <v>Nguyễn Thanh Tùng</v>
      </c>
      <c r="E1048549" s="40" t="n">
        <f aca="false">IFERROR(__xludf.dummyfunction("""COMPUTED_VALUE"""),46203)</f>
        <v>46203</v>
      </c>
      <c r="F1048549" s="41" t="n">
        <f aca="false">IFERROR(__xludf.dummyfunction("""COMPUTED_VALUE"""),3)</f>
        <v>3</v>
      </c>
      <c r="G1048549" s="37" t="str">
        <f aca="false">IFERROR(__xludf.dummyfunction("""COMPUTED_VALUE"""),"21:00-23:00")</f>
        <v>21:00-23:00</v>
      </c>
      <c r="H1048549" s="42" t="str">
        <f aca="false">IFERROR(__xludf.dummyfunction("""COMPUTED_VALUE"""),"https://hocmai.vn/file.php/3315/Tai_lieu_live_2026_-_2027/TLHS_TOV_TC_T03_BAI_TOAN_THUC_TE_CO_YEU_TO_CUC_TRI_TOI_UU.pdf")</f>
        <v>https://hocmai.vn/file.php/3315/Tai_lieu_live_2026_-_2027/TLHS_TOV_TC_T03_BAI_TOAN_THUC_TE_CO_YEU_TO_CUC_TRI_TOI_UU.pdf</v>
      </c>
      <c r="I1048549" s="37"/>
      <c r="J1048549" s="42" t="str">
        <f aca="false">IFERROR(__xludf.dummyfunction("""COMPUTED_VALUE"""),"https://drive.google.com/drive/folders/1vRR9fM63F8zLQuvNu4w5wJEifI4wd4aS?usp=drive_link")</f>
        <v>https://drive.google.com/drive/folders/1vRR9fM63F8zLQuvNu4w5wJEifI4wd4aS?usp=drive_link</v>
      </c>
      <c r="K1048549" s="68" t="str">
        <f aca="false">IFERROR(__xludf.dummyfunction("""COMPUTED_VALUE"""),"Chientd2")</f>
        <v>Chientd2</v>
      </c>
      <c r="L1048549" s="68" t="str">
        <f aca="false">IFERROR(__xludf.dummyfunction("""COMPUTED_VALUE"""),"Tưởng Thị Huyền Trang")</f>
        <v>Tưởng Thị Huyền Trang</v>
      </c>
      <c r="M1048549" s="71"/>
      <c r="N1048549" s="77" t="str">
        <f aca="false">IFERROR(__xludf.dummyfunction("""COMPUTED_VALUE"""),"3108,3117,3315,3127,3314")</f>
        <v>3108,3117,3315,3127,3314</v>
      </c>
      <c r="O1048549" s="63" t="str">
        <f aca="false">IFERROR(__xludf.dummyfunction("""COMPUTED_VALUE"""),"168359, 168574, 168315, 167461, 167061")</f>
        <v>168359, 168574, 168315, 167461, 167061</v>
      </c>
      <c r="P1048549" s="63" t="str">
        <f aca="false">IFERROR(__xludf.dummyfunction("""COMPUTED_VALUE"""),"9025,9028,9036,9104,9106,9017,9102")</f>
        <v>9025,9028,9036,9104,9106,9017,9102</v>
      </c>
      <c r="Q1048549" s="63" t="n">
        <f aca="false">IFERROR(__xludf.dummyfunction("""COMPUTED_VALUE"""),167061)</f>
        <v>167061</v>
      </c>
      <c r="R1048549" s="41"/>
      <c r="S1048549" s="41"/>
      <c r="T1048549" s="63" t="str">
        <f aca="false">IFERROR(__xludf.dummyfunction("""COMPUTED_VALUE"""),"23749, 23757, 23758")</f>
        <v>23749, 23757, 23758</v>
      </c>
      <c r="U1048549" s="63"/>
      <c r="V1048549" s="70" t="n">
        <f aca="false">IFERROR(__xludf.dummyfunction("""COMPUTED_VALUE"""),46206)</f>
        <v>46206</v>
      </c>
      <c r="W1048549" s="39" t="str">
        <f aca="false">IFERROR(__xludf.dummyfunction("""COMPUTED_VALUE"""),"Hoàn thành XB")</f>
        <v>Hoàn thành XB</v>
      </c>
      <c r="X1048549" s="41" t="str">
        <f aca="false">IFERROR(__xludf.dummyfunction("""COMPUTED_VALUE"""),"Chientd2")</f>
        <v>Chientd2</v>
      </c>
      <c r="Y1048549" s="44" t="str">
        <f aca="false">IFERROR(__xludf.dummyfunction("""COMPUTED_VALUE"""),"done")</f>
        <v>done</v>
      </c>
      <c r="Z1048549" s="57" t="str">
        <f aca="false">IFERROR(__xludf.dummyfunction("""COMPUTED_VALUE"""),"#N/A")</f>
        <v>#N/A</v>
      </c>
      <c r="AA1048549" s="57"/>
      <c r="AB1048549" s="41" t="n">
        <f aca="false">IFERROR(__xludf.dummyfunction("""COMPUTED_VALUE"""),6)</f>
        <v>6</v>
      </c>
      <c r="AC1048549" s="57" t="str">
        <f aca="false">IFERROR(__xludf.dummyfunction("""COMPUTED_VALUE"""),"gv.tungnt@hocmai.edu.vn ")</f>
        <v>gv.tungnt@hocmai.edu.vn </v>
      </c>
      <c r="AD1048549" s="46" t="str">
        <f aca="false">IFERROR(__xludf.dummyfunction("""COMPUTED_VALUE"""),"trangcrazy699@gmail.com")</f>
        <v>trangcrazy699@gmail.com</v>
      </c>
      <c r="AE1048549" s="46"/>
      <c r="AF1048549" s="47" t="str">
        <f aca="false">IFERROR(__xludf.dummyfunction("""COMPUTED_VALUE"""),"lophoctoan-946203")</f>
        <v>lophoctoan-946203</v>
      </c>
      <c r="AG1048549" s="46" t="str">
        <f aca="false">IFERROR(__xludf.dummyfunction("""COMPUTED_VALUE"""),"")</f>
        <v/>
      </c>
      <c r="AH1048549" s="35"/>
      <c r="AI1048549" s="53" t="b">
        <f aca="false">IFERROR(__xludf.dummyfunction("""COMPUTED_VALUE"""),TRUE())</f>
        <v>1</v>
      </c>
      <c r="AJ1048549" s="53" t="b">
        <f aca="false">IFERROR(__xludf.dummyfunction("""COMPUTED_VALUE"""),TRUE())</f>
        <v>1</v>
      </c>
      <c r="AK1048549" s="53" t="b">
        <f aca="false">IFERROR(__xludf.dummyfunction("""COMPUTED_VALUE"""),TRUE())</f>
        <v>1</v>
      </c>
      <c r="AL1048549" s="53" t="b">
        <f aca="false">IFERROR(__xludf.dummyfunction("""COMPUTED_VALUE"""),TRUE())</f>
        <v>1</v>
      </c>
      <c r="AM1048549" s="35"/>
      <c r="AN1048549" s="35"/>
      <c r="AO1048549" s="46"/>
    </row>
    <row r="1048550" customFormat="false" ht="15.75" hidden="false" customHeight="true" outlineLevel="0" collapsed="false">
      <c r="A1048550" s="37" t="str">
        <f aca="false">IFERROR(__xludf.dummyfunction("""COMPUTED_VALUE"""),"Tiếng Việt")</f>
        <v>Tiếng Việt</v>
      </c>
      <c r="B1048550" s="37" t="str">
        <f aca="false">IFERROR(__xludf.dummyfunction("""COMPUTED_VALUE"""),"TOV_V-ACT_TV03")</f>
        <v>TOV_V-ACT_TV03</v>
      </c>
      <c r="C1048550" s="59" t="str">
        <f aca="false">IFERROR(__xludf.dummyfunction("""COMPUTED_VALUE"""),"Một số thể loại văn học dân gian tiêu biểu_Phần 1")</f>
        <v>Một số thể loại văn học dân gian tiêu biểu_Phần 1</v>
      </c>
      <c r="D1048550" s="39" t="str">
        <f aca="false">IFERROR(__xludf.dummyfunction("""COMPUTED_VALUE"""),"Văn Trịnh Quỳnh An")</f>
        <v>Văn Trịnh Quỳnh An</v>
      </c>
      <c r="E1048550" s="40" t="n">
        <f aca="false">IFERROR(__xludf.dummyfunction("""COMPUTED_VALUE"""),46203)</f>
        <v>46203</v>
      </c>
      <c r="F1048550" s="41" t="n">
        <f aca="false">IFERROR(__xludf.dummyfunction("""COMPUTED_VALUE"""),3)</f>
        <v>3</v>
      </c>
      <c r="G1048550" s="37" t="str">
        <f aca="false">IFERROR(__xludf.dummyfunction("""COMPUTED_VALUE"""),"20:00-21:30")</f>
        <v>20:00-21:30</v>
      </c>
      <c r="H1048550" s="37"/>
      <c r="I1048550" s="37"/>
      <c r="J1048550" s="42" t="str">
        <f aca="false">IFERROR(__xludf.dummyfunction("""COMPUTED_VALUE"""),"https://drive.google.com/drive/folders/1nztZLDoxOaI0yXB_fmec7KbycJIqPRst")</f>
        <v>https://drive.google.com/drive/folders/1nztZLDoxOaI0yXB_fmec7KbycJIqPRst</v>
      </c>
      <c r="K1048550" s="68" t="str">
        <f aca="false">IFERROR(__xludf.dummyfunction("""COMPUTED_VALUE"""),"Hangvt3")</f>
        <v>Hangvt3</v>
      </c>
      <c r="L1048550" s="68" t="str">
        <f aca="false">IFERROR(__xludf.dummyfunction("""COMPUTED_VALUE"""),"Bùi Vĩnh Thọ")</f>
        <v>Bùi Vĩnh Thọ</v>
      </c>
      <c r="M1048550" s="71"/>
      <c r="N1048550" s="77" t="str">
        <f aca="false">IFERROR(__xludf.dummyfunction("""COMPUTED_VALUE"""),"3125,3338")</f>
        <v>3125,3338</v>
      </c>
      <c r="O1048550" s="73" t="n">
        <f aca="false">IFERROR(__xludf.dummyfunction("""COMPUTED_VALUE"""),167355.17477)</f>
        <v>167355.17477</v>
      </c>
      <c r="P1048550" s="63" t="n">
        <f aca="false">IFERROR(__xludf.dummyfunction("""COMPUTED_VALUE"""),174770)</f>
        <v>174770</v>
      </c>
      <c r="Q1048550" s="63"/>
      <c r="R1048550" s="41"/>
      <c r="S1048550" s="41"/>
      <c r="T1048550" s="63"/>
      <c r="U1048550" s="63"/>
      <c r="V1048550" s="70" t="n">
        <f aca="false">IFERROR(__xludf.dummyfunction("""COMPUTED_VALUE"""),46206)</f>
        <v>46206</v>
      </c>
      <c r="W1048550" s="39" t="str">
        <f aca="false">IFERROR(__xludf.dummyfunction("""COMPUTED_VALUE"""),"Hoàn thành XB")</f>
        <v>Hoàn thành XB</v>
      </c>
      <c r="X1048550" s="41" t="str">
        <f aca="false">IFERROR(__xludf.dummyfunction("""COMPUTED_VALUE"""),"Hoantt")</f>
        <v>Hoantt</v>
      </c>
      <c r="Y1048550" s="44" t="str">
        <f aca="false">IFERROR(__xludf.dummyfunction("""COMPUTED_VALUE"""),"done")</f>
        <v>done</v>
      </c>
      <c r="Z1048550" s="57" t="str">
        <f aca="false">IFERROR(__xludf.dummyfunction("""COMPUTED_VALUE"""),"#N/A")</f>
        <v>#N/A</v>
      </c>
      <c r="AA1048550" s="57"/>
      <c r="AB1048550" s="41" t="n">
        <f aca="false">IFERROR(__xludf.dummyfunction("""COMPUTED_VALUE"""),6)</f>
        <v>6</v>
      </c>
      <c r="AC1048550" s="57" t="str">
        <f aca="false">IFERROR(__xludf.dummyfunction("""COMPUTED_VALUE"""),"gv.anvtq@hocmai.edu.vn ")</f>
        <v>gv.anvtq@hocmai.edu.vn </v>
      </c>
      <c r="AD1048550" s="46" t="str">
        <f aca="false">IFERROR(__xludf.dummyfunction("""COMPUTED_VALUE"""),"vinhtho0704@gmail.com")</f>
        <v>vinhtho0704@gmail.com</v>
      </c>
      <c r="AE1048550" s="46"/>
      <c r="AF1048550" s="74" t="b">
        <f aca="false">IFERROR(__xludf.dummyfunction("""COMPUTED_VALUE"""),FALSE())</f>
        <v>0</v>
      </c>
      <c r="AG1048550" s="46" t="str">
        <f aca="false">IFERROR(__xludf.dummyfunction("""COMPUTED_VALUE"""),"")</f>
        <v/>
      </c>
      <c r="AH1048550" s="35"/>
      <c r="AI1048550" s="35"/>
      <c r="AJ1048550" s="35"/>
      <c r="AK1048550" s="35"/>
      <c r="AL1048550" s="35"/>
      <c r="AM1048550" s="53" t="b">
        <f aca="false">IFERROR(__xludf.dummyfunction("""COMPUTED_VALUE"""),TRUE())</f>
        <v>1</v>
      </c>
      <c r="AN1048550" s="53" t="b">
        <f aca="false">IFERROR(__xludf.dummyfunction("""COMPUTED_VALUE"""),TRUE())</f>
        <v>1</v>
      </c>
      <c r="AO1048550" s="46"/>
    </row>
    <row r="1048551" customFormat="false" ht="15.75" hidden="false" customHeight="true" outlineLevel="0" collapsed="false">
      <c r="A1048551" s="37" t="str">
        <f aca="false">IFERROR(__xludf.dummyfunction("""COMPUTED_VALUE"""),"Định tính")</f>
        <v>Định tính</v>
      </c>
      <c r="B1048551" s="39" t="str">
        <f aca="false">IFERROR(__xludf.dummyfunction("""COMPUTED_VALUE"""),"TOV_HSA_DT03")</f>
        <v>TOV_HSA_DT03</v>
      </c>
      <c r="C1048551" s="37" t="str">
        <f aca="false">IFERROR(__xludf.dummyfunction("""COMPUTED_VALUE"""),"Tiếng Việt: Cấu trúc, liên kết câu và logic diễn đạt")</f>
        <v>Tiếng Việt: Cấu trúc, liên kết câu và logic diễn đạt</v>
      </c>
      <c r="D1048551" s="39" t="str">
        <f aca="false">IFERROR(__xludf.dummyfunction("""COMPUTED_VALUE"""),"Vương Thúy Hằng")</f>
        <v>Vương Thúy Hằng</v>
      </c>
      <c r="E1048551" s="40" t="n">
        <f aca="false">IFERROR(__xludf.dummyfunction("""COMPUTED_VALUE"""),46204)</f>
        <v>46204</v>
      </c>
      <c r="F1048551" s="41" t="n">
        <f aca="false">IFERROR(__xludf.dummyfunction("""COMPUTED_VALUE"""),4)</f>
        <v>4</v>
      </c>
      <c r="G1048551" s="37" t="str">
        <f aca="false">IFERROR(__xludf.dummyfunction("""COMPUTED_VALUE"""),"21:00-23:00")</f>
        <v>21:00-23:00</v>
      </c>
      <c r="H1048551" s="42" t="str">
        <f aca="false">IFERROR(__xludf.dummyfunction("""COMPUTED_VALUE"""),"https://hocmai.vn/mod/scorm/view_file.php?inpopup=true&amp;id=181519")</f>
        <v>https://hocmai.vn/mod/scorm/view_file.php?inpopup=true&amp;id=181519</v>
      </c>
      <c r="I1048551" s="37"/>
      <c r="J1048551" s="42" t="str">
        <f aca="false">IFERROR(__xludf.dummyfunction("""COMPUTED_VALUE"""),"https://drive.google.com/file/d/1SAd0E-YbkOdUwUNQphAjou6JwMZ8nJIM/view?usp=drive_link")</f>
        <v>https://drive.google.com/file/d/1SAd0E-YbkOdUwUNQphAjou6JwMZ8nJIM/view?usp=drive_link</v>
      </c>
      <c r="K1048551" s="68" t="str">
        <f aca="false">IFERROR(__xludf.dummyfunction("""COMPUTED_VALUE"""),"Hangvt3")</f>
        <v>Hangvt3</v>
      </c>
      <c r="L1048551" s="68" t="str">
        <f aca="false">IFERROR(__xludf.dummyfunction("""COMPUTED_VALUE"""),"Kiều Bảo Minh")</f>
        <v>Kiều Bảo Minh</v>
      </c>
      <c r="M1048551" s="71"/>
      <c r="N1048551" s="77" t="str">
        <f aca="false">IFERROR(__xludf.dummyfunction("""COMPUTED_VALUE"""),"3118")</f>
        <v>3118</v>
      </c>
      <c r="O1048551" s="63" t="n">
        <f aca="false">IFERROR(__xludf.dummyfunction("""COMPUTED_VALUE"""),167292)</f>
        <v>167292</v>
      </c>
      <c r="P1048551" s="63"/>
      <c r="Q1048551" s="63"/>
      <c r="R1048551" s="41"/>
      <c r="S1048551" s="41"/>
      <c r="T1048551" s="63"/>
      <c r="U1048551" s="63"/>
      <c r="V1048551" s="70" t="n">
        <f aca="false">IFERROR(__xludf.dummyfunction("""COMPUTED_VALUE"""),46207)</f>
        <v>46207</v>
      </c>
      <c r="W1048551" s="39" t="str">
        <f aca="false">IFERROR(__xludf.dummyfunction("""COMPUTED_VALUE"""),"Hoàn thành XB")</f>
        <v>Hoàn thành XB</v>
      </c>
      <c r="X1048551" s="41" t="str">
        <f aca="false">IFERROR(__xludf.dummyfunction("""COMPUTED_VALUE"""),"Hoantt")</f>
        <v>Hoantt</v>
      </c>
      <c r="Y1048551" s="44" t="str">
        <f aca="false">IFERROR(__xludf.dummyfunction("""COMPUTED_VALUE"""),"done")</f>
        <v>done</v>
      </c>
      <c r="Z1048551" s="57" t="str">
        <f aca="false">IFERROR(__xludf.dummyfunction("""COMPUTED_VALUE"""),"#N/A")</f>
        <v>#N/A</v>
      </c>
      <c r="AA1048551" s="57"/>
      <c r="AB1048551" s="41" t="n">
        <f aca="false">IFERROR(__xludf.dummyfunction("""COMPUTED_VALUE"""),7)</f>
        <v>7</v>
      </c>
      <c r="AC1048551" s="57" t="str">
        <f aca="false">IFERROR(__xludf.dummyfunction("""COMPUTED_VALUE"""),"gv.hangvt@hocmai.edu.vn ")</f>
        <v>gv.hangvt@hocmai.edu.vn </v>
      </c>
      <c r="AD1048551" s="46" t="str">
        <f aca="false">IFERROR(__xludf.dummyfunction("""COMPUTED_VALUE"""),"mkieu2662@gmail.com")</f>
        <v>mkieu2662@gmail.com</v>
      </c>
      <c r="AE1048551" s="46"/>
      <c r="AF1048551" s="74" t="b">
        <f aca="false">IFERROR(__xludf.dummyfunction("""COMPUTED_VALUE"""),FALSE())</f>
        <v>0</v>
      </c>
      <c r="AG1048551" s="46" t="str">
        <f aca="false">IFERROR(__xludf.dummyfunction("""COMPUTED_VALUE"""),"")</f>
        <v/>
      </c>
      <c r="AH1048551" s="35"/>
      <c r="AI1048551" s="35"/>
      <c r="AJ1048551" s="53" t="b">
        <f aca="false">IFERROR(__xludf.dummyfunction("""COMPUTED_VALUE"""),TRUE())</f>
        <v>1</v>
      </c>
      <c r="AK1048551" s="53" t="b">
        <f aca="false">IFERROR(__xludf.dummyfunction("""COMPUTED_VALUE"""),TRUE())</f>
        <v>1</v>
      </c>
      <c r="AL1048551" s="35"/>
      <c r="AM1048551" s="35"/>
      <c r="AN1048551" s="35"/>
      <c r="AO1048551" s="46"/>
    </row>
    <row r="1048552" customFormat="false" ht="15.75" hidden="false" customHeight="true" outlineLevel="0" collapsed="false">
      <c r="A1048552" s="37" t="str">
        <f aca="false">IFERROR(__xludf.dummyfunction("""COMPUTED_VALUE"""),"Vật lí")</f>
        <v>Vật lí</v>
      </c>
      <c r="B1048552" s="37" t="str">
        <f aca="false">IFERROR(__xludf.dummyfunction("""COMPUTED_VALUE"""),"TOV_TSA_L03")</f>
        <v>TOV_TSA_L03</v>
      </c>
      <c r="C1048552" s="59" t="str">
        <f aca="false">IFERROR(__xludf.dummyfunction("""COMPUTED_VALUE"""),"Rơi tự do, chuyển động ném và chuyển động tròn")</f>
        <v>Rơi tự do, chuyển động ném và chuyển động tròn</v>
      </c>
      <c r="D1048552" s="39" t="str">
        <f aca="false">IFERROR(__xludf.dummyfunction("""COMPUTED_VALUE"""),"Thiều Thị Dung")</f>
        <v>Thiều Thị Dung</v>
      </c>
      <c r="E1048552" s="40" t="n">
        <f aca="false">IFERROR(__xludf.dummyfunction("""COMPUTED_VALUE"""),46205)</f>
        <v>46205</v>
      </c>
      <c r="F1048552" s="41" t="n">
        <f aca="false">IFERROR(__xludf.dummyfunction("""COMPUTED_VALUE"""),5)</f>
        <v>5</v>
      </c>
      <c r="G1048552" s="37" t="str">
        <f aca="false">IFERROR(__xludf.dummyfunction("""COMPUTED_VALUE"""),"21:00-23:00")</f>
        <v>21:00-23:00</v>
      </c>
      <c r="H1048552" s="42" t="str">
        <f aca="false">IFERROR(__xludf.dummyfunction("""COMPUTED_VALUE"""),"https://hocmai.vn/file.php/3110/Nam_hoc_2026_-_2027/VAT_LI/TAI_LIEU_HOC_SINH/TLHS_TOV_TSA_L03._Roi_tu_do_chuyen_dong_nem_va_chuyen_dong_tron.pdf")</f>
        <v>https://hocmai.vn/file.php/3110/Nam_hoc_2026_-_2027/VAT_LI/TAI_LIEU_HOC_SINH/TLHS_TOV_TSA_L03._Roi_tu_do_chuyen_dong_nem_va_chuyen_dong_tron.pdf</v>
      </c>
      <c r="I1048552" s="42" t="str">
        <f aca="false">IFERROR(__xludf.dummyfunction("""COMPUTED_VALUE"""),"https://hocmai.vn/file.php/3110/Nam_hoc_2026_-_2027/VAT_LI/BTTL/BTTL_TOV_TSA_L03._Roi_tu_do_chuyen_dong_nem_va_chuyen_dong_tron.pdf")</f>
        <v>https://hocmai.vn/file.php/3110/Nam_hoc_2026_-_2027/VAT_LI/BTTL/BTTL_TOV_TSA_L03._Roi_tu_do_chuyen_dong_nem_va_chuyen_dong_tron.pdf</v>
      </c>
      <c r="J1048552" s="42" t="str">
        <f aca="false">IFERROR(__xludf.dummyfunction("""COMPUTED_VALUE"""),"https://drive.google.com/drive/folders/1ZoHAVaoedEunp9pMyTySpikj6095yDTI")</f>
        <v>https://drive.google.com/drive/folders/1ZoHAVaoedEunp9pMyTySpikj6095yDTI</v>
      </c>
      <c r="K1048552" s="68" t="str">
        <f aca="false">IFERROR(__xludf.dummyfunction("""COMPUTED_VALUE"""),"Trangnth2")</f>
        <v>Trangnth2</v>
      </c>
      <c r="L1048552" s="68" t="str">
        <f aca="false">IFERROR(__xludf.dummyfunction("""COMPUTED_VALUE"""),"Trần Đức Lương")</f>
        <v>Trần Đức Lương</v>
      </c>
      <c r="M1048552" s="71"/>
      <c r="N1048552" s="77" t="str">
        <f aca="false">IFERROR(__xludf.dummyfunction("""COMPUTED_VALUE"""),"3110")</f>
        <v>3110</v>
      </c>
      <c r="O1048552" s="63" t="n">
        <f aca="false">IFERROR(__xludf.dummyfunction("""COMPUTED_VALUE"""),167250)</f>
        <v>167250</v>
      </c>
      <c r="P1048552" s="63"/>
      <c r="Q1048552" s="63"/>
      <c r="R1048552" s="41"/>
      <c r="S1048552" s="41"/>
      <c r="T1048552" s="63"/>
      <c r="U1048552" s="63"/>
      <c r="V1048552" s="70" t="n">
        <f aca="false">IFERROR(__xludf.dummyfunction("""COMPUTED_VALUE"""),46208)</f>
        <v>46208</v>
      </c>
      <c r="W1048552" s="39" t="str">
        <f aca="false">IFERROR(__xludf.dummyfunction("""COMPUTED_VALUE"""),"Hoàn thành XB")</f>
        <v>Hoàn thành XB</v>
      </c>
      <c r="X1048552" s="41" t="str">
        <f aca="false">IFERROR(__xludf.dummyfunction("""COMPUTED_VALUE"""),"Trangnth2")</f>
        <v>Trangnth2</v>
      </c>
      <c r="Y1048552" s="44" t="str">
        <f aca="false">IFERROR(__xludf.dummyfunction("""COMPUTED_VALUE"""),"done")</f>
        <v>done</v>
      </c>
      <c r="Z1048552" s="57" t="str">
        <f aca="false">IFERROR(__xludf.dummyfunction("""COMPUTED_VALUE"""),"#N/A")</f>
        <v>#N/A</v>
      </c>
      <c r="AA1048552" s="57"/>
      <c r="AB1048552" s="41" t="n">
        <f aca="false">IFERROR(__xludf.dummyfunction("""COMPUTED_VALUE"""),7)</f>
        <v>7</v>
      </c>
      <c r="AC1048552" s="57" t="str">
        <f aca="false">IFERROR(__xludf.dummyfunction("""COMPUTED_VALUE"""),"dungtt2@hocmai.vn                ")</f>
        <v>dungtt2@hocmai.vn                </v>
      </c>
      <c r="AD1048552" s="46" t="str">
        <f aca="false">IFERROR(__xludf.dummyfunction("""COMPUTED_VALUE"""),"ss.hsa01@ctv.hocmai.vn")</f>
        <v>ss.hsa01@ctv.hocmai.vn</v>
      </c>
      <c r="AE1048552" s="46"/>
      <c r="AF1048552" s="74" t="b">
        <f aca="false">IFERROR(__xludf.dummyfunction("""COMPUTED_VALUE"""),FALSE())</f>
        <v>0</v>
      </c>
      <c r="AG1048552" s="46" t="str">
        <f aca="false">IFERROR(__xludf.dummyfunction("""COMPUTED_VALUE"""),"")</f>
        <v/>
      </c>
      <c r="AH1048552" s="35"/>
      <c r="AI1048552" s="53" t="b">
        <f aca="false">IFERROR(__xludf.dummyfunction("""COMPUTED_VALUE"""),TRUE())</f>
        <v>1</v>
      </c>
      <c r="AJ1048552" s="35"/>
      <c r="AK1048552" s="35"/>
      <c r="AL1048552" s="35"/>
      <c r="AM1048552" s="35"/>
      <c r="AN1048552" s="35"/>
      <c r="AO1048552" s="46"/>
    </row>
    <row r="1048553" customFormat="false" ht="15.75" hidden="false" customHeight="true" outlineLevel="0" collapsed="false">
      <c r="A1048553" s="37" t="str">
        <f aca="false">IFERROR(__xludf.dummyfunction("""COMPUTED_VALUE"""),"Toán")</f>
        <v>Toán</v>
      </c>
      <c r="B1048553" s="37" t="str">
        <f aca="false">IFERROR(__xludf.dummyfunction("""COMPUTED_VALUE"""),"TOV_HSA_DL03")</f>
        <v>TOV_HSA_DL03</v>
      </c>
      <c r="C1048553" s="59" t="str">
        <f aca="false">IFERROR(__xludf.dummyfunction("""COMPUTED_VALUE"""),"Các bài toán về hàm hợp (P2)")</f>
        <v>Các bài toán về hàm hợp (P2)</v>
      </c>
      <c r="D1048553" s="39" t="str">
        <f aca="false">IFERROR(__xludf.dummyfunction("""COMPUTED_VALUE"""),"Nguyễn Thanh Tùng")</f>
        <v>Nguyễn Thanh Tùng</v>
      </c>
      <c r="E1048553" s="40" t="n">
        <f aca="false">IFERROR(__xludf.dummyfunction("""COMPUTED_VALUE"""),46205)</f>
        <v>46205</v>
      </c>
      <c r="F1048553" s="41" t="n">
        <f aca="false">IFERROR(__xludf.dummyfunction("""COMPUTED_VALUE"""),5)</f>
        <v>5</v>
      </c>
      <c r="G1048553" s="37" t="str">
        <f aca="false">IFERROR(__xludf.dummyfunction("""COMPUTED_VALUE"""),"18:00-20:00")</f>
        <v>18:00-20:00</v>
      </c>
      <c r="H1048553" s="37"/>
      <c r="I1048553" s="37"/>
      <c r="J1048553" s="42" t="str">
        <f aca="false">IFERROR(__xludf.dummyfunction("""COMPUTED_VALUE"""),"https://drive.google.com/drive/folders/1VDhTxsO5zToJ523Nbl8Ztmr4PmlKeN69?usp=drive_link")</f>
        <v>https://drive.google.com/drive/folders/1VDhTxsO5zToJ523Nbl8Ztmr4PmlKeN69?usp=drive_link</v>
      </c>
      <c r="K1048553" s="68" t="str">
        <f aca="false">IFERROR(__xludf.dummyfunction("""COMPUTED_VALUE"""),"Locdd")</f>
        <v>Locdd</v>
      </c>
      <c r="L1048553" s="68" t="str">
        <f aca="false">IFERROR(__xludf.dummyfunction("""COMPUTED_VALUE"""),"Tưởng Thị Huyền Trang")</f>
        <v>Tưởng Thị Huyền Trang</v>
      </c>
      <c r="M1048553" s="71"/>
      <c r="N1048553" s="77" t="str">
        <f aca="false">IFERROR(__xludf.dummyfunction("""COMPUTED_VALUE"""),"3117,3315")</f>
        <v>3117,3315</v>
      </c>
      <c r="O1048553" s="73" t="n">
        <f aca="false">IFERROR(__xludf.dummyfunction("""COMPUTED_VALUE"""),168575.168316)</f>
        <v>168575.168316</v>
      </c>
      <c r="P1048553" s="63" t="str">
        <f aca="false">IFERROR(__xludf.dummyfunction("""COMPUTED_VALUE"""),"9028,9036,9104,9106")</f>
        <v>9028,9036,9104,9106</v>
      </c>
      <c r="Q1048553" s="63" t="n">
        <f aca="false">IFERROR(__xludf.dummyfunction("""COMPUTED_VALUE"""),168316)</f>
        <v>168316</v>
      </c>
      <c r="R1048553" s="41"/>
      <c r="S1048553" s="41"/>
      <c r="T1048553" s="63"/>
      <c r="U1048553" s="63"/>
      <c r="V1048553" s="70" t="n">
        <f aca="false">IFERROR(__xludf.dummyfunction("""COMPUTED_VALUE"""),46208)</f>
        <v>46208</v>
      </c>
      <c r="W1048553" s="39" t="str">
        <f aca="false">IFERROR(__xludf.dummyfunction("""COMPUTED_VALUE"""),"Hoàn thành XB")</f>
        <v>Hoàn thành XB</v>
      </c>
      <c r="X1048553" s="41" t="str">
        <f aca="false">IFERROR(__xludf.dummyfunction("""COMPUTED_VALUE"""),"Locdd")</f>
        <v>Locdd</v>
      </c>
      <c r="Y1048553" s="44" t="str">
        <f aca="false">IFERROR(__xludf.dummyfunction("""COMPUTED_VALUE"""),"done")</f>
        <v>done</v>
      </c>
      <c r="Z1048553" s="57" t="str">
        <f aca="false">IFERROR(__xludf.dummyfunction("""COMPUTED_VALUE"""),"#N/A")</f>
        <v>#N/A</v>
      </c>
      <c r="AA1048553" s="56" t="str">
        <f aca="false">IFERROR(__xludf.dummyfunction("""COMPUTED_VALUE"""),"https://drive.google.com/file/d/1wURVMbkq5ltQGHc6oAOo8NR5ymGaXjJO/view")</f>
        <v>https://drive.google.com/file/d/1wURVMbkq5ltQGHc6oAOo8NR5ymGaXjJO/view</v>
      </c>
      <c r="AB1048553" s="41" t="n">
        <f aca="false">IFERROR(__xludf.dummyfunction("""COMPUTED_VALUE"""),7)</f>
        <v>7</v>
      </c>
      <c r="AC1048553" s="57" t="str">
        <f aca="false">IFERROR(__xludf.dummyfunction("""COMPUTED_VALUE"""),"gv.tungnt@hocmai.edu.vn ")</f>
        <v>gv.tungnt@hocmai.edu.vn </v>
      </c>
      <c r="AD1048553" s="46" t="str">
        <f aca="false">IFERROR(__xludf.dummyfunction("""COMPUTED_VALUE"""),"trangcrazy699@gmail.com")</f>
        <v>trangcrazy699@gmail.com</v>
      </c>
      <c r="AE1048553" s="46"/>
      <c r="AF1048553" s="47" t="str">
        <f aca="false">IFERROR(__xludf.dummyfunction("""COMPUTED_VALUE"""),"lophoctoan-946205")</f>
        <v>lophoctoan-946205</v>
      </c>
      <c r="AG1048553" s="46" t="str">
        <f aca="false">IFERROR(__xludf.dummyfunction("""COMPUTED_VALUE"""),"")</f>
        <v/>
      </c>
      <c r="AH1048553" s="35"/>
      <c r="AI1048553" s="35"/>
      <c r="AJ1048553" s="53" t="b">
        <f aca="false">IFERROR(__xludf.dummyfunction("""COMPUTED_VALUE"""),TRUE())</f>
        <v>1</v>
      </c>
      <c r="AK1048553" s="53" t="b">
        <f aca="false">IFERROR(__xludf.dummyfunction("""COMPUTED_VALUE"""),TRUE())</f>
        <v>1</v>
      </c>
      <c r="AL1048553" s="35"/>
      <c r="AM1048553" s="35"/>
      <c r="AN1048553" s="35"/>
      <c r="AO1048553" s="46"/>
    </row>
    <row r="1048554" customFormat="false" ht="15.75" hidden="false" customHeight="true" outlineLevel="0" collapsed="false">
      <c r="A1048554" s="37" t="str">
        <f aca="false">IFERROR(__xludf.dummyfunction("""COMPUTED_VALUE"""),"Vật lí")</f>
        <v>Vật lí</v>
      </c>
      <c r="B1048554" s="37" t="str">
        <f aca="false">IFERROR(__xludf.dummyfunction("""COMPUTED_VALUE"""),"TOV_HSA_VL03")</f>
        <v>TOV_HSA_VL03</v>
      </c>
      <c r="C1048554" s="59" t="str">
        <f aca="false">IFERROR(__xludf.dummyfunction("""COMPUTED_VALUE"""),"Động lực học")</f>
        <v>Động lực học</v>
      </c>
      <c r="D1048554" s="39" t="str">
        <f aca="false">IFERROR(__xludf.dummyfunction("""COMPUTED_VALUE"""),"Nguyễn Hữu Tình")</f>
        <v>Nguyễn Hữu Tình</v>
      </c>
      <c r="E1048554" s="40" t="n">
        <f aca="false">IFERROR(__xludf.dummyfunction("""COMPUTED_VALUE"""),46205)</f>
        <v>46205</v>
      </c>
      <c r="F1048554" s="41" t="n">
        <f aca="false">IFERROR(__xludf.dummyfunction("""COMPUTED_VALUE"""),5)</f>
        <v>5</v>
      </c>
      <c r="G1048554" s="37" t="str">
        <f aca="false">IFERROR(__xludf.dummyfunction("""COMPUTED_VALUE"""),"21:00-23:00")</f>
        <v>21:00-23:00</v>
      </c>
      <c r="H1048554" s="42" t="str">
        <f aca="false">IFERROR(__xludf.dummyfunction("""COMPUTED_VALUE"""),"https://hocmai.vn/file.php/3119/NAM_HOC_2026_-_2027/Tai_lieu_live/TLHS_TOV_HSA_VL03._Dong_luc_hoc.pdf")</f>
        <v>https://hocmai.vn/file.php/3119/NAM_HOC_2026_-_2027/Tai_lieu_live/TLHS_TOV_HSA_VL03._Dong_luc_hoc.pdf</v>
      </c>
      <c r="I1048554" s="42" t="str">
        <f aca="false">IFERROR(__xludf.dummyfunction("""COMPUTED_VALUE"""),"https://hocmai.vn/file.php/3119/NAM_HOC_2026_-_2027/BTTL/BTTL_TOV_HSA_VL03._Dong_luc_hoc.pdf")</f>
        <v>https://hocmai.vn/file.php/3119/NAM_HOC_2026_-_2027/BTTL/BTTL_TOV_HSA_VL03._Dong_luc_hoc.pdf</v>
      </c>
      <c r="J1048554" s="42" t="str">
        <f aca="false">IFERROR(__xludf.dummyfunction("""COMPUTED_VALUE"""),"https://drive.google.com/drive/folders/1kE3bb_SlVnngVbzik63riPWnJQI2A6MM")</f>
        <v>https://drive.google.com/drive/folders/1kE3bb_SlVnngVbzik63riPWnJQI2A6MM</v>
      </c>
      <c r="K1048554" s="68" t="str">
        <f aca="false">IFERROR(__xludf.dummyfunction("""COMPUTED_VALUE"""),"Trangnth2")</f>
        <v>Trangnth2</v>
      </c>
      <c r="L1048554" s="68" t="str">
        <f aca="false">IFERROR(__xludf.dummyfunction("""COMPUTED_VALUE"""),"Kiều Bảo Minh")</f>
        <v>Kiều Bảo Minh</v>
      </c>
      <c r="M1048554" s="71"/>
      <c r="N1048554" s="76" t="str">
        <f aca="false">IFERROR(__xludf.dummyfunction("""COMPUTED_VALUE"""),"3119")</f>
        <v>3119</v>
      </c>
      <c r="O1048554" s="63" t="n">
        <f aca="false">IFERROR(__xludf.dummyfunction("""COMPUTED_VALUE"""),167518)</f>
        <v>167518</v>
      </c>
      <c r="P1048554" s="63"/>
      <c r="Q1048554" s="63"/>
      <c r="R1048554" s="41"/>
      <c r="S1048554" s="41"/>
      <c r="T1048554" s="63"/>
      <c r="U1048554" s="63" t="n">
        <f aca="false">IFERROR(__xludf.dummyfunction("""COMPUTED_VALUE"""),10459)</f>
        <v>10459</v>
      </c>
      <c r="V1048554" s="70" t="n">
        <f aca="false">IFERROR(__xludf.dummyfunction("""COMPUTED_VALUE"""),46208)</f>
        <v>46208</v>
      </c>
      <c r="W1048554" s="39" t="str">
        <f aca="false">IFERROR(__xludf.dummyfunction("""COMPUTED_VALUE"""),"Hoàn thành XB")</f>
        <v>Hoàn thành XB</v>
      </c>
      <c r="X1048554" s="41" t="str">
        <f aca="false">IFERROR(__xludf.dummyfunction("""COMPUTED_VALUE"""),"Trangnth2")</f>
        <v>Trangnth2</v>
      </c>
      <c r="Y1048554" s="44" t="str">
        <f aca="false">IFERROR(__xludf.dummyfunction("""COMPUTED_VALUE"""),"done")</f>
        <v>done</v>
      </c>
      <c r="Z1048554" s="57" t="str">
        <f aca="false">IFERROR(__xludf.dummyfunction("""COMPUTED_VALUE"""),"#N/A")</f>
        <v>#N/A</v>
      </c>
      <c r="AA1048554" s="57"/>
      <c r="AB1048554" s="41" t="n">
        <f aca="false">IFERROR(__xludf.dummyfunction("""COMPUTED_VALUE"""),7)</f>
        <v>7</v>
      </c>
      <c r="AC1048554" s="57" t="str">
        <f aca="false">IFERROR(__xludf.dummyfunction("""COMPUTED_VALUE"""),"gv.tinhnh@hocmai.edu.vn ")</f>
        <v>gv.tinhnh@hocmai.edu.vn </v>
      </c>
      <c r="AD1048554" s="46" t="str">
        <f aca="false">IFERROR(__xludf.dummyfunction("""COMPUTED_VALUE"""),"mkieu2662@gmail.com")</f>
        <v>mkieu2662@gmail.com</v>
      </c>
      <c r="AE1048554" s="46"/>
      <c r="AF1048554" s="74" t="b">
        <f aca="false">IFERROR(__xludf.dummyfunction("""COMPUTED_VALUE"""),FALSE())</f>
        <v>0</v>
      </c>
      <c r="AG1048554" s="46" t="str">
        <f aca="false">IFERROR(__xludf.dummyfunction("""COMPUTED_VALUE"""),"")</f>
        <v/>
      </c>
      <c r="AH1048554" s="35"/>
      <c r="AI1048554" s="35"/>
      <c r="AJ1048554" s="53" t="b">
        <f aca="false">IFERROR(__xludf.dummyfunction("""COMPUTED_VALUE"""),TRUE())</f>
        <v>1</v>
      </c>
      <c r="AK1048554" s="53" t="b">
        <f aca="false">IFERROR(__xludf.dummyfunction("""COMPUTED_VALUE"""),TRUE())</f>
        <v>1</v>
      </c>
      <c r="AL1048554" s="35"/>
      <c r="AM1048554" s="35"/>
      <c r="AN1048554" s="35"/>
      <c r="AO1048554" s="46"/>
    </row>
    <row r="1048555" customFormat="false" ht="15.75" hidden="false" customHeight="true" outlineLevel="0" collapsed="false">
      <c r="A1048555" s="37" t="str">
        <f aca="false">IFERROR(__xludf.dummyfunction("""COMPUTED_VALUE"""),"Toán")</f>
        <v>Toán</v>
      </c>
      <c r="B1048555" s="37" t="str">
        <f aca="false">IFERROR(__xludf.dummyfunction("""COMPUTED_VALUE"""),"TOA_V-ACT_T03")</f>
        <v>TOA_V-ACT_T03</v>
      </c>
      <c r="C1048555" s="59" t="str">
        <f aca="false">IFERROR(__xludf.dummyfunction("""COMPUTED_VALUE"""),"Phương pháp, kĩ năng xử lí các bài toán về hình học phẳng (P2)")</f>
        <v>Phương pháp, kĩ năng xử lí các bài toán về hình học phẳng (P2)</v>
      </c>
      <c r="D1048555" s="39" t="str">
        <f aca="false">IFERROR(__xludf.dummyfunction("""COMPUTED_VALUE"""),"Nguyễn Hoài Nam")</f>
        <v>Nguyễn Hoài Nam</v>
      </c>
      <c r="E1048555" s="40" t="n">
        <f aca="false">IFERROR(__xludf.dummyfunction("""COMPUTED_VALUE"""),46205)</f>
        <v>46205</v>
      </c>
      <c r="F1048555" s="41" t="n">
        <f aca="false">IFERROR(__xludf.dummyfunction("""COMPUTED_VALUE"""),5)</f>
        <v>5</v>
      </c>
      <c r="G1048555" s="37" t="str">
        <f aca="false">IFERROR(__xludf.dummyfunction("""COMPUTED_VALUE"""),"21:00-22:30")</f>
        <v>21:00-22:30</v>
      </c>
      <c r="H1048555" s="37"/>
      <c r="I1048555" s="37"/>
      <c r="J1048555" s="42" t="str">
        <f aca="false">IFERROR(__xludf.dummyfunction("""COMPUTED_VALUE"""),"https://drive.google.com/drive/folders/1xMmxJvQKhr2FJ8A2HtKaxvN-bfKZzRYx?usp=sharing")</f>
        <v>https://drive.google.com/drive/folders/1xMmxJvQKhr2FJ8A2HtKaxvN-bfKZzRYx?usp=sharing</v>
      </c>
      <c r="K1048555" s="68" t="str">
        <f aca="false">IFERROR(__xludf.dummyfunction("""COMPUTED_VALUE"""),"Lent")</f>
        <v>Lent</v>
      </c>
      <c r="L1048555" s="68" t="str">
        <f aca="false">IFERROR(__xludf.dummyfunction("""COMPUTED_VALUE"""),"Lường Nhật Nam")</f>
        <v>Lường Nhật Nam</v>
      </c>
      <c r="M1048555" s="71"/>
      <c r="N1048555" s="77" t="str">
        <f aca="false">IFERROR(__xludf.dummyfunction("""COMPUTED_VALUE"""),"3124,3316")</f>
        <v>3124,3316</v>
      </c>
      <c r="O1048555" s="73" t="n">
        <f aca="false">IFERROR(__xludf.dummyfunction("""COMPUTED_VALUE"""),167188.166857)</f>
        <v>167188.166857</v>
      </c>
      <c r="P1048555" s="63" t="n">
        <f aca="false">IFERROR(__xludf.dummyfunction("""COMPUTED_VALUE"""),9044.9108)</f>
        <v>9044.9108</v>
      </c>
      <c r="Q1048555" s="63" t="n">
        <f aca="false">IFERROR(__xludf.dummyfunction("""COMPUTED_VALUE"""),167188)</f>
        <v>167188</v>
      </c>
      <c r="R1048555" s="41" t="n">
        <f aca="false">IFERROR(__xludf.dummyfunction("""COMPUTED_VALUE"""),166857)</f>
        <v>166857</v>
      </c>
      <c r="S1048555" s="41"/>
      <c r="T1048555" s="63"/>
      <c r="U1048555" s="63"/>
      <c r="V1048555" s="70" t="n">
        <f aca="false">IFERROR(__xludf.dummyfunction("""COMPUTED_VALUE"""),46208)</f>
        <v>46208</v>
      </c>
      <c r="W1048555" s="39" t="str">
        <f aca="false">IFERROR(__xludf.dummyfunction("""COMPUTED_VALUE"""),"Hoàn thành XB")</f>
        <v>Hoàn thành XB</v>
      </c>
      <c r="X1048555" s="41" t="str">
        <f aca="false">IFERROR(__xludf.dummyfunction("""COMPUTED_VALUE"""),"Lent")</f>
        <v>Lent</v>
      </c>
      <c r="Y1048555" s="44" t="str">
        <f aca="false">IFERROR(__xludf.dummyfunction("""COMPUTED_VALUE"""),"done")</f>
        <v>done</v>
      </c>
      <c r="Z1048555" s="57" t="str">
        <f aca="false">IFERROR(__xludf.dummyfunction("""COMPUTED_VALUE"""),"#N/A")</f>
        <v>#N/A</v>
      </c>
      <c r="AA1048555" s="57"/>
      <c r="AB1048555" s="41" t="n">
        <f aca="false">IFERROR(__xludf.dummyfunction("""COMPUTED_VALUE"""),7)</f>
        <v>7</v>
      </c>
      <c r="AC1048555" s="57" t="str">
        <f aca="false">IFERROR(__xludf.dummyfunction("""COMPUTED_VALUE"""),"gv.namnh@hocmai.edu.vn ")</f>
        <v>gv.namnh@hocmai.edu.vn </v>
      </c>
      <c r="AD1048555" s="46" t="str">
        <f aca="false">IFERROR(__xludf.dummyfunction("""COMPUTED_VALUE"""),"nhatnam1092@gmail.com")</f>
        <v>nhatnam1092@gmail.com</v>
      </c>
      <c r="AE1048555" s="46"/>
      <c r="AF1048555" s="47" t="str">
        <f aca="false">IFERROR(__xludf.dummyfunction("""COMPUTED_VALUE"""),"lophoctoan-946205")</f>
        <v>lophoctoan-946205</v>
      </c>
      <c r="AG1048555" s="46" t="str">
        <f aca="false">IFERROR(__xludf.dummyfunction("""COMPUTED_VALUE"""),"")</f>
        <v/>
      </c>
      <c r="AH1048555" s="35"/>
      <c r="AI1048555" s="35"/>
      <c r="AJ1048555" s="35"/>
      <c r="AK1048555" s="35"/>
      <c r="AL1048555" s="35"/>
      <c r="AM1048555" s="53" t="b">
        <f aca="false">IFERROR(__xludf.dummyfunction("""COMPUTED_VALUE"""),TRUE())</f>
        <v>1</v>
      </c>
      <c r="AN1048555" s="53" t="b">
        <f aca="false">IFERROR(__xludf.dummyfunction("""COMPUTED_VALUE"""),TRUE())</f>
        <v>1</v>
      </c>
      <c r="AO1048555" s="46"/>
    </row>
    <row r="1048556" customFormat="false" ht="15.75" hidden="false" customHeight="true" outlineLevel="0" collapsed="false">
      <c r="A1048556" s="37" t="str">
        <f aca="false">IFERROR(__xludf.dummyfunction("""COMPUTED_VALUE"""),"Sinh học")</f>
        <v>Sinh học</v>
      </c>
      <c r="B1048556" s="37" t="str">
        <f aca="false">IFERROR(__xludf.dummyfunction("""COMPUTED_VALUE"""),"TOV_HSA_SH03")</f>
        <v>TOV_HSA_SH03</v>
      </c>
      <c r="C1048556" s="59" t="str">
        <f aca="false">IFERROR(__xludf.dummyfunction("""COMPUTED_VALUE"""),"Cấu trúc tế bào – Vận chuyển qua màng – Thông tin tế bào")</f>
        <v>Cấu trúc tế bào – Vận chuyển qua màng – Thông tin tế bào</v>
      </c>
      <c r="D1048556" s="39" t="str">
        <f aca="false">IFERROR(__xludf.dummyfunction("""COMPUTED_VALUE"""),"Nguyễn Dương Ánh Hồng")</f>
        <v>Nguyễn Dương Ánh Hồng</v>
      </c>
      <c r="E1048556" s="40" t="n">
        <f aca="false">IFERROR(__xludf.dummyfunction("""COMPUTED_VALUE"""),46206)</f>
        <v>46206</v>
      </c>
      <c r="F1048556" s="41" t="n">
        <f aca="false">IFERROR(__xludf.dummyfunction("""COMPUTED_VALUE"""),6)</f>
        <v>6</v>
      </c>
      <c r="G1048556" s="37" t="str">
        <f aca="false">IFERROR(__xludf.dummyfunction("""COMPUTED_VALUE"""),"19:30-21:30")</f>
        <v>19:30-21:30</v>
      </c>
      <c r="H1048556" s="37"/>
      <c r="I1048556" s="37"/>
      <c r="J1048556" s="42" t="str">
        <f aca="false">IFERROR(__xludf.dummyfunction("""COMPUTED_VALUE"""),"https://drive.google.com/drive/folders/1O9cOqRVs8gx0Kp47FLmNdVJ9FG3ZelhA?usp=sharing")</f>
        <v>https://drive.google.com/drive/folders/1O9cOqRVs8gx0Kp47FLmNdVJ9FG3ZelhA?usp=sharing</v>
      </c>
      <c r="K1048556" s="68" t="str">
        <f aca="false">IFERROR(__xludf.dummyfunction("""COMPUTED_VALUE"""),"Phuongdt")</f>
        <v>Phuongdt</v>
      </c>
      <c r="L1048556" s="68" t="str">
        <f aca="false">IFERROR(__xludf.dummyfunction("""COMPUTED_VALUE"""),"Phan Đức Kiên")</f>
        <v>Phan Đức Kiên</v>
      </c>
      <c r="M1048556" s="71"/>
      <c r="N1048556" s="77" t="str">
        <f aca="false">IFERROR(__xludf.dummyfunction("""COMPUTED_VALUE"""),"3121")</f>
        <v>3121</v>
      </c>
      <c r="O1048556" s="63" t="n">
        <f aca="false">IFERROR(__xludf.dummyfunction("""COMPUTED_VALUE"""),167320)</f>
        <v>167320</v>
      </c>
      <c r="P1048556" s="63"/>
      <c r="Q1048556" s="63"/>
      <c r="R1048556" s="41"/>
      <c r="S1048556" s="41"/>
      <c r="T1048556" s="63" t="n">
        <f aca="false">IFERROR(__xludf.dummyfunction("""COMPUTED_VALUE"""),23565)</f>
        <v>23565</v>
      </c>
      <c r="U1048556" s="63"/>
      <c r="V1048556" s="70" t="n">
        <f aca="false">IFERROR(__xludf.dummyfunction("""COMPUTED_VALUE"""),46209)</f>
        <v>46209</v>
      </c>
      <c r="W1048556" s="39" t="str">
        <f aca="false">IFERROR(__xludf.dummyfunction("""COMPUTED_VALUE"""),"Hoàn thành XB")</f>
        <v>Hoàn thành XB</v>
      </c>
      <c r="X1048556" s="41" t="str">
        <f aca="false">IFERROR(__xludf.dummyfunction("""COMPUTED_VALUE"""),"Phuongdt")</f>
        <v>Phuongdt</v>
      </c>
      <c r="Y1048556" s="44" t="str">
        <f aca="false">IFERROR(__xludf.dummyfunction("""COMPUTED_VALUE"""),"done")</f>
        <v>done</v>
      </c>
      <c r="Z1048556" s="57" t="str">
        <f aca="false">IFERROR(__xludf.dummyfunction("""COMPUTED_VALUE"""),"#N/A")</f>
        <v>#N/A</v>
      </c>
      <c r="AA1048556" s="57"/>
      <c r="AB1048556" s="41" t="n">
        <f aca="false">IFERROR(__xludf.dummyfunction("""COMPUTED_VALUE"""),7)</f>
        <v>7</v>
      </c>
      <c r="AC1048556" s="57" t="str">
        <f aca="false">IFERROR(__xludf.dummyfunction("""COMPUTED_VALUE"""),"gv.hongnda@hocmai.edu.vn ")</f>
        <v>gv.hongnda@hocmai.edu.vn </v>
      </c>
      <c r="AD1048556" s="46" t="str">
        <f aca="false">IFERROR(__xludf.dummyfunction("""COMPUTED_VALUE"""),"duckien010607@gmail.com")</f>
        <v>duckien010607@gmail.com</v>
      </c>
      <c r="AE1048556" s="46"/>
      <c r="AF1048556" s="74" t="b">
        <f aca="false">IFERROR(__xludf.dummyfunction("""COMPUTED_VALUE"""),FALSE())</f>
        <v>0</v>
      </c>
      <c r="AG1048556" s="46" t="str">
        <f aca="false">IFERROR(__xludf.dummyfunction("""COMPUTED_VALUE"""),"")</f>
        <v/>
      </c>
      <c r="AH1048556" s="35"/>
      <c r="AI1048556" s="35"/>
      <c r="AJ1048556" s="53" t="b">
        <f aca="false">IFERROR(__xludf.dummyfunction("""COMPUTED_VALUE"""),TRUE())</f>
        <v>1</v>
      </c>
      <c r="AK1048556" s="53" t="b">
        <f aca="false">IFERROR(__xludf.dummyfunction("""COMPUTED_VALUE"""),TRUE())</f>
        <v>1</v>
      </c>
      <c r="AL1048556" s="35"/>
      <c r="AM1048556" s="35"/>
      <c r="AN1048556" s="35"/>
      <c r="AO1048556" s="46"/>
    </row>
    <row r="1048557" customFormat="false" ht="15.75" hidden="false" customHeight="true" outlineLevel="0" collapsed="false">
      <c r="A1048557" s="37" t="str">
        <f aca="false">IFERROR(__xludf.dummyfunction("""COMPUTED_VALUE"""),"Lịch sử")</f>
        <v>Lịch sử</v>
      </c>
      <c r="B1048557" s="37" t="str">
        <f aca="false">IFERROR(__xludf.dummyfunction("""COMPUTED_VALUE"""),"TOV_HSA_LS01")</f>
        <v>TOV_HSA_LS01</v>
      </c>
      <c r="C1048557" s="59" t="str">
        <f aca="false">IFERROR(__xludf.dummyfunction("""COMPUTED_VALUE"""),"Một số nền văn minh thế giới cổ - trung đại")</f>
        <v>Một số nền văn minh thế giới cổ - trung đại</v>
      </c>
      <c r="D1048557" s="39" t="str">
        <f aca="false">IFERROR(__xludf.dummyfunction("""COMPUTED_VALUE"""),"Dương Thị Huyền")</f>
        <v>Dương Thị Huyền</v>
      </c>
      <c r="E1048557" s="40" t="n">
        <f aca="false">IFERROR(__xludf.dummyfunction("""COMPUTED_VALUE"""),46206)</f>
        <v>46206</v>
      </c>
      <c r="F1048557" s="41" t="n">
        <f aca="false">IFERROR(__xludf.dummyfunction("""COMPUTED_VALUE"""),6)</f>
        <v>6</v>
      </c>
      <c r="G1048557" s="37" t="str">
        <f aca="false">IFERROR(__xludf.dummyfunction("""COMPUTED_VALUE"""),"21:30-23:30")</f>
        <v>21:30-23:30</v>
      </c>
      <c r="H1048557" s="37"/>
      <c r="I1048557" s="37"/>
      <c r="J1048557" s="42" t="str">
        <f aca="false">IFERROR(__xludf.dummyfunction("""COMPUTED_VALUE"""),"https://drive.google.com/drive/folders/1DRNlxn83BWIcDQxYT7x81ccGFKJv8AJo")</f>
        <v>https://drive.google.com/drive/folders/1DRNlxn83BWIcDQxYT7x81ccGFKJv8AJo</v>
      </c>
      <c r="K1048557" s="68" t="str">
        <f aca="false">IFERROR(__xludf.dummyfunction("""COMPUTED_VALUE"""),"Trinhntt")</f>
        <v>Trinhntt</v>
      </c>
      <c r="L1048557" s="68" t="str">
        <f aca="false">IFERROR(__xludf.dummyfunction("""COMPUTED_VALUE"""),"Phan Đức Kiên")</f>
        <v>Phan Đức Kiên</v>
      </c>
      <c r="M1048557" s="71"/>
      <c r="N1048557" s="77" t="str">
        <f aca="false">IFERROR(__xludf.dummyfunction("""COMPUTED_VALUE"""),"3122")</f>
        <v>3122</v>
      </c>
      <c r="O1048557" s="63" t="n">
        <f aca="false">IFERROR(__xludf.dummyfunction("""COMPUTED_VALUE"""),174728)</f>
        <v>174728</v>
      </c>
      <c r="P1048557" s="63"/>
      <c r="Q1048557" s="63"/>
      <c r="R1048557" s="41"/>
      <c r="S1048557" s="41"/>
      <c r="T1048557" s="63"/>
      <c r="U1048557" s="63"/>
      <c r="V1048557" s="70" t="n">
        <f aca="false">IFERROR(__xludf.dummyfunction("""COMPUTED_VALUE"""),46209)</f>
        <v>46209</v>
      </c>
      <c r="W1048557" s="39" t="str">
        <f aca="false">IFERROR(__xludf.dummyfunction("""COMPUTED_VALUE"""),"Hoàn thành XB")</f>
        <v>Hoàn thành XB</v>
      </c>
      <c r="X1048557" s="41" t="str">
        <f aca="false">IFERROR(__xludf.dummyfunction("""COMPUTED_VALUE"""),"Trinhntt")</f>
        <v>Trinhntt</v>
      </c>
      <c r="Y1048557" s="44"/>
      <c r="Z1048557" s="57" t="str">
        <f aca="false">IFERROR(__xludf.dummyfunction("""COMPUTED_VALUE"""),"#N/A")</f>
        <v>#N/A</v>
      </c>
      <c r="AA1048557" s="57"/>
      <c r="AB1048557" s="41"/>
      <c r="AC1048557" s="57" t="str">
        <f aca="false">IFERROR(__xludf.dummyfunction("""COMPUTED_VALUE"""),"gv.huyendt2@hocmai.edu.vn")</f>
        <v>gv.huyendt2@hocmai.edu.vn</v>
      </c>
      <c r="AD1048557" s="46" t="str">
        <f aca="false">IFERROR(__xludf.dummyfunction("""COMPUTED_VALUE"""),"duckien010607@gmail.com")</f>
        <v>duckien010607@gmail.com</v>
      </c>
      <c r="AE1048557" s="46"/>
      <c r="AF1048557" s="74" t="b">
        <f aca="false">IFERROR(__xludf.dummyfunction("""COMPUTED_VALUE"""),FALSE())</f>
        <v>0</v>
      </c>
      <c r="AG1048557" s="46" t="str">
        <f aca="false">IFERROR(__xludf.dummyfunction("""COMPUTED_VALUE"""),"")</f>
        <v/>
      </c>
      <c r="AH1048557" s="35"/>
      <c r="AI1048557" s="35"/>
      <c r="AJ1048557" s="53" t="b">
        <f aca="false">IFERROR(__xludf.dummyfunction("""COMPUTED_VALUE"""),TRUE())</f>
        <v>1</v>
      </c>
      <c r="AK1048557" s="53" t="b">
        <f aca="false">IFERROR(__xludf.dummyfunction("""COMPUTED_VALUE"""),TRUE())</f>
        <v>1</v>
      </c>
      <c r="AL1048557" s="35"/>
      <c r="AM1048557" s="35"/>
      <c r="AN1048557" s="35"/>
      <c r="AO1048557" s="46"/>
    </row>
    <row r="1048558" customFormat="false" ht="15.75" hidden="false" customHeight="true" outlineLevel="0" collapsed="false">
      <c r="A1048558" s="37" t="str">
        <f aca="false">IFERROR(__xludf.dummyfunction("""COMPUTED_VALUE"""),"Hóa học")</f>
        <v>Hóa học</v>
      </c>
      <c r="B1048558" s="37" t="str">
        <f aca="false">IFERROR(__xludf.dummyfunction("""COMPUTED_VALUE"""),"TOV_TSA_H02")</f>
        <v>TOV_TSA_H02</v>
      </c>
      <c r="C1048558" s="59" t="str">
        <f aca="false">IFERROR(__xludf.dummyfunction("""COMPUTED_VALUE"""),"Liên kết hóa học và Cấu trúc phân tử")</f>
        <v>Liên kết hóa học và Cấu trúc phân tử</v>
      </c>
      <c r="D1048558" s="39" t="str">
        <f aca="false">IFERROR(__xludf.dummyfunction("""COMPUTED_VALUE"""),"Vũ Khắc Ngọc")</f>
        <v>Vũ Khắc Ngọc</v>
      </c>
      <c r="E1048558" s="40" t="n">
        <f aca="false">IFERROR(__xludf.dummyfunction("""COMPUTED_VALUE"""),46207)</f>
        <v>46207</v>
      </c>
      <c r="F1048558" s="41" t="n">
        <f aca="false">IFERROR(__xludf.dummyfunction("""COMPUTED_VALUE"""),7)</f>
        <v>7</v>
      </c>
      <c r="G1048558" s="37" t="str">
        <f aca="false">IFERROR(__xludf.dummyfunction("""COMPUTED_VALUE"""),"21:30-23:30")</f>
        <v>21:30-23:30</v>
      </c>
      <c r="H1048558" s="42" t="str">
        <f aca="false">IFERROR(__xludf.dummyfunction("""COMPUTED_VALUE"""),"https://hocmai.vn/mod/scorm/view_file.php?id=181875")</f>
        <v>https://hocmai.vn/mod/scorm/view_file.php?id=181875</v>
      </c>
      <c r="I1048558" s="42" t="str">
        <f aca="false">IFERROR(__xludf.dummyfunction("""COMPUTED_VALUE"""),"https://hocmai.vn/mod/scorm/view_file.php?id=181972")</f>
        <v>https://hocmai.vn/mod/scorm/view_file.php?id=181972</v>
      </c>
      <c r="J1048558" s="42" t="str">
        <f aca="false">IFERROR(__xludf.dummyfunction("""COMPUTED_VALUE"""),"https://drive.google.com/drive/folders/1gUrva5r60XZM5xYB8o0lMIOf3J5euWNU?usp=drive_link")</f>
        <v>https://drive.google.com/drive/folders/1gUrva5r60XZM5xYB8o0lMIOf3J5euWNU?usp=drive_link</v>
      </c>
      <c r="K1048558" s="68" t="str">
        <f aca="false">IFERROR(__xludf.dummyfunction("""COMPUTED_VALUE"""),"Huebt")</f>
        <v>Huebt</v>
      </c>
      <c r="L1048558" s="68" t="str">
        <f aca="false">IFERROR(__xludf.dummyfunction("""COMPUTED_VALUE"""),"Bùi Vĩnh Thọ")</f>
        <v>Bùi Vĩnh Thọ</v>
      </c>
      <c r="M1048558" s="71"/>
      <c r="N1048558" s="77" t="str">
        <f aca="false">IFERROR(__xludf.dummyfunction("""COMPUTED_VALUE"""),"3110")</f>
        <v>3110</v>
      </c>
      <c r="O1048558" s="63" t="n">
        <f aca="false">IFERROR(__xludf.dummyfunction("""COMPUTED_VALUE"""),167251)</f>
        <v>167251</v>
      </c>
      <c r="P1048558" s="63"/>
      <c r="Q1048558" s="63"/>
      <c r="R1048558" s="41"/>
      <c r="S1048558" s="41"/>
      <c r="T1048558" s="63" t="n">
        <f aca="false">IFERROR(__xludf.dummyfunction("""COMPUTED_VALUE"""),23842)</f>
        <v>23842</v>
      </c>
      <c r="U1048558" s="63" t="n">
        <f aca="false">IFERROR(__xludf.dummyfunction("""COMPUTED_VALUE"""),10600)</f>
        <v>10600</v>
      </c>
      <c r="V1048558" s="70" t="n">
        <f aca="false">IFERROR(__xludf.dummyfunction("""COMPUTED_VALUE"""),46210)</f>
        <v>46210</v>
      </c>
      <c r="W1048558" s="39" t="str">
        <f aca="false">IFERROR(__xludf.dummyfunction("""COMPUTED_VALUE"""),"Hoàn thành XB")</f>
        <v>Hoàn thành XB</v>
      </c>
      <c r="X1048558" s="41" t="str">
        <f aca="false">IFERROR(__xludf.dummyfunction("""COMPUTED_VALUE"""),"Huebt")</f>
        <v>Huebt</v>
      </c>
      <c r="Y1048558" s="44" t="str">
        <f aca="false">IFERROR(__xludf.dummyfunction("""COMPUTED_VALUE"""),"done")</f>
        <v>done</v>
      </c>
      <c r="Z1048558" s="57" t="str">
        <f aca="false">IFERROR(__xludf.dummyfunction("""COMPUTED_VALUE"""),"#N/A")</f>
        <v>#N/A</v>
      </c>
      <c r="AA1048558" s="57"/>
      <c r="AB1048558" s="41" t="n">
        <f aca="false">IFERROR(__xludf.dummyfunction("""COMPUTED_VALUE"""),7)</f>
        <v>7</v>
      </c>
      <c r="AC1048558" s="57" t="str">
        <f aca="false">IFERROR(__xludf.dummyfunction("""COMPUTED_VALUE"""),"gv.ngocvk@hocmai.edu.vn")</f>
        <v>gv.ngocvk@hocmai.edu.vn</v>
      </c>
      <c r="AD1048558" s="46" t="str">
        <f aca="false">IFERROR(__xludf.dummyfunction("""COMPUTED_VALUE"""),"vinhtho0704@gmail.com")</f>
        <v>vinhtho0704@gmail.com</v>
      </c>
      <c r="AE1048558" s="46"/>
      <c r="AF1048558" s="74" t="b">
        <f aca="false">IFERROR(__xludf.dummyfunction("""COMPUTED_VALUE"""),FALSE())</f>
        <v>0</v>
      </c>
      <c r="AG1048558" s="46" t="str">
        <f aca="false">IFERROR(__xludf.dummyfunction("""COMPUTED_VALUE"""),"")</f>
        <v/>
      </c>
      <c r="AH1048558" s="35"/>
      <c r="AI1048558" s="53" t="b">
        <f aca="false">IFERROR(__xludf.dummyfunction("""COMPUTED_VALUE"""),TRUE())</f>
        <v>1</v>
      </c>
      <c r="AJ1048558" s="35"/>
      <c r="AK1048558" s="35"/>
      <c r="AL1048558" s="35"/>
      <c r="AM1048558" s="35"/>
      <c r="AN1048558" s="35"/>
      <c r="AO1048558" s="46"/>
    </row>
    <row r="1048559" customFormat="false" ht="15.75" hidden="false" customHeight="true" outlineLevel="0" collapsed="false">
      <c r="A1048559" s="37" t="str">
        <f aca="false">IFERROR(__xludf.dummyfunction("""COMPUTED_VALUE"""),"Khoa học")</f>
        <v>Khoa học</v>
      </c>
      <c r="B1048559" s="37" t="str">
        <f aca="false">IFERROR(__xludf.dummyfunction("""COMPUTED_VALUE"""),"TOS_V-ACT_KH03")</f>
        <v>TOS_V-ACT_KH03</v>
      </c>
      <c r="C1048559" s="59" t="str">
        <f aca="false">IFERROR(__xludf.dummyfunction("""COMPUTED_VALUE"""),"Thực hành kỹ năng scan &amp; skim – Chọn từ khóa trong văn bản khoa học (P1)")</f>
        <v>Thực hành kỹ năng scan &amp; skim – Chọn từ khóa trong văn bản khoa học (P1)</v>
      </c>
      <c r="D1048559" s="39" t="str">
        <f aca="false">IFERROR(__xludf.dummyfunction("""COMPUTED_VALUE"""),"Lê Văn Minh")</f>
        <v>Lê Văn Minh</v>
      </c>
      <c r="E1048559" s="40" t="n">
        <f aca="false">IFERROR(__xludf.dummyfunction("""COMPUTED_VALUE"""),46207)</f>
        <v>46207</v>
      </c>
      <c r="F1048559" s="41" t="n">
        <f aca="false">IFERROR(__xludf.dummyfunction("""COMPUTED_VALUE"""),7)</f>
        <v>7</v>
      </c>
      <c r="G1048559" s="37" t="str">
        <f aca="false">IFERROR(__xludf.dummyfunction("""COMPUTED_VALUE"""),"20:30-22:00")</f>
        <v>20:30-22:00</v>
      </c>
      <c r="H1048559" s="42" t="str">
        <f aca="false">IFERROR(__xludf.dummyfunction("""COMPUTED_VALUE"""),"https://hocmai.vn/course/Tai_lieu_bai_giang/SLKH_2627/TLHS_TOS_V-ACT_KH03.pdf")</f>
        <v>https://hocmai.vn/course/Tai_lieu_bai_giang/SLKH_2627/TLHS_TOS_V-ACT_KH03.pdf</v>
      </c>
      <c r="I1048559" s="42" t="str">
        <f aca="false">IFERROR(__xludf.dummyfunction("""COMPUTED_VALUE"""),"https://hocmai.vn/file.php/3126/Bai_tap_tu_luyen/26-27/NVHT_TOV_V-ACT_KH03_Thuc_hanh_ky_nang_scan_skim_-_Chon_tu_khoa_trong_van_ban_khoa_hoc.pdf")</f>
        <v>https://hocmai.vn/file.php/3126/Bai_tap_tu_luyen/26-27/NVHT_TOV_V-ACT_KH03_Thuc_hanh_ky_nang_scan_skim_-_Chon_tu_khoa_trong_van_ban_khoa_hoc.pdf</v>
      </c>
      <c r="J1048559" s="42" t="str">
        <f aca="false">IFERROR(__xludf.dummyfunction("""COMPUTED_VALUE"""),"https://drive.google.com/drive/folders/18iwJXG0_MBWTsGk6h-d-0P1sdSJLCOhG?usp=drive_link")</f>
        <v>https://drive.google.com/drive/folders/18iwJXG0_MBWTsGk6h-d-0P1sdSJLCOhG?usp=drive_link</v>
      </c>
      <c r="K1048559" s="68" t="str">
        <f aca="false">IFERROR(__xludf.dummyfunction("""COMPUTED_VALUE"""),"Kimnq")</f>
        <v>Kimnq</v>
      </c>
      <c r="L1048559" s="68" t="str">
        <f aca="false">IFERROR(__xludf.dummyfunction("""COMPUTED_VALUE"""),"Lê Quốc Việt")</f>
        <v>Lê Quốc Việt</v>
      </c>
      <c r="M1048559" s="71"/>
      <c r="N1048559" s="77" t="str">
        <f aca="false">IFERROR(__xludf.dummyfunction("""COMPUTED_VALUE"""),"3340,3126")</f>
        <v>3340,3126</v>
      </c>
      <c r="O1048559" s="73" t="n">
        <f aca="false">IFERROR(__xludf.dummyfunction("""COMPUTED_VALUE"""),167494.167379)</f>
        <v>167494.167379</v>
      </c>
      <c r="P1048559" s="63"/>
      <c r="Q1048559" s="63"/>
      <c r="R1048559" s="41"/>
      <c r="S1048559" s="41"/>
      <c r="T1048559" s="63"/>
      <c r="U1048559" s="63"/>
      <c r="V1048559" s="70" t="n">
        <f aca="false">IFERROR(__xludf.dummyfunction("""COMPUTED_VALUE"""),46210)</f>
        <v>46210</v>
      </c>
      <c r="W1048559" s="39" t="str">
        <f aca="false">IFERROR(__xludf.dummyfunction("""COMPUTED_VALUE"""),"Hoàn thành XB")</f>
        <v>Hoàn thành XB</v>
      </c>
      <c r="X1048559" s="41" t="str">
        <f aca="false">IFERROR(__xludf.dummyfunction("""COMPUTED_VALUE"""),"Kimnq")</f>
        <v>Kimnq</v>
      </c>
      <c r="Y1048559" s="44" t="str">
        <f aca="false">IFERROR(__xludf.dummyfunction("""COMPUTED_VALUE"""),"done")</f>
        <v>done</v>
      </c>
      <c r="Z1048559" s="57" t="str">
        <f aca="false">IFERROR(__xludf.dummyfunction("""COMPUTED_VALUE"""),"#N/A")</f>
        <v>#N/A</v>
      </c>
      <c r="AA1048559" s="57"/>
      <c r="AB1048559" s="41" t="n">
        <f aca="false">IFERROR(__xludf.dummyfunction("""COMPUTED_VALUE"""),7)</f>
        <v>7</v>
      </c>
      <c r="AC1048559" s="57" t="str">
        <f aca="false">IFERROR(__xludf.dummyfunction("""COMPUTED_VALUE"""),"gv.minhlv@hocmai.edu.vn		")</f>
        <v>gv.minhlv@hocmai.edu.vn		</v>
      </c>
      <c r="AD1048559" s="46" t="str">
        <f aca="false">IFERROR(__xludf.dummyfunction("""COMPUTED_VALUE"""),"Ralph02091@gmail.com")</f>
        <v>Ralph02091@gmail.com</v>
      </c>
      <c r="AE1048559" s="46"/>
      <c r="AF1048559" s="47" t="str">
        <f aca="false">IFERROR(__xludf.dummyfunction("""COMPUTED_VALUE"""),"lophoctoan-946207")</f>
        <v>lophoctoan-946207</v>
      </c>
      <c r="AG1048559" s="46" t="str">
        <f aca="false">IFERROR(__xludf.dummyfunction("""COMPUTED_VALUE"""),"")</f>
        <v/>
      </c>
      <c r="AH1048559" s="35"/>
      <c r="AI1048559" s="35"/>
      <c r="AJ1048559" s="35"/>
      <c r="AK1048559" s="35"/>
      <c r="AL1048559" s="35"/>
      <c r="AM1048559" s="53" t="b">
        <f aca="false">IFERROR(__xludf.dummyfunction("""COMPUTED_VALUE"""),TRUE())</f>
        <v>1</v>
      </c>
      <c r="AN1048559" s="53" t="b">
        <f aca="false">IFERROR(__xludf.dummyfunction("""COMPUTED_VALUE"""),TRUE())</f>
        <v>1</v>
      </c>
      <c r="AO1048559" s="46"/>
    </row>
    <row r="1048560" customFormat="false" ht="15.75" hidden="false" customHeight="true" outlineLevel="0" collapsed="false">
      <c r="A1048560" s="37" t="str">
        <f aca="false">IFERROR(__xludf.dummyfunction("""COMPUTED_VALUE"""),"Toán")</f>
        <v>Toán</v>
      </c>
      <c r="B1048560" s="37" t="str">
        <f aca="false">IFERROR(__xludf.dummyfunction("""COMPUTED_VALUE"""),"NT_N_12")</f>
        <v>NT_N_12</v>
      </c>
      <c r="C1048560" s="59" t="str">
        <f aca="false">IFERROR(__xludf.dummyfunction("""COMPUTED_VALUE"""),"Tiệm cận của đồ thị hàm số (P2)")</f>
        <v>Tiệm cận của đồ thị hàm số (P2)</v>
      </c>
      <c r="D1048560" s="39" t="str">
        <f aca="false">IFERROR(__xludf.dummyfunction("""COMPUTED_VALUE"""),"Nguyễn Hoài Nam")</f>
        <v>Nguyễn Hoài Nam</v>
      </c>
      <c r="E1048560" s="40" t="n">
        <f aca="false">IFERROR(__xludf.dummyfunction("""COMPUTED_VALUE"""),46208)</f>
        <v>46208</v>
      </c>
      <c r="F1048560" s="41" t="str">
        <f aca="false">IFERROR(__xludf.dummyfunction("""COMPUTED_VALUE"""),"CN")</f>
        <v>CN</v>
      </c>
      <c r="G1048560" s="37" t="str">
        <f aca="false">IFERROR(__xludf.dummyfunction("""COMPUTED_VALUE"""),"21:00-22:30")</f>
        <v>21:00-22:30</v>
      </c>
      <c r="H1048560" s="42" t="str">
        <f aca="false">IFERROR(__xludf.dummyfunction("""COMPUTED_VALUE"""),"https://hocmai.vn/mod/scorm/view_file.php?inpopup=true&amp;id=181852")</f>
        <v>https://hocmai.vn/mod/scorm/view_file.php?inpopup=true&amp;id=181852</v>
      </c>
      <c r="I1048560" s="42" t="str">
        <f aca="false">IFERROR(__xludf.dummyfunction("""COMPUTED_VALUE"""),"https://hocmai.vn/mod/scorm/view_file.php?inpopup=true&amp;id=181872")</f>
        <v>https://hocmai.vn/mod/scorm/view_file.php?inpopup=true&amp;id=181872</v>
      </c>
      <c r="J1048560" s="42" t="str">
        <f aca="false">IFERROR(__xludf.dummyfunction("""COMPUTED_VALUE"""),"https://drive.google.com/drive/folders/1MqVPVpPTgcqFHaRXhRkRTMunoJ4ePZ1X?usp=sharing")</f>
        <v>https://drive.google.com/drive/folders/1MqVPVpPTgcqFHaRXhRkRTMunoJ4ePZ1X?usp=sharing</v>
      </c>
      <c r="K1048560" s="68" t="str">
        <f aca="false">IFERROR(__xludf.dummyfunction("""COMPUTED_VALUE"""),"lent")</f>
        <v>lent</v>
      </c>
      <c r="L1048560" s="68" t="str">
        <f aca="false">IFERROR(__xludf.dummyfunction("""COMPUTED_VALUE"""),"Tưởng Thị Huyền Trang")</f>
        <v>Tưởng Thị Huyền Trang</v>
      </c>
      <c r="M1048560" s="69" t="str">
        <f aca="false">IFERROR(__xludf.dummyfunction("""COMPUTED_VALUE"""),"https://hocmai.sharepoint.com/Education_Development/Lists/San_xuat_video/DispForm.aspx?ID=12199")</f>
        <v>https://hocmai.sharepoint.com/Education_Development/Lists/San_xuat_video/DispForm.aspx?ID=12199</v>
      </c>
      <c r="N1048560" s="78" t="n">
        <f aca="false">IFERROR(__xludf.dummyfunction("""COMPUTED_VALUE"""),3313)</f>
        <v>3313</v>
      </c>
      <c r="O1048560" s="63" t="n">
        <f aca="false">IFERROR(__xludf.dummyfunction("""COMPUTED_VALUE"""),166637)</f>
        <v>166637</v>
      </c>
      <c r="P1048560" s="63"/>
      <c r="Q1048560" s="63" t="n">
        <f aca="false">IFERROR(__xludf.dummyfunction("""COMPUTED_VALUE"""),8020)</f>
        <v>8020</v>
      </c>
      <c r="R1048560" s="41"/>
      <c r="S1048560" s="41"/>
      <c r="T1048560" s="63" t="n">
        <f aca="false">IFERROR(__xludf.dummyfunction("""COMPUTED_VALUE"""),8021)</f>
        <v>8021</v>
      </c>
      <c r="U1048560" s="63" t="n">
        <f aca="false">IFERROR(__xludf.dummyfunction("""COMPUTED_VALUE"""),23829)</f>
        <v>23829</v>
      </c>
      <c r="V1048560" s="70" t="n">
        <f aca="false">IFERROR(__xludf.dummyfunction("""COMPUTED_VALUE"""),46210)</f>
        <v>46210</v>
      </c>
      <c r="W1048560" s="39" t="str">
        <f aca="false">IFERROR(__xludf.dummyfunction("""COMPUTED_VALUE"""),"Hoàn thành XB")</f>
        <v>Hoàn thành XB</v>
      </c>
      <c r="X1048560" s="41" t="str">
        <f aca="false">IFERROR(__xludf.dummyfunction("""COMPUTED_VALUE"""),"Huent7")</f>
        <v>Huent7</v>
      </c>
      <c r="Y1048560" s="44"/>
      <c r="Z1048560" s="57"/>
      <c r="AA1048560" s="57"/>
      <c r="AB1048560" s="41" t="n">
        <f aca="false">IFERROR(__xludf.dummyfunction("""COMPUTED_VALUE"""),7)</f>
        <v>7</v>
      </c>
      <c r="AC1048560" s="57"/>
      <c r="AD1048560" s="46"/>
      <c r="AE1048560" s="46"/>
      <c r="AF1048560" s="47" t="str">
        <f aca="false">IFERROR(__xludf.dummyfunction("""COMPUTED_VALUE"""),"lophoctoan-946208")</f>
        <v>lophoctoan-946208</v>
      </c>
      <c r="AG1048560" s="46" t="str">
        <f aca="false">IFERROR(__xludf.dummyfunction("""COMPUTED_VALUE"""),"")</f>
        <v/>
      </c>
      <c r="AH1048560" s="53" t="b">
        <f aca="false">IFERROR(__xludf.dummyfunction("""COMPUTED_VALUE"""),TRUE())</f>
        <v>1</v>
      </c>
      <c r="AI1048560" s="35"/>
      <c r="AJ1048560" s="35"/>
      <c r="AK1048560" s="35"/>
      <c r="AL1048560" s="35"/>
      <c r="AM1048560" s="35"/>
      <c r="AN1048560" s="35"/>
      <c r="AO1048560" s="46"/>
    </row>
    <row r="1048561" customFormat="false" ht="15.75" hidden="false" customHeight="true" outlineLevel="0" collapsed="false">
      <c r="A1048561" s="37" t="str">
        <f aca="false">IFERROR(__xludf.dummyfunction("""COMPUTED_VALUE"""),"Toán")</f>
        <v>Toán</v>
      </c>
      <c r="B1048561" s="37" t="str">
        <f aca="false">IFERROR(__xludf.dummyfunction("""COMPUTED_VALUE"""),"NT_T_28")</f>
        <v>NT_T_28</v>
      </c>
      <c r="C1048561" s="59" t="str">
        <f aca="false">IFERROR(__xludf.dummyfunction("""COMPUTED_VALUE"""),"Ứng dụng tích phân tính diện tích hình phẳng")</f>
        <v>Ứng dụng tích phân tính diện tích hình phẳng</v>
      </c>
      <c r="D1048561" s="39" t="str">
        <f aca="false">IFERROR(__xludf.dummyfunction("""COMPUTED_VALUE"""),"Nguyễn Thanh Tùng")</f>
        <v>Nguyễn Thanh Tùng</v>
      </c>
      <c r="E1048561" s="40" t="n">
        <f aca="false">IFERROR(__xludf.dummyfunction("""COMPUTED_VALUE"""),46208)</f>
        <v>46208</v>
      </c>
      <c r="F1048561" s="41" t="str">
        <f aca="false">IFERROR(__xludf.dummyfunction("""COMPUTED_VALUE"""),"CN")</f>
        <v>CN</v>
      </c>
      <c r="G1048561" s="37" t="str">
        <f aca="false">IFERROR(__xludf.dummyfunction("""COMPUTED_VALUE"""),"18:00-20:00")</f>
        <v>18:00-20:00</v>
      </c>
      <c r="H1048561" s="42" t="str">
        <f aca="false">IFERROR(__xludf.dummyfunction("""COMPUTED_VALUE"""),"https://hocmai.vn/mod/scorm/view_file.php?id=181936")</f>
        <v>https://hocmai.vn/mod/scorm/view_file.php?id=181936</v>
      </c>
      <c r="I1048561" s="37"/>
      <c r="J1048561" s="42" t="str">
        <f aca="false">IFERROR(__xludf.dummyfunction("""COMPUTED_VALUE"""),"https://drive.google.com/drive/folders/1H6a_VXK2aw7mQo1-mWgAen_3dDZyslMI?usp=drive_link")</f>
        <v>https://drive.google.com/drive/folders/1H6a_VXK2aw7mQo1-mWgAen_3dDZyslMI?usp=drive_link</v>
      </c>
      <c r="K1048561" s="68" t="str">
        <f aca="false">IFERROR(__xludf.dummyfunction("""COMPUTED_VALUE"""),"Chientd2")</f>
        <v>Chientd2</v>
      </c>
      <c r="L1048561" s="68" t="str">
        <f aca="false">IFERROR(__xludf.dummyfunction("""COMPUTED_VALUE"""),"Tưởng Thị Huyền Trang")</f>
        <v>Tưởng Thị Huyền Trang</v>
      </c>
      <c r="M1048561" s="69" t="str">
        <f aca="false">IFERROR(__xludf.dummyfunction("""COMPUTED_VALUE"""),"https://hocmai.sharepoint.com/Education_Development/Lists/San_xuat_video/DispForm.aspx?ID=12167")</f>
        <v>https://hocmai.sharepoint.com/Education_Development/Lists/San_xuat_video/DispForm.aspx?ID=12167</v>
      </c>
      <c r="N1048561" s="63" t="n">
        <f aca="false">IFERROR(__xludf.dummyfunction("""COMPUTED_VALUE"""),3312)</f>
        <v>3312</v>
      </c>
      <c r="O1048561" s="63" t="n">
        <f aca="false">IFERROR(__xludf.dummyfunction("""COMPUTED_VALUE"""),166561)</f>
        <v>166561</v>
      </c>
      <c r="P1048561" s="63"/>
      <c r="Q1048561" s="63" t="n">
        <f aca="false">IFERROR(__xludf.dummyfunction("""COMPUTED_VALUE"""),7938)</f>
        <v>7938</v>
      </c>
      <c r="R1048561" s="41"/>
      <c r="S1048561" s="41"/>
      <c r="T1048561" s="63" t="n">
        <f aca="false">IFERROR(__xludf.dummyfunction("""COMPUTED_VALUE"""),7939)</f>
        <v>7939</v>
      </c>
      <c r="U1048561" s="63" t="n">
        <f aca="false">IFERROR(__xludf.dummyfunction("""COMPUTED_VALUE"""),23836)</f>
        <v>23836</v>
      </c>
      <c r="V1048561" s="70" t="n">
        <f aca="false">IFERROR(__xludf.dummyfunction("""COMPUTED_VALUE"""),46211)</f>
        <v>46211</v>
      </c>
      <c r="W1048561" s="39" t="str">
        <f aca="false">IFERROR(__xludf.dummyfunction("""COMPUTED_VALUE"""),"Hoàn thành XB")</f>
        <v>Hoàn thành XB</v>
      </c>
      <c r="X1048561" s="41" t="str">
        <f aca="false">IFERROR(__xludf.dummyfunction("""COMPUTED_VALUE"""),"Huent7")</f>
        <v>Huent7</v>
      </c>
      <c r="Y1048561" s="44"/>
      <c r="Z1048561" s="57"/>
      <c r="AA1048561" s="57"/>
      <c r="AB1048561" s="41" t="n">
        <f aca="false">IFERROR(__xludf.dummyfunction("""COMPUTED_VALUE"""),7)</f>
        <v>7</v>
      </c>
      <c r="AC1048561" s="57"/>
      <c r="AD1048561" s="46"/>
      <c r="AE1048561" s="46"/>
      <c r="AF1048561" s="47" t="str">
        <f aca="false">IFERROR(__xludf.dummyfunction("""COMPUTED_VALUE"""),"lophoctoan-946208")</f>
        <v>lophoctoan-946208</v>
      </c>
      <c r="AG1048561" s="46" t="str">
        <f aca="false">IFERROR(__xludf.dummyfunction("""COMPUTED_VALUE"""),"")</f>
        <v/>
      </c>
      <c r="AH1048561" s="53" t="b">
        <f aca="false">IFERROR(__xludf.dummyfunction("""COMPUTED_VALUE"""),TRUE())</f>
        <v>1</v>
      </c>
      <c r="AI1048561" s="35"/>
      <c r="AJ1048561" s="35"/>
      <c r="AK1048561" s="35"/>
      <c r="AL1048561" s="35"/>
      <c r="AM1048561" s="35"/>
      <c r="AN1048561" s="35"/>
      <c r="AO1048561" s="46"/>
    </row>
    <row r="1048562" customFormat="false" ht="15.75" hidden="false" customHeight="true" outlineLevel="0" collapsed="false">
      <c r="A1048562" s="37" t="str">
        <f aca="false">IFERROR(__xludf.dummyfunction("""COMPUTED_VALUE"""),"Toán")</f>
        <v>Toán</v>
      </c>
      <c r="B1048562" s="37" t="str">
        <f aca="false">IFERROR(__xludf.dummyfunction("""COMPUTED_VALUE"""),"TOV_TSA_T03")</f>
        <v>TOV_TSA_T03</v>
      </c>
      <c r="C1048562" s="59" t="str">
        <f aca="false">IFERROR(__xludf.dummyfunction("""COMPUTED_VALUE"""),"Số nguyên tố và cách khai thác các tính chất đặc biệt")</f>
        <v>Số nguyên tố và cách khai thác các tính chất đặc biệt</v>
      </c>
      <c r="D1048562" s="39" t="str">
        <f aca="false">IFERROR(__xludf.dummyfunction("""COMPUTED_VALUE"""),"Nguyễn Thanh Tùng")</f>
        <v>Nguyễn Thanh Tùng</v>
      </c>
      <c r="E1048562" s="40" t="n">
        <f aca="false">IFERROR(__xludf.dummyfunction("""COMPUTED_VALUE"""),46209)</f>
        <v>46209</v>
      </c>
      <c r="F1048562" s="41" t="n">
        <f aca="false">IFERROR(__xludf.dummyfunction("""COMPUTED_VALUE"""),2)</f>
        <v>2</v>
      </c>
      <c r="G1048562" s="37" t="str">
        <f aca="false">IFERROR(__xludf.dummyfunction("""COMPUTED_VALUE"""),"18:00-20:00")</f>
        <v>18:00-20:00</v>
      </c>
      <c r="H1048562" s="37"/>
      <c r="I1048562" s="37"/>
      <c r="J1048562" s="42" t="str">
        <f aca="false">IFERROR(__xludf.dummyfunction("""COMPUTED_VALUE"""),"https://drive.google.com/drive/folders/1boNsHg1B2cYvBkN4uFp3Wcdfayr5zPE2?usp=drive_link")</f>
        <v>https://drive.google.com/drive/folders/1boNsHg1B2cYvBkN4uFp3Wcdfayr5zPE2?usp=drive_link</v>
      </c>
      <c r="K1048562" s="68" t="str">
        <f aca="false">IFERROR(__xludf.dummyfunction("""COMPUTED_VALUE"""),"Locdd")</f>
        <v>Locdd</v>
      </c>
      <c r="L1048562" s="68" t="str">
        <f aca="false">IFERROR(__xludf.dummyfunction("""COMPUTED_VALUE"""),"Phạm Quang Thành")</f>
        <v>Phạm Quang Thành</v>
      </c>
      <c r="M1048562" s="71"/>
      <c r="N1048562" s="77" t="str">
        <f aca="false">IFERROR(__xludf.dummyfunction("""COMPUTED_VALUE"""),"3108")</f>
        <v>3108</v>
      </c>
      <c r="O1048562" s="63" t="n">
        <f aca="false">IFERROR(__xludf.dummyfunction("""COMPUTED_VALUE"""),168360)</f>
        <v>168360</v>
      </c>
      <c r="P1048562" s="63"/>
      <c r="Q1048562" s="63"/>
      <c r="R1048562" s="41"/>
      <c r="S1048562" s="41"/>
      <c r="T1048562" s="63"/>
      <c r="U1048562" s="63"/>
      <c r="V1048562" s="70" t="n">
        <f aca="false">IFERROR(__xludf.dummyfunction("""COMPUTED_VALUE"""),46212)</f>
        <v>46212</v>
      </c>
      <c r="W1048562" s="39" t="str">
        <f aca="false">IFERROR(__xludf.dummyfunction("""COMPUTED_VALUE"""),"Hoàn thành XB")</f>
        <v>Hoàn thành XB</v>
      </c>
      <c r="X1048562" s="41" t="str">
        <f aca="false">IFERROR(__xludf.dummyfunction("""COMPUTED_VALUE"""),"Locdd")</f>
        <v>Locdd</v>
      </c>
      <c r="Y1048562" s="44" t="str">
        <f aca="false">IFERROR(__xludf.dummyfunction("""COMPUTED_VALUE"""),"done")</f>
        <v>done</v>
      </c>
      <c r="Z1048562" s="57" t="str">
        <f aca="false">IFERROR(__xludf.dummyfunction("""COMPUTED_VALUE"""),"#N/A")</f>
        <v>#N/A</v>
      </c>
      <c r="AA1048562" s="57"/>
      <c r="AB1048562" s="41" t="n">
        <f aca="false">IFERROR(__xludf.dummyfunction("""COMPUTED_VALUE"""),7)</f>
        <v>7</v>
      </c>
      <c r="AC1048562" s="57" t="str">
        <f aca="false">IFERROR(__xludf.dummyfunction("""COMPUTED_VALUE"""),"gv.tungnt@hocmai.edu.vn ")</f>
        <v>gv.tungnt@hocmai.edu.vn </v>
      </c>
      <c r="AD1048562" s="46" t="str">
        <f aca="false">IFERROR(__xludf.dummyfunction("""COMPUTED_VALUE"""),"nguyenquockhanh8823@gmail.com")</f>
        <v>nguyenquockhanh8823@gmail.com</v>
      </c>
      <c r="AE1048562" s="46"/>
      <c r="AF1048562" s="47" t="str">
        <f aca="false">IFERROR(__xludf.dummyfunction("""COMPUTED_VALUE"""),"lophoctoan-946209")</f>
        <v>lophoctoan-946209</v>
      </c>
      <c r="AG1048562" s="46" t="str">
        <f aca="false">IFERROR(__xludf.dummyfunction("""COMPUTED_VALUE"""),"")</f>
        <v/>
      </c>
      <c r="AH1048562" s="35"/>
      <c r="AI1048562" s="53" t="b">
        <f aca="false">IFERROR(__xludf.dummyfunction("""COMPUTED_VALUE"""),TRUE())</f>
        <v>1</v>
      </c>
      <c r="AJ1048562" s="35"/>
      <c r="AK1048562" s="35"/>
      <c r="AL1048562" s="35"/>
      <c r="AM1048562" s="35"/>
      <c r="AN1048562" s="35"/>
      <c r="AO1048562" s="46"/>
    </row>
    <row r="1048563" customFormat="false" ht="15.75" hidden="false" customHeight="true" outlineLevel="0" collapsed="false">
      <c r="A1048563" s="37" t="str">
        <f aca="false">IFERROR(__xludf.dummyfunction("""COMPUTED_VALUE"""),"Đọc hiểu")</f>
        <v>Đọc hiểu</v>
      </c>
      <c r="B1048563" s="37" t="str">
        <f aca="false">IFERROR(__xludf.dummyfunction("""COMPUTED_VALUE"""),"TOV_TSA_DH04")</f>
        <v>TOV_TSA_DH04</v>
      </c>
      <c r="C1048563" s="59" t="str">
        <f aca="false">IFERROR(__xludf.dummyfunction("""COMPUTED_VALUE"""),"Luyện đọc hiểu cấp độ từ ngữ và câu văn")</f>
        <v>Luyện đọc hiểu cấp độ từ ngữ và câu văn</v>
      </c>
      <c r="D1048563" s="39" t="str">
        <f aca="false">IFERROR(__xludf.dummyfunction("""COMPUTED_VALUE"""),"Vương Thúy Hằng")</f>
        <v>Vương Thúy Hằng</v>
      </c>
      <c r="E1048563" s="40" t="n">
        <f aca="false">IFERROR(__xludf.dummyfunction("""COMPUTED_VALUE"""),46209)</f>
        <v>46209</v>
      </c>
      <c r="F1048563" s="41" t="n">
        <f aca="false">IFERROR(__xludf.dummyfunction("""COMPUTED_VALUE"""),2)</f>
        <v>2</v>
      </c>
      <c r="G1048563" s="37" t="str">
        <f aca="false">IFERROR(__xludf.dummyfunction("""COMPUTED_VALUE"""),"21:30-23:30")</f>
        <v>21:30-23:30</v>
      </c>
      <c r="H1048563" s="37"/>
      <c r="I1048563" s="37"/>
      <c r="J1048563" s="42" t="str">
        <f aca="false">IFERROR(__xludf.dummyfunction("""COMPUTED_VALUE"""),"https://drive.google.com/file/d/15SJyriCQDzSCfpz0P9uGu00JKkb0-pnM/view?usp=drive_link")</f>
        <v>https://drive.google.com/file/d/15SJyriCQDzSCfpz0P9uGu00JKkb0-pnM/view?usp=drive_link</v>
      </c>
      <c r="K1048563" s="68" t="str">
        <f aca="false">IFERROR(__xludf.dummyfunction("""COMPUTED_VALUE"""),"Hangvt3")</f>
        <v>Hangvt3</v>
      </c>
      <c r="L1048563" s="68" t="str">
        <f aca="false">IFERROR(__xludf.dummyfunction("""COMPUTED_VALUE"""),"Phan Đức Kiên")</f>
        <v>Phan Đức Kiên</v>
      </c>
      <c r="M1048563" s="71"/>
      <c r="N1048563" s="77" t="str">
        <f aca="false">IFERROR(__xludf.dummyfunction("""COMPUTED_VALUE"""),"3109")</f>
        <v>3109</v>
      </c>
      <c r="O1048563" s="63" t="n">
        <f aca="false">IFERROR(__xludf.dummyfunction("""COMPUTED_VALUE"""),167227)</f>
        <v>167227</v>
      </c>
      <c r="P1048563" s="63"/>
      <c r="Q1048563" s="63"/>
      <c r="R1048563" s="41"/>
      <c r="S1048563" s="41"/>
      <c r="T1048563" s="63"/>
      <c r="U1048563" s="63"/>
      <c r="V1048563" s="70" t="n">
        <f aca="false">IFERROR(__xludf.dummyfunction("""COMPUTED_VALUE"""),46212)</f>
        <v>46212</v>
      </c>
      <c r="W1048563" s="39" t="str">
        <f aca="false">IFERROR(__xludf.dummyfunction("""COMPUTED_VALUE"""),"Hoàn thành XB")</f>
        <v>Hoàn thành XB</v>
      </c>
      <c r="X1048563" s="41" t="str">
        <f aca="false">IFERROR(__xludf.dummyfunction("""COMPUTED_VALUE"""),"Hoantt")</f>
        <v>Hoantt</v>
      </c>
      <c r="Y1048563" s="44" t="str">
        <f aca="false">IFERROR(__xludf.dummyfunction("""COMPUTED_VALUE"""),"done")</f>
        <v>done</v>
      </c>
      <c r="Z1048563" s="57" t="str">
        <f aca="false">IFERROR(__xludf.dummyfunction("""COMPUTED_VALUE"""),"#N/A")</f>
        <v>#N/A</v>
      </c>
      <c r="AA1048563" s="57"/>
      <c r="AB1048563" s="41" t="n">
        <f aca="false">IFERROR(__xludf.dummyfunction("""COMPUTED_VALUE"""),7)</f>
        <v>7</v>
      </c>
      <c r="AC1048563" s="57" t="str">
        <f aca="false">IFERROR(__xludf.dummyfunction("""COMPUTED_VALUE"""),"gv.hangvt@hocmai.edu.vn ")</f>
        <v>gv.hangvt@hocmai.edu.vn </v>
      </c>
      <c r="AD1048563" s="46" t="str">
        <f aca="false">IFERROR(__xludf.dummyfunction("""COMPUTED_VALUE"""),"duckien010607@gmail.com")</f>
        <v>duckien010607@gmail.com</v>
      </c>
      <c r="AE1048563" s="46"/>
      <c r="AF1048563" s="47" t="str">
        <f aca="false">IFERROR(__xludf.dummyfunction("""COMPUTED_VALUE"""),"lophoctoan-946209")</f>
        <v>lophoctoan-946209</v>
      </c>
      <c r="AG1048563" s="46" t="str">
        <f aca="false">IFERROR(__xludf.dummyfunction("""COMPUTED_VALUE"""),"")</f>
        <v/>
      </c>
      <c r="AH1048563" s="35"/>
      <c r="AI1048563" s="53" t="b">
        <f aca="false">IFERROR(__xludf.dummyfunction("""COMPUTED_VALUE"""),TRUE())</f>
        <v>1</v>
      </c>
      <c r="AJ1048563" s="35"/>
      <c r="AK1048563" s="35"/>
      <c r="AL1048563" s="35"/>
      <c r="AM1048563" s="35"/>
      <c r="AN1048563" s="35"/>
      <c r="AO1048563" s="46"/>
    </row>
    <row r="1048564" customFormat="false" ht="15.75" hidden="false" customHeight="true" outlineLevel="0" collapsed="false">
      <c r="A1048564" s="37" t="str">
        <f aca="false">IFERROR(__xludf.dummyfunction("""COMPUTED_VALUE"""),"Tiếng Anh")</f>
        <v>Tiếng Anh</v>
      </c>
      <c r="B1048564" s="37" t="str">
        <f aca="false">IFERROR(__xludf.dummyfunction("""COMPUTED_VALUE"""),"TOV_HV_TA04")</f>
        <v>TOV_HV_TA04</v>
      </c>
      <c r="C1048564" s="59" t="str">
        <f aca="false">IFERROR(__xludf.dummyfunction("""COMPUTED_VALUE"""),"Danh động từ - Động từ khuyết thiếu - Câu điều kiện")</f>
        <v>Danh động từ - Động từ khuyết thiếu - Câu điều kiện</v>
      </c>
      <c r="D1048564" s="39" t="str">
        <f aca="false">IFERROR(__xludf.dummyfunction("""COMPUTED_VALUE"""),"Nguyễn Thanh Hương")</f>
        <v>Nguyễn Thanh Hương</v>
      </c>
      <c r="E1048564" s="40" t="n">
        <f aca="false">IFERROR(__xludf.dummyfunction("""COMPUTED_VALUE"""),46209)</f>
        <v>46209</v>
      </c>
      <c r="F1048564" s="41" t="n">
        <f aca="false">IFERROR(__xludf.dummyfunction("""COMPUTED_VALUE"""),2)</f>
        <v>2</v>
      </c>
      <c r="G1048564" s="37" t="str">
        <f aca="false">IFERROR(__xludf.dummyfunction("""COMPUTED_VALUE"""),"20:00-22:00")</f>
        <v>20:00-22:00</v>
      </c>
      <c r="H1048564" s="37"/>
      <c r="I1048564" s="37"/>
      <c r="J1048564" s="42" t="str">
        <f aca="false">IFERROR(__xludf.dummyfunction("""COMPUTED_VALUE"""),"https://drive.google.com/file/d/1jv-5gcl8a3VpP1XgML60ZMxb8vx_fUlX/view?usp=drive_link")</f>
        <v>https://drive.google.com/file/d/1jv-5gcl8a3VpP1XgML60ZMxb8vx_fUlX/view?usp=drive_link</v>
      </c>
      <c r="K1048564" s="68" t="str">
        <f aca="false">IFERROR(__xludf.dummyfunction("""COMPUTED_VALUE"""),"huyennn2")</f>
        <v>huyennn2</v>
      </c>
      <c r="L1048564" s="68" t="str">
        <f aca="false">IFERROR(__xludf.dummyfunction("""COMPUTED_VALUE"""),"Nguyễn Lê Thụy Quyên ")</f>
        <v>Nguyễn Lê Thụy Quyên </v>
      </c>
      <c r="M1048564" s="71"/>
      <c r="N1048564" s="77" t="str">
        <f aca="false">IFERROR(__xludf.dummyfunction("""COMPUTED_VALUE"""),"3140,3165,3339")</f>
        <v>3140,3165,3339</v>
      </c>
      <c r="O1048564" s="73" t="str">
        <f aca="false">IFERROR(__xludf.dummyfunction("""COMPUTED_VALUE"""),"167540,167608,167632")</f>
        <v>167540,167608,167632</v>
      </c>
      <c r="P1048564" s="63" t="str">
        <f aca="false">IFERROR(__xludf.dummyfunction("""COMPUTED_VALUE"""),"9030,9038,9047,9119")</f>
        <v>9030,9038,9047,9119</v>
      </c>
      <c r="Q1048564" s="63"/>
      <c r="R1048564" s="41"/>
      <c r="S1048564" s="41"/>
      <c r="T1048564" s="63"/>
      <c r="U1048564" s="63"/>
      <c r="V1048564" s="70" t="n">
        <f aca="false">IFERROR(__xludf.dummyfunction("""COMPUTED_VALUE"""),46212)</f>
        <v>46212</v>
      </c>
      <c r="W1048564" s="39" t="str">
        <f aca="false">IFERROR(__xludf.dummyfunction("""COMPUTED_VALUE"""),"Hoàn thành XB")</f>
        <v>Hoàn thành XB</v>
      </c>
      <c r="X1048564" s="41" t="str">
        <f aca="false">IFERROR(__xludf.dummyfunction("""COMPUTED_VALUE"""),"huyennn2")</f>
        <v>huyennn2</v>
      </c>
      <c r="Y1048564" s="44" t="str">
        <f aca="false">IFERROR(__xludf.dummyfunction("""COMPUTED_VALUE"""),"done")</f>
        <v>done</v>
      </c>
      <c r="Z1048564" s="57" t="str">
        <f aca="false">IFERROR(__xludf.dummyfunction("""COMPUTED_VALUE"""),"#N/A")</f>
        <v>#N/A</v>
      </c>
      <c r="AA1048564" s="57"/>
      <c r="AB1048564" s="41" t="n">
        <f aca="false">IFERROR(__xludf.dummyfunction("""COMPUTED_VALUE"""),7)</f>
        <v>7</v>
      </c>
      <c r="AC1048564" s="57" t="str">
        <f aca="false">IFERROR(__xludf.dummyfunction("""COMPUTED_VALUE"""),"gv.huongnt@hocmai.edu.vn ")</f>
        <v>gv.huongnt@hocmai.edu.vn </v>
      </c>
      <c r="AD1048564" s="46" t="str">
        <f aca="false">IFERROR(__xludf.dummyfunction("""COMPUTED_VALUE"""),"nguyenlethuyquyencp@gmail.com")</f>
        <v>nguyenlethuyquyencp@gmail.com</v>
      </c>
      <c r="AE1048564" s="46"/>
      <c r="AF1048564" s="47" t="str">
        <f aca="false">IFERROR(__xludf.dummyfunction("""COMPUTED_VALUE"""),"lophoctienganh46209")</f>
        <v>lophoctienganh46209</v>
      </c>
      <c r="AG1048564" s="46" t="str">
        <f aca="false">IFERROR(__xludf.dummyfunction("""COMPUTED_VALUE"""),"")</f>
        <v/>
      </c>
      <c r="AH1048564" s="35"/>
      <c r="AI1048564" s="35"/>
      <c r="AJ1048564" s="53" t="b">
        <f aca="false">IFERROR(__xludf.dummyfunction("""COMPUTED_VALUE"""),TRUE())</f>
        <v>1</v>
      </c>
      <c r="AK1048564" s="53" t="b">
        <f aca="false">IFERROR(__xludf.dummyfunction("""COMPUTED_VALUE"""),TRUE())</f>
        <v>1</v>
      </c>
      <c r="AL1048564" s="35"/>
      <c r="AM1048564" s="53" t="b">
        <f aca="false">IFERROR(__xludf.dummyfunction("""COMPUTED_VALUE"""),TRUE())</f>
        <v>1</v>
      </c>
      <c r="AN1048564" s="53" t="b">
        <f aca="false">IFERROR(__xludf.dummyfunction("""COMPUTED_VALUE"""),TRUE())</f>
        <v>1</v>
      </c>
      <c r="AO1048564" s="46"/>
    </row>
    <row r="1048565" customFormat="false" ht="15.75" hidden="false" customHeight="true" outlineLevel="0" collapsed="false">
      <c r="A1048565" s="37" t="str">
        <f aca="false">IFERROR(__xludf.dummyfunction("""COMPUTED_VALUE"""),"Hóa học")</f>
        <v>Hóa học</v>
      </c>
      <c r="B1048565" s="37" t="str">
        <f aca="false">IFERROR(__xludf.dummyfunction("""COMPUTED_VALUE"""),"TOV_HSA_HH04")</f>
        <v>TOV_HSA_HH04</v>
      </c>
      <c r="C1048565" s="59" t="str">
        <f aca="false">IFERROR(__xludf.dummyfunction("""COMPUTED_VALUE"""),"Phản ứng oxi hóa – khử và năng lượng hóa học")</f>
        <v>Phản ứng oxi hóa – khử và năng lượng hóa học</v>
      </c>
      <c r="D1048565" s="39" t="str">
        <f aca="false">IFERROR(__xludf.dummyfunction("""COMPUTED_VALUE"""),"Chu Hải Long")</f>
        <v>Chu Hải Long</v>
      </c>
      <c r="E1048565" s="40" t="n">
        <f aca="false">IFERROR(__xludf.dummyfunction("""COMPUTED_VALUE"""),46209)</f>
        <v>46209</v>
      </c>
      <c r="F1048565" s="41" t="n">
        <f aca="false">IFERROR(__xludf.dummyfunction("""COMPUTED_VALUE"""),2)</f>
        <v>2</v>
      </c>
      <c r="G1048565" s="37" t="str">
        <f aca="false">IFERROR(__xludf.dummyfunction("""COMPUTED_VALUE"""),"20:00-22:00")</f>
        <v>20:00-22:00</v>
      </c>
      <c r="H1048565" s="42" t="str">
        <f aca="false">IFERROR(__xludf.dummyfunction("""COMPUTED_VALUE"""),"https://hocmai.vn/mod/scorm/view_file.php?id=181963")</f>
        <v>https://hocmai.vn/mod/scorm/view_file.php?id=181963</v>
      </c>
      <c r="I1048565" s="42" t="str">
        <f aca="false">IFERROR(__xludf.dummyfunction("""COMPUTED_VALUE"""),"https://hocmai.vn/mod/scorm/view_file.php?id=181991")</f>
        <v>https://hocmai.vn/mod/scorm/view_file.php?id=181991</v>
      </c>
      <c r="J1048565" s="42" t="str">
        <f aca="false">IFERROR(__xludf.dummyfunction("""COMPUTED_VALUE"""),"4. TOV_HSA_HH04 – PHẢN ỨNG OXI HÓA – KHỬ VÀ NĂNG LƯỢNG HÓA HỌC")</f>
        <v>4. TOV_HSA_HH04 – PHẢN ỨNG OXI HÓA – KHỬ VÀ NĂNG LƯỢNG HÓA HỌC</v>
      </c>
      <c r="K1048565" s="68" t="str">
        <f aca="false">IFERROR(__xludf.dummyfunction("""COMPUTED_VALUE"""),"Huebt")</f>
        <v>Huebt</v>
      </c>
      <c r="L1048565" s="68" t="str">
        <f aca="false">IFERROR(__xludf.dummyfunction("""COMPUTED_VALUE"""),"Võ Hương Giang")</f>
        <v>Võ Hương Giang</v>
      </c>
      <c r="M1048565" s="71"/>
      <c r="N1048565" s="77" t="str">
        <f aca="false">IFERROR(__xludf.dummyfunction("""COMPUTED_VALUE"""),"3120")</f>
        <v>3120</v>
      </c>
      <c r="O1048565" s="63" t="n">
        <f aca="false">IFERROR(__xludf.dummyfunction("""COMPUTED_VALUE"""),167428)</f>
        <v>167428</v>
      </c>
      <c r="P1048565" s="63"/>
      <c r="Q1048565" s="63"/>
      <c r="R1048565" s="41"/>
      <c r="S1048565" s="41"/>
      <c r="T1048565" s="63" t="n">
        <f aca="false">IFERROR(__xludf.dummyfunction("""COMPUTED_VALUE"""),23847)</f>
        <v>23847</v>
      </c>
      <c r="U1048565" s="63" t="n">
        <f aca="false">IFERROR(__xludf.dummyfunction("""COMPUTED_VALUE"""),10481)</f>
        <v>10481</v>
      </c>
      <c r="V1048565" s="70" t="n">
        <f aca="false">IFERROR(__xludf.dummyfunction("""COMPUTED_VALUE"""),46212)</f>
        <v>46212</v>
      </c>
      <c r="W1048565" s="39" t="str">
        <f aca="false">IFERROR(__xludf.dummyfunction("""COMPUTED_VALUE"""),"Hoàn thành XB")</f>
        <v>Hoàn thành XB</v>
      </c>
      <c r="X1048565" s="41" t="str">
        <f aca="false">IFERROR(__xludf.dummyfunction("""COMPUTED_VALUE"""),"Huebt")</f>
        <v>Huebt</v>
      </c>
      <c r="Y1048565" s="44" t="str">
        <f aca="false">IFERROR(__xludf.dummyfunction("""COMPUTED_VALUE"""),"done")</f>
        <v>done</v>
      </c>
      <c r="Z1048565" s="57" t="str">
        <f aca="false">IFERROR(__xludf.dummyfunction("""COMPUTED_VALUE"""),"#N/A")</f>
        <v>#N/A</v>
      </c>
      <c r="AA1048565" s="57"/>
      <c r="AB1048565" s="41" t="n">
        <f aca="false">IFERROR(__xludf.dummyfunction("""COMPUTED_VALUE"""),7)</f>
        <v>7</v>
      </c>
      <c r="AC1048565" s="57" t="str">
        <f aca="false">IFERROR(__xludf.dummyfunction("""COMPUTED_VALUE"""),"gv.longch@hocmai.edu.vn")</f>
        <v>gv.longch@hocmai.edu.vn</v>
      </c>
      <c r="AD1048565" s="46" t="str">
        <f aca="false">IFERROR(__xludf.dummyfunction("""COMPUTED_VALUE"""),"giangvh@ctv.hocmai.vn")</f>
        <v>giangvh@ctv.hocmai.vn</v>
      </c>
      <c r="AE1048565" s="46"/>
      <c r="AF1048565" s="74" t="b">
        <f aca="false">IFERROR(__xludf.dummyfunction("""COMPUTED_VALUE"""),FALSE())</f>
        <v>0</v>
      </c>
      <c r="AG1048565" s="46" t="str">
        <f aca="false">IFERROR(__xludf.dummyfunction("""COMPUTED_VALUE"""),"")</f>
        <v/>
      </c>
      <c r="AH1048565" s="35"/>
      <c r="AI1048565" s="35"/>
      <c r="AJ1048565" s="53" t="b">
        <f aca="false">IFERROR(__xludf.dummyfunction("""COMPUTED_VALUE"""),TRUE())</f>
        <v>1</v>
      </c>
      <c r="AK1048565" s="53" t="b">
        <f aca="false">IFERROR(__xludf.dummyfunction("""COMPUTED_VALUE"""),TRUE())</f>
        <v>1</v>
      </c>
      <c r="AL1048565" s="35"/>
      <c r="AM1048565" s="35"/>
      <c r="AN1048565" s="35"/>
      <c r="AO1048565" s="46"/>
    </row>
    <row r="1048566" customFormat="false" ht="15.75" hidden="false" customHeight="true" outlineLevel="0" collapsed="false">
      <c r="A1048566" s="37" t="str">
        <f aca="false">IFERROR(__xludf.dummyfunction("""COMPUTED_VALUE"""),"Toán")</f>
        <v>Toán</v>
      </c>
      <c r="B1048566" s="37" t="str">
        <f aca="false">IFERROR(__xludf.dummyfunction("""COMPUTED_VALUE"""),"TOV_TC_T04")</f>
        <v>TOV_TC_T04</v>
      </c>
      <c r="C1048566" s="59" t="str">
        <f aca="false">IFERROR(__xludf.dummyfunction("""COMPUTED_VALUE"""),"Bài toán thực tế trong kinh tế")</f>
        <v>Bài toán thực tế trong kinh tế</v>
      </c>
      <c r="D1048566" s="39" t="str">
        <f aca="false">IFERROR(__xludf.dummyfunction("""COMPUTED_VALUE"""),"Nguyễn Thanh Tùng")</f>
        <v>Nguyễn Thanh Tùng</v>
      </c>
      <c r="E1048566" s="40" t="n">
        <f aca="false">IFERROR(__xludf.dummyfunction("""COMPUTED_VALUE"""),46210)</f>
        <v>46210</v>
      </c>
      <c r="F1048566" s="41" t="n">
        <f aca="false">IFERROR(__xludf.dummyfunction("""COMPUTED_VALUE"""),3)</f>
        <v>3</v>
      </c>
      <c r="G1048566" s="37" t="str">
        <f aca="false">IFERROR(__xludf.dummyfunction("""COMPUTED_VALUE"""),"21:00-23:00")</f>
        <v>21:00-23:00</v>
      </c>
      <c r="H1048566" s="37"/>
      <c r="I1048566" s="37"/>
      <c r="J1048566" s="42" t="str">
        <f aca="false">IFERROR(__xludf.dummyfunction("""COMPUTED_VALUE"""),"https://drive.google.com/drive/folders/1dMU8o1TU5YUbS0zWIH_81wASx_XiZJcQ?usp=drive_link")</f>
        <v>https://drive.google.com/drive/folders/1dMU8o1TU5YUbS0zWIH_81wASx_XiZJcQ?usp=drive_link</v>
      </c>
      <c r="K1048566" s="68" t="str">
        <f aca="false">IFERROR(__xludf.dummyfunction("""COMPUTED_VALUE"""),"Chientd2")</f>
        <v>Chientd2</v>
      </c>
      <c r="L1048566" s="68" t="str">
        <f aca="false">IFERROR(__xludf.dummyfunction("""COMPUTED_VALUE"""),"Tưởng Thị Huyền Trang")</f>
        <v>Tưởng Thị Huyền Trang</v>
      </c>
      <c r="M1048566" s="71"/>
      <c r="N1048566" s="77" t="str">
        <f aca="false">IFERROR(__xludf.dummyfunction("""COMPUTED_VALUE"""),"3108,3117,3315,3127,3314")</f>
        <v>3108,3117,3315,3127,3314</v>
      </c>
      <c r="O1048566" s="63" t="str">
        <f aca="false">IFERROR(__xludf.dummyfunction("""COMPUTED_VALUE"""),"168361, 168576, 168317, 167462, 167062")</f>
        <v>168361, 168576, 168317, 167462, 167062</v>
      </c>
      <c r="P1048566" s="63" t="str">
        <f aca="false">IFERROR(__xludf.dummyfunction("""COMPUTED_VALUE"""),"9025,9028,9036,9104,9106,9017,9102")</f>
        <v>9025,9028,9036,9104,9106,9017,9102</v>
      </c>
      <c r="Q1048566" s="63" t="n">
        <f aca="false">IFERROR(__xludf.dummyfunction("""COMPUTED_VALUE"""),167062)</f>
        <v>167062</v>
      </c>
      <c r="R1048566" s="41"/>
      <c r="S1048566" s="41"/>
      <c r="T1048566" s="63" t="str">
        <f aca="false">IFERROR(__xludf.dummyfunction("""COMPUTED_VALUE"""),"23855, 23871, 23874")</f>
        <v>23855, 23871, 23874</v>
      </c>
      <c r="U1048566" s="63"/>
      <c r="V1048566" s="70" t="n">
        <f aca="false">IFERROR(__xludf.dummyfunction("""COMPUTED_VALUE"""),46213)</f>
        <v>46213</v>
      </c>
      <c r="W1048566" s="39" t="str">
        <f aca="false">IFERROR(__xludf.dummyfunction("""COMPUTED_VALUE"""),"Hoàn thành XB")</f>
        <v>Hoàn thành XB</v>
      </c>
      <c r="X1048566" s="41" t="str">
        <f aca="false">IFERROR(__xludf.dummyfunction("""COMPUTED_VALUE"""),"Chientd2")</f>
        <v>Chientd2</v>
      </c>
      <c r="Y1048566" s="44" t="str">
        <f aca="false">IFERROR(__xludf.dummyfunction("""COMPUTED_VALUE"""),"done")</f>
        <v>done</v>
      </c>
      <c r="Z1048566" s="57" t="str">
        <f aca="false">IFERROR(__xludf.dummyfunction("""COMPUTED_VALUE"""),"#N/A")</f>
        <v>#N/A</v>
      </c>
      <c r="AA1048566" s="57"/>
      <c r="AB1048566" s="41" t="n">
        <f aca="false">IFERROR(__xludf.dummyfunction("""COMPUTED_VALUE"""),7)</f>
        <v>7</v>
      </c>
      <c r="AC1048566" s="57" t="str">
        <f aca="false">IFERROR(__xludf.dummyfunction("""COMPUTED_VALUE"""),"gv.tungnt@hocmai.edu.vn ")</f>
        <v>gv.tungnt@hocmai.edu.vn </v>
      </c>
      <c r="AD1048566" s="46" t="str">
        <f aca="false">IFERROR(__xludf.dummyfunction("""COMPUTED_VALUE"""),"trangcrazy699@gmail.com")</f>
        <v>trangcrazy699@gmail.com</v>
      </c>
      <c r="AE1048566" s="46"/>
      <c r="AF1048566" s="47" t="str">
        <f aca="false">IFERROR(__xludf.dummyfunction("""COMPUTED_VALUE"""),"lophoctoan-946210")</f>
        <v>lophoctoan-946210</v>
      </c>
      <c r="AG1048566" s="46" t="str">
        <f aca="false">IFERROR(__xludf.dummyfunction("""COMPUTED_VALUE"""),"")</f>
        <v/>
      </c>
      <c r="AH1048566" s="35"/>
      <c r="AI1048566" s="53" t="b">
        <f aca="false">IFERROR(__xludf.dummyfunction("""COMPUTED_VALUE"""),TRUE())</f>
        <v>1</v>
      </c>
      <c r="AJ1048566" s="53" t="b">
        <f aca="false">IFERROR(__xludf.dummyfunction("""COMPUTED_VALUE"""),TRUE())</f>
        <v>1</v>
      </c>
      <c r="AK1048566" s="53" t="b">
        <f aca="false">IFERROR(__xludf.dummyfunction("""COMPUTED_VALUE"""),TRUE())</f>
        <v>1</v>
      </c>
      <c r="AL1048566" s="53" t="b">
        <f aca="false">IFERROR(__xludf.dummyfunction("""COMPUTED_VALUE"""),TRUE())</f>
        <v>1</v>
      </c>
      <c r="AM1048566" s="35"/>
      <c r="AN1048566" s="35"/>
      <c r="AO1048566" s="46"/>
    </row>
    <row r="1048567" customFormat="false" ht="15.75" hidden="false" customHeight="true" outlineLevel="0" collapsed="false">
      <c r="A1048567" s="37" t="str">
        <f aca="false">IFERROR(__xludf.dummyfunction("""COMPUTED_VALUE"""),"Tiếng Việt")</f>
        <v>Tiếng Việt</v>
      </c>
      <c r="B1048567" s="37" t="str">
        <f aca="false">IFERROR(__xludf.dummyfunction("""COMPUTED_VALUE"""),"TOV_V-ACT_TV04")</f>
        <v>TOV_V-ACT_TV04</v>
      </c>
      <c r="C1048567" s="59" t="str">
        <f aca="false">IFERROR(__xludf.dummyfunction("""COMPUTED_VALUE"""),"Một số thể loại văn học dân gian tiêu biểu_Phần 2")</f>
        <v>Một số thể loại văn học dân gian tiêu biểu_Phần 2</v>
      </c>
      <c r="D1048567" s="39" t="str">
        <f aca="false">IFERROR(__xludf.dummyfunction("""COMPUTED_VALUE"""),"Văn Trịnh Quỳnh An")</f>
        <v>Văn Trịnh Quỳnh An</v>
      </c>
      <c r="E1048567" s="40" t="n">
        <f aca="false">IFERROR(__xludf.dummyfunction("""COMPUTED_VALUE"""),46210)</f>
        <v>46210</v>
      </c>
      <c r="F1048567" s="41" t="n">
        <f aca="false">IFERROR(__xludf.dummyfunction("""COMPUTED_VALUE"""),3)</f>
        <v>3</v>
      </c>
      <c r="G1048567" s="37" t="str">
        <f aca="false">IFERROR(__xludf.dummyfunction("""COMPUTED_VALUE"""),"20:00-21:30")</f>
        <v>20:00-21:30</v>
      </c>
      <c r="H1048567" s="37"/>
      <c r="I1048567" s="37"/>
      <c r="J1048567" s="42" t="str">
        <f aca="false">IFERROR(__xludf.dummyfunction("""COMPUTED_VALUE"""),"https://drive.google.com/drive/folders/1yFlODWMA6w-RQY7g6vEZoNBTgFZD_Da-")</f>
        <v>https://drive.google.com/drive/folders/1yFlODWMA6w-RQY7g6vEZoNBTgFZD_Da-</v>
      </c>
      <c r="K1048567" s="68" t="str">
        <f aca="false">IFERROR(__xludf.dummyfunction("""COMPUTED_VALUE"""),"Hangvt3")</f>
        <v>Hangvt3</v>
      </c>
      <c r="L1048567" s="68" t="str">
        <f aca="false">IFERROR(__xludf.dummyfunction("""COMPUTED_VALUE"""),"Bùi Vĩnh Thọ")</f>
        <v>Bùi Vĩnh Thọ</v>
      </c>
      <c r="M1048567" s="71"/>
      <c r="N1048567" s="77" t="str">
        <f aca="false">IFERROR(__xludf.dummyfunction("""COMPUTED_VALUE"""),"3125,3338")</f>
        <v>3125,3338</v>
      </c>
      <c r="O1048567" s="73" t="n">
        <f aca="false">IFERROR(__xludf.dummyfunction("""COMPUTED_VALUE"""),167356.174771)</f>
        <v>167356.174771</v>
      </c>
      <c r="P1048567" s="63" t="n">
        <f aca="false">IFERROR(__xludf.dummyfunction("""COMPUTED_VALUE"""),174771)</f>
        <v>174771</v>
      </c>
      <c r="Q1048567" s="63"/>
      <c r="R1048567" s="41"/>
      <c r="S1048567" s="41"/>
      <c r="T1048567" s="63"/>
      <c r="U1048567" s="63"/>
      <c r="V1048567" s="70" t="n">
        <f aca="false">IFERROR(__xludf.dummyfunction("""COMPUTED_VALUE"""),46213)</f>
        <v>46213</v>
      </c>
      <c r="W1048567" s="39" t="str">
        <f aca="false">IFERROR(__xludf.dummyfunction("""COMPUTED_VALUE"""),"Hoàn thành XB")</f>
        <v>Hoàn thành XB</v>
      </c>
      <c r="X1048567" s="41" t="str">
        <f aca="false">IFERROR(__xludf.dummyfunction("""COMPUTED_VALUE"""),"Hoantt")</f>
        <v>Hoantt</v>
      </c>
      <c r="Y1048567" s="44" t="str">
        <f aca="false">IFERROR(__xludf.dummyfunction("""COMPUTED_VALUE"""),"done")</f>
        <v>done</v>
      </c>
      <c r="Z1048567" s="57" t="str">
        <f aca="false">IFERROR(__xludf.dummyfunction("""COMPUTED_VALUE"""),"#N/A")</f>
        <v>#N/A</v>
      </c>
      <c r="AA1048567" s="57"/>
      <c r="AB1048567" s="41" t="n">
        <f aca="false">IFERROR(__xludf.dummyfunction("""COMPUTED_VALUE"""),7)</f>
        <v>7</v>
      </c>
      <c r="AC1048567" s="57" t="str">
        <f aca="false">IFERROR(__xludf.dummyfunction("""COMPUTED_VALUE"""),"gv.anvtq@hocmai.edu.vn ")</f>
        <v>gv.anvtq@hocmai.edu.vn </v>
      </c>
      <c r="AD1048567" s="46" t="str">
        <f aca="false">IFERROR(__xludf.dummyfunction("""COMPUTED_VALUE"""),"vinhtho0704@gmail.com")</f>
        <v>vinhtho0704@gmail.com</v>
      </c>
      <c r="AE1048567" s="46"/>
      <c r="AF1048567" s="74" t="b">
        <f aca="false">IFERROR(__xludf.dummyfunction("""COMPUTED_VALUE"""),FALSE())</f>
        <v>0</v>
      </c>
      <c r="AG1048567" s="46" t="str">
        <f aca="false">IFERROR(__xludf.dummyfunction("""COMPUTED_VALUE"""),"")</f>
        <v/>
      </c>
      <c r="AH1048567" s="35"/>
      <c r="AI1048567" s="35"/>
      <c r="AJ1048567" s="35"/>
      <c r="AK1048567" s="35"/>
      <c r="AL1048567" s="35"/>
      <c r="AM1048567" s="53" t="b">
        <f aca="false">IFERROR(__xludf.dummyfunction("""COMPUTED_VALUE"""),TRUE())</f>
        <v>1</v>
      </c>
      <c r="AN1048567" s="53" t="b">
        <f aca="false">IFERROR(__xludf.dummyfunction("""COMPUTED_VALUE"""),TRUE())</f>
        <v>1</v>
      </c>
      <c r="AO1048567" s="46"/>
    </row>
    <row r="1048568" customFormat="false" ht="15.75" hidden="false" customHeight="true" outlineLevel="0" collapsed="false">
      <c r="A1048568" s="37" t="str">
        <f aca="false">IFERROR(__xludf.dummyfunction("""COMPUTED_VALUE"""),"Địa lí")</f>
        <v>Địa lí</v>
      </c>
      <c r="B1048568" s="37" t="str">
        <f aca="false">IFERROR(__xludf.dummyfunction("""COMPUTED_VALUE"""),"TOV_HSA_ĐL01")</f>
        <v>TOV_HSA_ĐL01</v>
      </c>
      <c r="C1048568" s="59" t="str">
        <f aca="false">IFERROR(__xludf.dummyfunction("""COMPUTED_VALUE"""),"Định hướng chung kì thi HSA và Địa lí tự nhiên đại cương (phần 1)")</f>
        <v>Định hướng chung kì thi HSA và Địa lí tự nhiên đại cương (phần 1)</v>
      </c>
      <c r="D1048568" s="39" t="str">
        <f aca="false">IFERROR(__xludf.dummyfunction("""COMPUTED_VALUE"""),"Nguyễn Văn Vinh")</f>
        <v>Nguyễn Văn Vinh</v>
      </c>
      <c r="E1048568" s="40" t="n">
        <f aca="false">IFERROR(__xludf.dummyfunction("""COMPUTED_VALUE"""),46210)</f>
        <v>46210</v>
      </c>
      <c r="F1048568" s="41" t="n">
        <f aca="false">IFERROR(__xludf.dummyfunction("""COMPUTED_VALUE"""),3)</f>
        <v>3</v>
      </c>
      <c r="G1048568" s="37" t="str">
        <f aca="false">IFERROR(__xludf.dummyfunction("""COMPUTED_VALUE"""),"18:30-20:30")</f>
        <v>18:30-20:30</v>
      </c>
      <c r="H1048568" s="37"/>
      <c r="I1048568" s="37"/>
      <c r="J1048568" s="42" t="str">
        <f aca="false">IFERROR(__xludf.dummyfunction("""COMPUTED_VALUE"""),"https://drive.google.com/drive/folders/1BJ8eto49X334xZG-HaT7LwY4cR0Zk5D9")</f>
        <v>https://drive.google.com/drive/folders/1BJ8eto49X334xZG-HaT7LwY4cR0Zk5D9</v>
      </c>
      <c r="K1048568" s="68" t="str">
        <f aca="false">IFERROR(__xludf.dummyfunction("""COMPUTED_VALUE"""),"Trinhntt")</f>
        <v>Trinhntt</v>
      </c>
      <c r="L1048568" s="68" t="str">
        <f aca="false">IFERROR(__xludf.dummyfunction("""COMPUTED_VALUE"""),"Phan Đức Kiên")</f>
        <v>Phan Đức Kiên</v>
      </c>
      <c r="M1048568" s="71"/>
      <c r="N1048568" s="77" t="str">
        <f aca="false">IFERROR(__xludf.dummyfunction("""COMPUTED_VALUE"""),"3123")</f>
        <v>3123</v>
      </c>
      <c r="O1048568" s="63" t="n">
        <f aca="false">IFERROR(__xludf.dummyfunction("""COMPUTED_VALUE"""),174748)</f>
        <v>174748</v>
      </c>
      <c r="P1048568" s="63"/>
      <c r="Q1048568" s="63" t="n">
        <f aca="false">IFERROR(__xludf.dummyfunction("""COMPUTED_VALUE"""),174748)</f>
        <v>174748</v>
      </c>
      <c r="R1048568" s="41"/>
      <c r="S1048568" s="41"/>
      <c r="T1048568" s="63"/>
      <c r="U1048568" s="63"/>
      <c r="V1048568" s="70" t="n">
        <f aca="false">IFERROR(__xludf.dummyfunction("""COMPUTED_VALUE"""),46213)</f>
        <v>46213</v>
      </c>
      <c r="W1048568" s="39" t="str">
        <f aca="false">IFERROR(__xludf.dummyfunction("""COMPUTED_VALUE"""),"Hoàn thành XB")</f>
        <v>Hoàn thành XB</v>
      </c>
      <c r="X1048568" s="41" t="str">
        <f aca="false">IFERROR(__xludf.dummyfunction("""COMPUTED_VALUE"""),"Trinhntt")</f>
        <v>Trinhntt</v>
      </c>
      <c r="Y1048568" s="44"/>
      <c r="Z1048568" s="57" t="str">
        <f aca="false">IFERROR(__xludf.dummyfunction("""COMPUTED_VALUE"""),"#N/A")</f>
        <v>#N/A</v>
      </c>
      <c r="AA1048568" s="57"/>
      <c r="AB1048568" s="41"/>
      <c r="AC1048568" s="57" t="str">
        <f aca="false">IFERROR(__xludf.dummyfunction("""COMPUTED_VALUE"""),"gv.vinhnv@hocmai.edu.vn")</f>
        <v>gv.vinhnv@hocmai.edu.vn</v>
      </c>
      <c r="AD1048568" s="46" t="str">
        <f aca="false">IFERROR(__xludf.dummyfunction("""COMPUTED_VALUE"""),"duckien010607@gmail.com")</f>
        <v>duckien010607@gmail.com</v>
      </c>
      <c r="AE1048568" s="46"/>
      <c r="AF1048568" s="74" t="b">
        <f aca="false">IFERROR(__xludf.dummyfunction("""COMPUTED_VALUE"""),FALSE())</f>
        <v>0</v>
      </c>
      <c r="AG1048568" s="46" t="str">
        <f aca="false">IFERROR(__xludf.dummyfunction("""COMPUTED_VALUE"""),"")</f>
        <v/>
      </c>
      <c r="AH1048568" s="35"/>
      <c r="AI1048568" s="35"/>
      <c r="AJ1048568" s="53" t="b">
        <f aca="false">IFERROR(__xludf.dummyfunction("""COMPUTED_VALUE"""),TRUE())</f>
        <v>1</v>
      </c>
      <c r="AK1048568" s="53" t="b">
        <f aca="false">IFERROR(__xludf.dummyfunction("""COMPUTED_VALUE"""),TRUE())</f>
        <v>1</v>
      </c>
      <c r="AL1048568" s="35"/>
      <c r="AM1048568" s="35"/>
      <c r="AN1048568" s="35"/>
      <c r="AO1048568" s="46"/>
    </row>
    <row r="1048569" customFormat="false" ht="15.75" hidden="false" customHeight="true" outlineLevel="0" collapsed="false">
      <c r="A1048569" s="37" t="str">
        <f aca="false">IFERROR(__xludf.dummyfunction("""COMPUTED_VALUE"""),"Thực chiến Toán")</f>
        <v>Thực chiến Toán</v>
      </c>
      <c r="B1048569" s="37" t="str">
        <f aca="false">IFERROR(__xludf.dummyfunction("""COMPUTED_VALUE"""),"TC_TSA_T_01")</f>
        <v>TC_TSA_T_01</v>
      </c>
      <c r="C1048569" s="59" t="str">
        <f aca="false">IFERROR(__xludf.dummyfunction("""COMPUTED_VALUE"""),"[Bổ trợ]_Chữa bài tập TSA_Tư duy Toán học số 01")</f>
        <v>[Bổ trợ]_Chữa bài tập TSA_Tư duy Toán học số 01</v>
      </c>
      <c r="D1048569" s="39" t="str">
        <f aca="false">IFERROR(__xludf.dummyfunction("""COMPUTED_VALUE"""),"Phạm Huy Hoàng")</f>
        <v>Phạm Huy Hoàng</v>
      </c>
      <c r="E1048569" s="40" t="n">
        <f aca="false">IFERROR(__xludf.dummyfunction("""COMPUTED_VALUE"""),46210)</f>
        <v>46210</v>
      </c>
      <c r="F1048569" s="41" t="n">
        <f aca="false">IFERROR(__xludf.dummyfunction("""COMPUTED_VALUE"""),3)</f>
        <v>3</v>
      </c>
      <c r="G1048569" s="37" t="str">
        <f aca="false">IFERROR(__xludf.dummyfunction("""COMPUTED_VALUE"""),"19:00-20:00")</f>
        <v>19:00-20:00</v>
      </c>
      <c r="H1048569" s="37"/>
      <c r="I1048569" s="37"/>
      <c r="J1048569" s="42" t="str">
        <f aca="false">IFERROR(__xludf.dummyfunction("""COMPUTED_VALUE"""),"https://drive.google.com/drive/folders/1W7N3HfS2mH4UMDGdRUXVpKeaWH92gaYZ?usp=drive_link")</f>
        <v>https://drive.google.com/drive/folders/1W7N3HfS2mH4UMDGdRUXVpKeaWH92gaYZ?usp=drive_link</v>
      </c>
      <c r="K1048569" s="68" t="str">
        <f aca="false">IFERROR(__xludf.dummyfunction("""COMPUTED_VALUE"""),"Locdd")</f>
        <v>Locdd</v>
      </c>
      <c r="L1048569" s="68" t="str">
        <f aca="false">IFERROR(__xludf.dummyfunction("""COMPUTED_VALUE"""),"HOCMAI")</f>
        <v>HOCMAI</v>
      </c>
      <c r="M1048569" s="71"/>
      <c r="N1048569" s="77" t="str">
        <f aca="false">IFERROR(__xludf.dummyfunction("""COMPUTED_VALUE"""),"3108")</f>
        <v>3108</v>
      </c>
      <c r="O1048569" s="63" t="n">
        <f aca="false">IFERROR(__xludf.dummyfunction("""COMPUTED_VALUE"""),174809)</f>
        <v>174809</v>
      </c>
      <c r="P1048569" s="60" t="str">
        <f aca="false">IFERROR(__xludf.dummyfunction("""COMPUTED_VALUE"""),"https://hocmai.vn/bai-giang-truc-tuyen/174809/.html")</f>
        <v>https://hocmai.vn/bai-giang-truc-tuyen/174809/.html</v>
      </c>
      <c r="Q1048569" s="63"/>
      <c r="R1048569" s="41"/>
      <c r="S1048569" s="41"/>
      <c r="T1048569" s="63"/>
      <c r="U1048569" s="63"/>
      <c r="V1048569" s="70" t="n">
        <f aca="false">IFERROR(__xludf.dummyfunction("""COMPUTED_VALUE"""),46213)</f>
        <v>46213</v>
      </c>
      <c r="W1048569" s="39" t="str">
        <f aca="false">IFERROR(__xludf.dummyfunction("""COMPUTED_VALUE"""),"Hoàn thành XB")</f>
        <v>Hoàn thành XB</v>
      </c>
      <c r="X1048569" s="41" t="str">
        <f aca="false">IFERROR(__xludf.dummyfunction("""COMPUTED_VALUE"""),"Vuta")</f>
        <v>Vuta</v>
      </c>
      <c r="Y1048569" s="44"/>
      <c r="Z1048569" s="57"/>
      <c r="AA1048569" s="57"/>
      <c r="AB1048569" s="41" t="n">
        <f aca="false">IFERROR(__xludf.dummyfunction("""COMPUTED_VALUE"""),7)</f>
        <v>7</v>
      </c>
      <c r="AC1048569" s="57" t="str">
        <f aca="false">IFERROR(__xludf.dummyfunction("""COMPUTED_VALUE"""),"0376611308")</f>
        <v>0376611308</v>
      </c>
      <c r="AD1048569" s="46"/>
      <c r="AE1048569" s="46"/>
      <c r="AF1048569" s="47"/>
      <c r="AG1048569" s="46"/>
      <c r="AH1048569" s="53" t="b">
        <f aca="false">IFERROR(__xludf.dummyfunction("""COMPUTED_VALUE"""),FALSE())</f>
        <v>0</v>
      </c>
      <c r="AI1048569" s="53" t="b">
        <f aca="false">IFERROR(__xludf.dummyfunction("""COMPUTED_VALUE"""),TRUE())</f>
        <v>1</v>
      </c>
      <c r="AJ1048569" s="53" t="b">
        <f aca="false">IFERROR(__xludf.dummyfunction("""COMPUTED_VALUE"""),FALSE())</f>
        <v>0</v>
      </c>
      <c r="AK1048569" s="53" t="b">
        <f aca="false">IFERROR(__xludf.dummyfunction("""COMPUTED_VALUE"""),FALSE())</f>
        <v>0</v>
      </c>
      <c r="AL1048569" s="53" t="b">
        <f aca="false">IFERROR(__xludf.dummyfunction("""COMPUTED_VALUE"""),FALSE())</f>
        <v>0</v>
      </c>
      <c r="AM1048569" s="53" t="b">
        <f aca="false">IFERROR(__xludf.dummyfunction("""COMPUTED_VALUE"""),FALSE())</f>
        <v>0</v>
      </c>
      <c r="AN1048569" s="53" t="b">
        <f aca="false">IFERROR(__xludf.dummyfunction("""COMPUTED_VALUE"""),FALSE())</f>
        <v>0</v>
      </c>
      <c r="AO1048569" s="46"/>
    </row>
    <row r="1048570" customFormat="false" ht="15.75" hidden="false" customHeight="true" outlineLevel="0" collapsed="false">
      <c r="A1048570" s="37" t="str">
        <f aca="false">IFERROR(__xludf.dummyfunction("""COMPUTED_VALUE"""),"Thực chiến Khoa học")</f>
        <v>Thực chiến Khoa học</v>
      </c>
      <c r="B1048570" s="37" t="str">
        <f aca="false">IFERROR(__xludf.dummyfunction("""COMPUTED_VALUE"""),"TC_TSA_KH_01")</f>
        <v>TC_TSA_KH_01</v>
      </c>
      <c r="C1048570" s="59" t="str">
        <f aca="false">IFERROR(__xludf.dummyfunction("""COMPUTED_VALUE"""),"[Bổ trợ]_Chữa bài tập TSA_Tư duy Khoa học số 01")</f>
        <v>[Bổ trợ]_Chữa bài tập TSA_Tư duy Khoa học số 01</v>
      </c>
      <c r="D1048570" s="39" t="str">
        <f aca="false">IFERROR(__xludf.dummyfunction("""COMPUTED_VALUE"""),"Nguyễn Trọng Trường Anh")</f>
        <v>Nguyễn Trọng Trường Anh</v>
      </c>
      <c r="E1048570" s="40" t="n">
        <f aca="false">IFERROR(__xludf.dummyfunction("""COMPUTED_VALUE"""),46211)</f>
        <v>46211</v>
      </c>
      <c r="F1048570" s="41" t="n">
        <f aca="false">IFERROR(__xludf.dummyfunction("""COMPUTED_VALUE"""),4)</f>
        <v>4</v>
      </c>
      <c r="G1048570" s="37" t="str">
        <f aca="false">IFERROR(__xludf.dummyfunction("""COMPUTED_VALUE"""),"20:00-21:00")</f>
        <v>20:00-21:00</v>
      </c>
      <c r="H1048570" s="37"/>
      <c r="I1048570" s="37"/>
      <c r="J1048570" s="42" t="str">
        <f aca="false">IFERROR(__xludf.dummyfunction("""COMPUTED_VALUE"""),"https://drive.google.com/drive/folders/1FuddXzE98FIkbAbXFhGCZYpVCkeWUZm7")</f>
        <v>https://drive.google.com/drive/folders/1FuddXzE98FIkbAbXFhGCZYpVCkeWUZm7</v>
      </c>
      <c r="K1048570" s="68" t="str">
        <f aca="false">IFERROR(__xludf.dummyfunction("""COMPUTED_VALUE"""),"Trangnth2")</f>
        <v>Trangnth2</v>
      </c>
      <c r="L1048570" s="68" t="str">
        <f aca="false">IFERROR(__xludf.dummyfunction("""COMPUTED_VALUE"""),"HOCMAI")</f>
        <v>HOCMAI</v>
      </c>
      <c r="M1048570" s="71"/>
      <c r="N1048570" s="77" t="str">
        <f aca="false">IFERROR(__xludf.dummyfunction("""COMPUTED_VALUE"""),"3110")</f>
        <v>3110</v>
      </c>
      <c r="O1048570" s="63" t="n">
        <f aca="false">IFERROR(__xludf.dummyfunction("""COMPUTED_VALUE"""),174807)</f>
        <v>174807</v>
      </c>
      <c r="P1048570" s="60" t="str">
        <f aca="false">IFERROR(__xludf.dummyfunction("""COMPUTED_VALUE"""),"https://hocmai.vn/bai-giang-truc-tuyen/174807/.html")</f>
        <v>https://hocmai.vn/bai-giang-truc-tuyen/174807/.html</v>
      </c>
      <c r="Q1048570" s="63"/>
      <c r="R1048570" s="41"/>
      <c r="S1048570" s="41"/>
      <c r="T1048570" s="63"/>
      <c r="U1048570" s="63"/>
      <c r="V1048570" s="70" t="n">
        <f aca="false">IFERROR(__xludf.dummyfunction("""COMPUTED_VALUE"""),46214)</f>
        <v>46214</v>
      </c>
      <c r="W1048570" s="39" t="str">
        <f aca="false">IFERROR(__xludf.dummyfunction("""COMPUTED_VALUE"""),"Hoàn thành XB")</f>
        <v>Hoàn thành XB</v>
      </c>
      <c r="X1048570" s="41" t="str">
        <f aca="false">IFERROR(__xludf.dummyfunction("""COMPUTED_VALUE"""),"Vuta")</f>
        <v>Vuta</v>
      </c>
      <c r="Y1048570" s="44"/>
      <c r="Z1048570" s="57"/>
      <c r="AA1048570" s="57"/>
      <c r="AB1048570" s="41" t="n">
        <f aca="false">IFERROR(__xludf.dummyfunction("""COMPUTED_VALUE"""),7)</f>
        <v>7</v>
      </c>
      <c r="AC1048570" s="57" t="str">
        <f aca="false">IFERROR(__xludf.dummyfunction("""COMPUTED_VALUE"""),"thochi1981@gmail.com")</f>
        <v>thochi1981@gmail.com</v>
      </c>
      <c r="AD1048570" s="46"/>
      <c r="AE1048570" s="46"/>
      <c r="AF1048570" s="47"/>
      <c r="AG1048570" s="46"/>
      <c r="AH1048570" s="53" t="b">
        <f aca="false">IFERROR(__xludf.dummyfunction("""COMPUTED_VALUE"""),FALSE())</f>
        <v>0</v>
      </c>
      <c r="AI1048570" s="53" t="b">
        <f aca="false">IFERROR(__xludf.dummyfunction("""COMPUTED_VALUE"""),TRUE())</f>
        <v>1</v>
      </c>
      <c r="AJ1048570" s="53" t="b">
        <f aca="false">IFERROR(__xludf.dummyfunction("""COMPUTED_VALUE"""),FALSE())</f>
        <v>0</v>
      </c>
      <c r="AK1048570" s="53" t="b">
        <f aca="false">IFERROR(__xludf.dummyfunction("""COMPUTED_VALUE"""),FALSE())</f>
        <v>0</v>
      </c>
      <c r="AL1048570" s="53" t="b">
        <f aca="false">IFERROR(__xludf.dummyfunction("""COMPUTED_VALUE"""),FALSE())</f>
        <v>0</v>
      </c>
      <c r="AM1048570" s="53" t="b">
        <f aca="false">IFERROR(__xludf.dummyfunction("""COMPUTED_VALUE"""),FALSE())</f>
        <v>0</v>
      </c>
      <c r="AN1048570" s="53" t="b">
        <f aca="false">IFERROR(__xludf.dummyfunction("""COMPUTED_VALUE"""),FALSE())</f>
        <v>0</v>
      </c>
      <c r="AO1048570" s="46"/>
    </row>
    <row r="1048571" customFormat="false" ht="15.75" hidden="false" customHeight="true" outlineLevel="0" collapsed="false">
      <c r="A1048571" s="37" t="str">
        <f aca="false">IFERROR(__xludf.dummyfunction("""COMPUTED_VALUE"""),"Thực chiến Toán")</f>
        <v>Thực chiến Toán</v>
      </c>
      <c r="B1048571" s="37" t="str">
        <f aca="false">IFERROR(__xludf.dummyfunction("""COMPUTED_VALUE"""),"TC_TSA_T_02")</f>
        <v>TC_TSA_T_02</v>
      </c>
      <c r="C1048571" s="59" t="str">
        <f aca="false">IFERROR(__xludf.dummyfunction("""COMPUTED_VALUE"""),"[Bổ trợ]_Chữa bài tập TSA_Tư duy Toán học số 02")</f>
        <v>[Bổ trợ]_Chữa bài tập TSA_Tư duy Toán học số 02</v>
      </c>
      <c r="D1048571" s="39" t="str">
        <f aca="false">IFERROR(__xludf.dummyfunction("""COMPUTED_VALUE"""),"Phạm Huy Hoàng")</f>
        <v>Phạm Huy Hoàng</v>
      </c>
      <c r="E1048571" s="40" t="n">
        <f aca="false">IFERROR(__xludf.dummyfunction("""COMPUTED_VALUE"""),46211)</f>
        <v>46211</v>
      </c>
      <c r="F1048571" s="41" t="n">
        <f aca="false">IFERROR(__xludf.dummyfunction("""COMPUTED_VALUE"""),4)</f>
        <v>4</v>
      </c>
      <c r="G1048571" s="37" t="str">
        <f aca="false">IFERROR(__xludf.dummyfunction("""COMPUTED_VALUE"""),"19:00-20:00")</f>
        <v>19:00-20:00</v>
      </c>
      <c r="H1048571" s="37"/>
      <c r="I1048571" s="37"/>
      <c r="J1048571" s="42" t="str">
        <f aca="false">IFERROR(__xludf.dummyfunction("""COMPUTED_VALUE"""),"https://drive.google.com/drive/folders/16i-y0uBTkjr_ZhzKSG6bJvEq37D-vn8y?usp=drive_link")</f>
        <v>https://drive.google.com/drive/folders/16i-y0uBTkjr_ZhzKSG6bJvEq37D-vn8y?usp=drive_link</v>
      </c>
      <c r="K1048571" s="68" t="str">
        <f aca="false">IFERROR(__xludf.dummyfunction("""COMPUTED_VALUE"""),"Locdd")</f>
        <v>Locdd</v>
      </c>
      <c r="L1048571" s="68" t="str">
        <f aca="false">IFERROR(__xludf.dummyfunction("""COMPUTED_VALUE"""),"HOCMAI")</f>
        <v>HOCMAI</v>
      </c>
      <c r="M1048571" s="71"/>
      <c r="N1048571" s="77" t="str">
        <f aca="false">IFERROR(__xludf.dummyfunction("""COMPUTED_VALUE"""),"3108")</f>
        <v>3108</v>
      </c>
      <c r="O1048571" s="63" t="n">
        <f aca="false">IFERROR(__xludf.dummyfunction("""COMPUTED_VALUE"""),174810)</f>
        <v>174810</v>
      </c>
      <c r="P1048571" s="60" t="str">
        <f aca="false">IFERROR(__xludf.dummyfunction("""COMPUTED_VALUE"""),"https://hocmai.vn/bai-giang-truc-tuyen/174810/.html")</f>
        <v>https://hocmai.vn/bai-giang-truc-tuyen/174810/.html</v>
      </c>
      <c r="Q1048571" s="63"/>
      <c r="R1048571" s="41"/>
      <c r="S1048571" s="41"/>
      <c r="T1048571" s="63"/>
      <c r="U1048571" s="63"/>
      <c r="V1048571" s="70" t="n">
        <f aca="false">IFERROR(__xludf.dummyfunction("""COMPUTED_VALUE"""),46214)</f>
        <v>46214</v>
      </c>
      <c r="W1048571" s="39" t="str">
        <f aca="false">IFERROR(__xludf.dummyfunction("""COMPUTED_VALUE"""),"Hoàn thành XB")</f>
        <v>Hoàn thành XB</v>
      </c>
      <c r="X1048571" s="41" t="str">
        <f aca="false">IFERROR(__xludf.dummyfunction("""COMPUTED_VALUE"""),"Vuta")</f>
        <v>Vuta</v>
      </c>
      <c r="Y1048571" s="44"/>
      <c r="Z1048571" s="57"/>
      <c r="AA1048571" s="57"/>
      <c r="AB1048571" s="41" t="n">
        <f aca="false">IFERROR(__xludf.dummyfunction("""COMPUTED_VALUE"""),7)</f>
        <v>7</v>
      </c>
      <c r="AC1048571" s="57" t="str">
        <f aca="false">IFERROR(__xludf.dummyfunction("""COMPUTED_VALUE"""),"0376611308")</f>
        <v>0376611308</v>
      </c>
      <c r="AD1048571" s="46"/>
      <c r="AE1048571" s="46"/>
      <c r="AF1048571" s="47"/>
      <c r="AG1048571" s="46"/>
      <c r="AH1048571" s="53" t="b">
        <f aca="false">IFERROR(__xludf.dummyfunction("""COMPUTED_VALUE"""),FALSE())</f>
        <v>0</v>
      </c>
      <c r="AI1048571" s="53" t="b">
        <f aca="false">IFERROR(__xludf.dummyfunction("""COMPUTED_VALUE"""),TRUE())</f>
        <v>1</v>
      </c>
      <c r="AJ1048571" s="53" t="b">
        <f aca="false">IFERROR(__xludf.dummyfunction("""COMPUTED_VALUE"""),FALSE())</f>
        <v>0</v>
      </c>
      <c r="AK1048571" s="53" t="b">
        <f aca="false">IFERROR(__xludf.dummyfunction("""COMPUTED_VALUE"""),FALSE())</f>
        <v>0</v>
      </c>
      <c r="AL1048571" s="53" t="b">
        <f aca="false">IFERROR(__xludf.dummyfunction("""COMPUTED_VALUE"""),FALSE())</f>
        <v>0</v>
      </c>
      <c r="AM1048571" s="53" t="b">
        <f aca="false">IFERROR(__xludf.dummyfunction("""COMPUTED_VALUE"""),FALSE())</f>
        <v>0</v>
      </c>
      <c r="AN1048571" s="53" t="b">
        <f aca="false">IFERROR(__xludf.dummyfunction("""COMPUTED_VALUE"""),FALSE())</f>
        <v>0</v>
      </c>
      <c r="AO1048571" s="46"/>
    </row>
    <row r="1048572" customFormat="false" ht="15.75" hidden="false" customHeight="true" outlineLevel="0" collapsed="false">
      <c r="A1048572" s="37" t="str">
        <f aca="false">IFERROR(__xludf.dummyfunction("""COMPUTED_VALUE"""),"Vật lí")</f>
        <v>Vật lí</v>
      </c>
      <c r="B1048572" s="37" t="str">
        <f aca="false">IFERROR(__xludf.dummyfunction("""COMPUTED_VALUE"""),"TOV_TSA_L04")</f>
        <v>TOV_TSA_L04</v>
      </c>
      <c r="C1048572" s="59" t="str">
        <f aca="false">IFERROR(__xludf.dummyfunction("""COMPUTED_VALUE"""),"Lực và các định luật Newton trong mô hình hóa hiện tượng")</f>
        <v>Lực và các định luật Newton trong mô hình hóa hiện tượng</v>
      </c>
      <c r="D1048572" s="39" t="str">
        <f aca="false">IFERROR(__xludf.dummyfunction("""COMPUTED_VALUE"""),"Thiều Thị Dung")</f>
        <v>Thiều Thị Dung</v>
      </c>
      <c r="E1048572" s="40" t="n">
        <f aca="false">IFERROR(__xludf.dummyfunction("""COMPUTED_VALUE"""),46212)</f>
        <v>46212</v>
      </c>
      <c r="F1048572" s="41" t="n">
        <f aca="false">IFERROR(__xludf.dummyfunction("""COMPUTED_VALUE"""),5)</f>
        <v>5</v>
      </c>
      <c r="G1048572" s="37" t="str">
        <f aca="false">IFERROR(__xludf.dummyfunction("""COMPUTED_VALUE"""),"21:00-23:00")</f>
        <v>21:00-23:00</v>
      </c>
      <c r="H1048572" s="42" t="str">
        <f aca="false">IFERROR(__xludf.dummyfunction("""COMPUTED_VALUE"""),"https://hocmai.vn/file.php/3110/Nam_hoc_2026_-_2027/VAT_LI/TAI_LIEU_HOC_SINH/TLHS_TOV_TSA_L04._Luc_va_cac_dinh_luat_Newton_trong_mo_hinh_hoa_hien_tuong.pdf")</f>
        <v>https://hocmai.vn/file.php/3110/Nam_hoc_2026_-_2027/VAT_LI/TAI_LIEU_HOC_SINH/TLHS_TOV_TSA_L04._Luc_va_cac_dinh_luat_Newton_trong_mo_hinh_hoa_hien_tuong.pdf</v>
      </c>
      <c r="I1048572" s="42" t="str">
        <f aca="false">IFERROR(__xludf.dummyfunction("""COMPUTED_VALUE"""),"https://hocmai.vn/file.php/3110/Nam_hoc_2026_-_2027/VAT_LI/BTTL/BTTL_TOV_TSA_L04._Luc_va_cac_dinh_luat_Newton_trong_mo_hinh_hoa_hien_tuong.pdf")</f>
        <v>https://hocmai.vn/file.php/3110/Nam_hoc_2026_-_2027/VAT_LI/BTTL/BTTL_TOV_TSA_L04._Luc_va_cac_dinh_luat_Newton_trong_mo_hinh_hoa_hien_tuong.pdf</v>
      </c>
      <c r="J1048572" s="42" t="str">
        <f aca="false">IFERROR(__xludf.dummyfunction("""COMPUTED_VALUE"""),"https://drive.google.com/drive/folders/1Qmw5yyGI0cXG_h-OdoRy8r4WKrd7oTjj")</f>
        <v>https://drive.google.com/drive/folders/1Qmw5yyGI0cXG_h-OdoRy8r4WKrd7oTjj</v>
      </c>
      <c r="K1048572" s="68" t="str">
        <f aca="false">IFERROR(__xludf.dummyfunction("""COMPUTED_VALUE"""),"Trangnth2")</f>
        <v>Trangnth2</v>
      </c>
      <c r="L1048572" s="68" t="str">
        <f aca="false">IFERROR(__xludf.dummyfunction("""COMPUTED_VALUE"""),"Phạm Quang Thành")</f>
        <v>Phạm Quang Thành</v>
      </c>
      <c r="M1048572" s="71"/>
      <c r="N1048572" s="77" t="str">
        <f aca="false">IFERROR(__xludf.dummyfunction("""COMPUTED_VALUE"""),"3110")</f>
        <v>3110</v>
      </c>
      <c r="O1048572" s="63" t="n">
        <f aca="false">IFERROR(__xludf.dummyfunction("""COMPUTED_VALUE"""),167252)</f>
        <v>167252</v>
      </c>
      <c r="P1048572" s="63"/>
      <c r="Q1048572" s="63"/>
      <c r="R1048572" s="41"/>
      <c r="S1048572" s="41"/>
      <c r="T1048572" s="63" t="n">
        <f aca="false">IFERROR(__xludf.dummyfunction("""COMPUTED_VALUE"""),23923)</f>
        <v>23923</v>
      </c>
      <c r="U1048572" s="63"/>
      <c r="V1048572" s="70" t="n">
        <f aca="false">IFERROR(__xludf.dummyfunction("""COMPUTED_VALUE"""),46215)</f>
        <v>46215</v>
      </c>
      <c r="W1048572" s="39" t="str">
        <f aca="false">IFERROR(__xludf.dummyfunction("""COMPUTED_VALUE"""),"Hoàn thành XB")</f>
        <v>Hoàn thành XB</v>
      </c>
      <c r="X1048572" s="41" t="str">
        <f aca="false">IFERROR(__xludf.dummyfunction("""COMPUTED_VALUE"""),"Trangnth2")</f>
        <v>Trangnth2</v>
      </c>
      <c r="Y1048572" s="44" t="str">
        <f aca="false">IFERROR(__xludf.dummyfunction("""COMPUTED_VALUE"""),"done")</f>
        <v>done</v>
      </c>
      <c r="Z1048572" s="57" t="str">
        <f aca="false">IFERROR(__xludf.dummyfunction("""COMPUTED_VALUE"""),"#N/A")</f>
        <v>#N/A</v>
      </c>
      <c r="AA1048572" s="57"/>
      <c r="AB1048572" s="41" t="n">
        <f aca="false">IFERROR(__xludf.dummyfunction("""COMPUTED_VALUE"""),7)</f>
        <v>7</v>
      </c>
      <c r="AC1048572" s="57" t="str">
        <f aca="false">IFERROR(__xludf.dummyfunction("""COMPUTED_VALUE"""),"dungtt2@hocmai.vn                ")</f>
        <v>dungtt2@hocmai.vn                </v>
      </c>
      <c r="AD1048572" s="46" t="str">
        <f aca="false">IFERROR(__xludf.dummyfunction("""COMPUTED_VALUE"""),"nguyenquockhanh8823@gmail.com")</f>
        <v>nguyenquockhanh8823@gmail.com</v>
      </c>
      <c r="AE1048572" s="46"/>
      <c r="AF1048572" s="74" t="b">
        <f aca="false">IFERROR(__xludf.dummyfunction("""COMPUTED_VALUE"""),FALSE())</f>
        <v>0</v>
      </c>
      <c r="AG1048572" s="46" t="str">
        <f aca="false">IFERROR(__xludf.dummyfunction("""COMPUTED_VALUE"""),"")</f>
        <v/>
      </c>
      <c r="AH1048572" s="35"/>
      <c r="AI1048572" s="53" t="b">
        <f aca="false">IFERROR(__xludf.dummyfunction("""COMPUTED_VALUE"""),TRUE())</f>
        <v>1</v>
      </c>
      <c r="AJ1048572" s="35"/>
      <c r="AK1048572" s="35"/>
      <c r="AL1048572" s="35"/>
      <c r="AM1048572" s="35"/>
      <c r="AN1048572" s="35"/>
      <c r="AO1048572" s="46"/>
    </row>
    <row r="1048573" customFormat="false" ht="15.75" hidden="false" customHeight="true" outlineLevel="0" collapsed="false">
      <c r="A1048573" s="37" t="str">
        <f aca="false">IFERROR(__xludf.dummyfunction("""COMPUTED_VALUE"""),"Toán")</f>
        <v>Toán</v>
      </c>
      <c r="B1048573" s="37" t="str">
        <f aca="false">IFERROR(__xludf.dummyfunction("""COMPUTED_VALUE"""),"TOV_HSA_DL04")</f>
        <v>TOV_HSA_DL04</v>
      </c>
      <c r="C1048573" s="59" t="str">
        <f aca="false">IFERROR(__xludf.dummyfunction("""COMPUTED_VALUE"""),"Các bài toán liên quan tới hàm chứa trị tuyệt đối")</f>
        <v>Các bài toán liên quan tới hàm chứa trị tuyệt đối</v>
      </c>
      <c r="D1048573" s="39" t="str">
        <f aca="false">IFERROR(__xludf.dummyfunction("""COMPUTED_VALUE"""),"Nguyễn Thanh Tùng")</f>
        <v>Nguyễn Thanh Tùng</v>
      </c>
      <c r="E1048573" s="40" t="n">
        <f aca="false">IFERROR(__xludf.dummyfunction("""COMPUTED_VALUE"""),46212)</f>
        <v>46212</v>
      </c>
      <c r="F1048573" s="41" t="n">
        <f aca="false">IFERROR(__xludf.dummyfunction("""COMPUTED_VALUE"""),5)</f>
        <v>5</v>
      </c>
      <c r="G1048573" s="37" t="str">
        <f aca="false">IFERROR(__xludf.dummyfunction("""COMPUTED_VALUE"""),"18:00-20:00")</f>
        <v>18:00-20:00</v>
      </c>
      <c r="H1048573" s="37"/>
      <c r="I1048573" s="37"/>
      <c r="J1048573" s="42" t="str">
        <f aca="false">IFERROR(__xludf.dummyfunction("""COMPUTED_VALUE"""),"https://drive.google.com/drive/folders/1PpoyVK_pjONykBCt40S93-1ljfkxUneJ?usp=drive_link")</f>
        <v>https://drive.google.com/drive/folders/1PpoyVK_pjONykBCt40S93-1ljfkxUneJ?usp=drive_link</v>
      </c>
      <c r="K1048573" s="68" t="str">
        <f aca="false">IFERROR(__xludf.dummyfunction("""COMPUTED_VALUE"""),"Locdd")</f>
        <v>Locdd</v>
      </c>
      <c r="L1048573" s="68" t="str">
        <f aca="false">IFERROR(__xludf.dummyfunction("""COMPUTED_VALUE"""),"Tưởng Thị Huyền Trang")</f>
        <v>Tưởng Thị Huyền Trang</v>
      </c>
      <c r="M1048573" s="71"/>
      <c r="N1048573" s="77" t="str">
        <f aca="false">IFERROR(__xludf.dummyfunction("""COMPUTED_VALUE"""),"3117,3315")</f>
        <v>3117,3315</v>
      </c>
      <c r="O1048573" s="73" t="n">
        <f aca="false">IFERROR(__xludf.dummyfunction("""COMPUTED_VALUE"""),168577.168318)</f>
        <v>168577.168318</v>
      </c>
      <c r="P1048573" s="63" t="str">
        <f aca="false">IFERROR(__xludf.dummyfunction("""COMPUTED_VALUE"""),"9028,9036,9104,9106")</f>
        <v>9028,9036,9104,9106</v>
      </c>
      <c r="Q1048573" s="63" t="n">
        <f aca="false">IFERROR(__xludf.dummyfunction("""COMPUTED_VALUE"""),168318)</f>
        <v>168318</v>
      </c>
      <c r="R1048573" s="41"/>
      <c r="S1048573" s="41"/>
      <c r="T1048573" s="63"/>
      <c r="U1048573" s="63"/>
      <c r="V1048573" s="70" t="n">
        <f aca="false">IFERROR(__xludf.dummyfunction("""COMPUTED_VALUE"""),46215)</f>
        <v>46215</v>
      </c>
      <c r="W1048573" s="39" t="str">
        <f aca="false">IFERROR(__xludf.dummyfunction("""COMPUTED_VALUE"""),"Hoàn thành XB")</f>
        <v>Hoàn thành XB</v>
      </c>
      <c r="X1048573" s="41" t="str">
        <f aca="false">IFERROR(__xludf.dummyfunction("""COMPUTED_VALUE"""),"Locdd")</f>
        <v>Locdd</v>
      </c>
      <c r="Y1048573" s="44" t="str">
        <f aca="false">IFERROR(__xludf.dummyfunction("""COMPUTED_VALUE"""),"done")</f>
        <v>done</v>
      </c>
      <c r="Z1048573" s="57" t="str">
        <f aca="false">IFERROR(__xludf.dummyfunction("""COMPUTED_VALUE"""),"#N/A")</f>
        <v>#N/A</v>
      </c>
      <c r="AA1048573" s="57"/>
      <c r="AB1048573" s="41" t="n">
        <f aca="false">IFERROR(__xludf.dummyfunction("""COMPUTED_VALUE"""),7)</f>
        <v>7</v>
      </c>
      <c r="AC1048573" s="57" t="str">
        <f aca="false">IFERROR(__xludf.dummyfunction("""COMPUTED_VALUE"""),"gv.tungnt@hocmai.edu.vn ")</f>
        <v>gv.tungnt@hocmai.edu.vn </v>
      </c>
      <c r="AD1048573" s="46" t="str">
        <f aca="false">IFERROR(__xludf.dummyfunction("""COMPUTED_VALUE"""),"trangcrazy699@gmail.com")</f>
        <v>trangcrazy699@gmail.com</v>
      </c>
      <c r="AE1048573" s="46"/>
      <c r="AF1048573" s="47" t="str">
        <f aca="false">IFERROR(__xludf.dummyfunction("""COMPUTED_VALUE"""),"lophoctoan-946212")</f>
        <v>lophoctoan-946212</v>
      </c>
      <c r="AG1048573" s="46" t="str">
        <f aca="false">IFERROR(__xludf.dummyfunction("""COMPUTED_VALUE"""),"")</f>
        <v/>
      </c>
      <c r="AH1048573" s="35"/>
      <c r="AI1048573" s="35"/>
      <c r="AJ1048573" s="53" t="b">
        <f aca="false">IFERROR(__xludf.dummyfunction("""COMPUTED_VALUE"""),TRUE())</f>
        <v>1</v>
      </c>
      <c r="AK1048573" s="53" t="b">
        <f aca="false">IFERROR(__xludf.dummyfunction("""COMPUTED_VALUE"""),TRUE())</f>
        <v>1</v>
      </c>
      <c r="AL1048573" s="35"/>
      <c r="AM1048573" s="35"/>
      <c r="AN1048573" s="35"/>
      <c r="AO1048573" s="46"/>
    </row>
    <row r="1048574" customFormat="false" ht="15.75" hidden="false" customHeight="true" outlineLevel="0" collapsed="false">
      <c r="A1048574" s="37" t="str">
        <f aca="false">IFERROR(__xludf.dummyfunction("""COMPUTED_VALUE"""),"Vật lí")</f>
        <v>Vật lí</v>
      </c>
      <c r="B1048574" s="37" t="str">
        <f aca="false">IFERROR(__xludf.dummyfunction("""COMPUTED_VALUE"""),"TOV_HSA_VL04")</f>
        <v>TOV_HSA_VL04</v>
      </c>
      <c r="C1048574" s="59" t="str">
        <f aca="false">IFERROR(__xludf.dummyfunction("""COMPUTED_VALUE"""),"Công – Năng lượng – Công suất và định luật bảo toàn")</f>
        <v>Công – Năng lượng – Công suất và định luật bảo toàn</v>
      </c>
      <c r="D1048574" s="39" t="str">
        <f aca="false">IFERROR(__xludf.dummyfunction("""COMPUTED_VALUE"""),"Nguyễn Hữu Tình")</f>
        <v>Nguyễn Hữu Tình</v>
      </c>
      <c r="E1048574" s="40" t="n">
        <f aca="false">IFERROR(__xludf.dummyfunction("""COMPUTED_VALUE"""),46212)</f>
        <v>46212</v>
      </c>
      <c r="F1048574" s="41" t="n">
        <f aca="false">IFERROR(__xludf.dummyfunction("""COMPUTED_VALUE"""),5)</f>
        <v>5</v>
      </c>
      <c r="G1048574" s="37" t="str">
        <f aca="false">IFERROR(__xludf.dummyfunction("""COMPUTED_VALUE"""),"21:00-23:00")</f>
        <v>21:00-23:00</v>
      </c>
      <c r="H1048574" s="42" t="str">
        <f aca="false">IFERROR(__xludf.dummyfunction("""COMPUTED_VALUE"""),"https://hocmai.vn/file.php/3119/NAM_HOC_2026_-_2027/Tai_lieu_live/TLHS_TOV_HSA_VL04._Cong_-_Nang_luong_-_Cong_suat_va_dinh_luat_bao_toan.pdf")</f>
        <v>https://hocmai.vn/file.php/3119/NAM_HOC_2026_-_2027/Tai_lieu_live/TLHS_TOV_HSA_VL04._Cong_-_Nang_luong_-_Cong_suat_va_dinh_luat_bao_toan.pdf</v>
      </c>
      <c r="I1048574" s="42" t="str">
        <f aca="false">IFERROR(__xludf.dummyfunction("""COMPUTED_VALUE"""),"https://hocmai.vn/file.php/3119/NAM_HOC_2026_-_2027/BTTL/BTTL_TOV_HSA_VL04._Cong_-_Nang_luong_-_Cong_suat_va_dinh_luat_bao_toan.pdf")</f>
        <v>https://hocmai.vn/file.php/3119/NAM_HOC_2026_-_2027/BTTL/BTTL_TOV_HSA_VL04._Cong_-_Nang_luong_-_Cong_suat_va_dinh_luat_bao_toan.pdf</v>
      </c>
      <c r="J1048574" s="42" t="str">
        <f aca="false">IFERROR(__xludf.dummyfunction("""COMPUTED_VALUE"""),"https://drive.google.com/drive/folders/16TwB2756MgRqHrD-hHIQ6EGCAdXUTR5z")</f>
        <v>https://drive.google.com/drive/folders/16TwB2756MgRqHrD-hHIQ6EGCAdXUTR5z</v>
      </c>
      <c r="K1048574" s="68" t="str">
        <f aca="false">IFERROR(__xludf.dummyfunction("""COMPUTED_VALUE"""),"Trangnth2")</f>
        <v>Trangnth2</v>
      </c>
      <c r="L1048574" s="68" t="str">
        <f aca="false">IFERROR(__xludf.dummyfunction("""COMPUTED_VALUE"""),"Kiều Bảo Minh")</f>
        <v>Kiều Bảo Minh</v>
      </c>
      <c r="M1048574" s="71"/>
      <c r="N1048574" s="76" t="str">
        <f aca="false">IFERROR(__xludf.dummyfunction("""COMPUTED_VALUE"""),"3119")</f>
        <v>3119</v>
      </c>
      <c r="O1048574" s="63" t="n">
        <f aca="false">IFERROR(__xludf.dummyfunction("""COMPUTED_VALUE"""),167519)</f>
        <v>167519</v>
      </c>
      <c r="P1048574" s="63"/>
      <c r="Q1048574" s="63"/>
      <c r="R1048574" s="41"/>
      <c r="S1048574" s="41"/>
      <c r="T1048574" s="63"/>
      <c r="U1048574" s="63" t="n">
        <f aca="false">IFERROR(__xludf.dummyfunction("""COMPUTED_VALUE"""),10460)</f>
        <v>10460</v>
      </c>
      <c r="V1048574" s="70" t="n">
        <f aca="false">IFERROR(__xludf.dummyfunction("""COMPUTED_VALUE"""),46215)</f>
        <v>46215</v>
      </c>
      <c r="W1048574" s="39" t="str">
        <f aca="false">IFERROR(__xludf.dummyfunction("""COMPUTED_VALUE"""),"Hoàn thành XB")</f>
        <v>Hoàn thành XB</v>
      </c>
      <c r="X1048574" s="41" t="str">
        <f aca="false">IFERROR(__xludf.dummyfunction("""COMPUTED_VALUE"""),"Trangnth2")</f>
        <v>Trangnth2</v>
      </c>
      <c r="Y1048574" s="44" t="str">
        <f aca="false">IFERROR(__xludf.dummyfunction("""COMPUTED_VALUE"""),"done")</f>
        <v>done</v>
      </c>
      <c r="Z1048574" s="57" t="str">
        <f aca="false">IFERROR(__xludf.dummyfunction("""COMPUTED_VALUE"""),"#N/A")</f>
        <v>#N/A</v>
      </c>
      <c r="AA1048574" s="57"/>
      <c r="AB1048574" s="41" t="n">
        <f aca="false">IFERROR(__xludf.dummyfunction("""COMPUTED_VALUE"""),7)</f>
        <v>7</v>
      </c>
      <c r="AC1048574" s="57" t="str">
        <f aca="false">IFERROR(__xludf.dummyfunction("""COMPUTED_VALUE"""),"gv.tinhnh@hocmai.edu.vn ")</f>
        <v>gv.tinhnh@hocmai.edu.vn </v>
      </c>
      <c r="AD1048574" s="46" t="str">
        <f aca="false">IFERROR(__xludf.dummyfunction("""COMPUTED_VALUE"""),"mkieu2662@gmail.com")</f>
        <v>mkieu2662@gmail.com</v>
      </c>
      <c r="AE1048574" s="46"/>
      <c r="AF1048574" s="74" t="b">
        <f aca="false">IFERROR(__xludf.dummyfunction("""COMPUTED_VALUE"""),FALSE())</f>
        <v>0</v>
      </c>
      <c r="AG1048574" s="46" t="str">
        <f aca="false">IFERROR(__xludf.dummyfunction("""COMPUTED_VALUE"""),"")</f>
        <v/>
      </c>
      <c r="AH1048574" s="35"/>
      <c r="AI1048574" s="35"/>
      <c r="AJ1048574" s="53" t="b">
        <f aca="false">IFERROR(__xludf.dummyfunction("""COMPUTED_VALUE"""),TRUE())</f>
        <v>1</v>
      </c>
      <c r="AK1048574" s="53" t="b">
        <f aca="false">IFERROR(__xludf.dummyfunction("""COMPUTED_VALUE"""),TRUE())</f>
        <v>1</v>
      </c>
      <c r="AL1048574" s="35"/>
      <c r="AM1048574" s="35"/>
      <c r="AN1048574" s="35"/>
      <c r="AO1048574" s="46"/>
    </row>
    <row r="1048575" customFormat="false" ht="15.75" hidden="false" customHeight="true" outlineLevel="0" collapsed="false">
      <c r="A1048575" s="37" t="str">
        <f aca="false">IFERROR(__xludf.dummyfunction("""COMPUTED_VALUE"""),"Toán")</f>
        <v>Toán</v>
      </c>
      <c r="B1048575" s="37" t="str">
        <f aca="false">IFERROR(__xludf.dummyfunction("""COMPUTED_VALUE"""),"TOA_V-ACT_T04")</f>
        <v>TOA_V-ACT_T04</v>
      </c>
      <c r="C1048575" s="59" t="str">
        <f aca="false">IFERROR(__xludf.dummyfunction("""COMPUTED_VALUE"""),"Các phương pháp và kĩ năng xử lí bài toán giới hạn và đạo hàm (P1)")</f>
        <v>Các phương pháp và kĩ năng xử lí bài toán giới hạn và đạo hàm (P1)</v>
      </c>
      <c r="D1048575" s="39" t="str">
        <f aca="false">IFERROR(__xludf.dummyfunction("""COMPUTED_VALUE"""),"Nguyễn Hoài Nam")</f>
        <v>Nguyễn Hoài Nam</v>
      </c>
      <c r="E1048575" s="40" t="n">
        <f aca="false">IFERROR(__xludf.dummyfunction("""COMPUTED_VALUE"""),46212)</f>
        <v>46212</v>
      </c>
      <c r="F1048575" s="41" t="n">
        <f aca="false">IFERROR(__xludf.dummyfunction("""COMPUTED_VALUE"""),5)</f>
        <v>5</v>
      </c>
      <c r="G1048575" s="37" t="str">
        <f aca="false">IFERROR(__xludf.dummyfunction("""COMPUTED_VALUE"""),"21:00-22:30")</f>
        <v>21:00-22:30</v>
      </c>
      <c r="H1048575" s="37"/>
      <c r="I1048575" s="37"/>
      <c r="J1048575" s="42" t="str">
        <f aca="false">IFERROR(__xludf.dummyfunction("""COMPUTED_VALUE"""),"https://drive.google.com/drive/folders/1MnpHSYyltDdHVXY7HB8z16suNRxFITsR?usp=sharing")</f>
        <v>https://drive.google.com/drive/folders/1MnpHSYyltDdHVXY7HB8z16suNRxFITsR?usp=sharing</v>
      </c>
      <c r="K1048575" s="68" t="str">
        <f aca="false">IFERROR(__xludf.dummyfunction("""COMPUTED_VALUE"""),"Lent")</f>
        <v>Lent</v>
      </c>
      <c r="L1048575" s="68" t="str">
        <f aca="false">IFERROR(__xludf.dummyfunction("""COMPUTED_VALUE"""),"Lường Nhật Nam")</f>
        <v>Lường Nhật Nam</v>
      </c>
      <c r="M1048575" s="71"/>
      <c r="N1048575" s="77" t="str">
        <f aca="false">IFERROR(__xludf.dummyfunction("""COMPUTED_VALUE"""),"3124,3316")</f>
        <v>3124,3316</v>
      </c>
      <c r="O1048575" s="73" t="n">
        <f aca="false">IFERROR(__xludf.dummyfunction("""COMPUTED_VALUE"""),167189.166858)</f>
        <v>167189.166858</v>
      </c>
      <c r="P1048575" s="63" t="n">
        <f aca="false">IFERROR(__xludf.dummyfunction("""COMPUTED_VALUE"""),9044.9108)</f>
        <v>9044.9108</v>
      </c>
      <c r="Q1048575" s="63" t="n">
        <f aca="false">IFERROR(__xludf.dummyfunction("""COMPUTED_VALUE"""),167189)</f>
        <v>167189</v>
      </c>
      <c r="R1048575" s="41" t="n">
        <f aca="false">IFERROR(__xludf.dummyfunction("""COMPUTED_VALUE"""),166858)</f>
        <v>166858</v>
      </c>
      <c r="S1048575" s="41"/>
      <c r="T1048575" s="63"/>
      <c r="U1048575" s="63"/>
      <c r="V1048575" s="70" t="n">
        <f aca="false">IFERROR(__xludf.dummyfunction("""COMPUTED_VALUE"""),46215)</f>
        <v>46215</v>
      </c>
      <c r="W1048575" s="39" t="str">
        <f aca="false">IFERROR(__xludf.dummyfunction("""COMPUTED_VALUE"""),"Hoàn thành XB")</f>
        <v>Hoàn thành XB</v>
      </c>
      <c r="X1048575" s="41" t="str">
        <f aca="false">IFERROR(__xludf.dummyfunction("""COMPUTED_VALUE"""),"Lent")</f>
        <v>Lent</v>
      </c>
      <c r="Y1048575" s="44" t="str">
        <f aca="false">IFERROR(__xludf.dummyfunction("""COMPUTED_VALUE"""),"done")</f>
        <v>done</v>
      </c>
      <c r="Z1048575" s="57" t="str">
        <f aca="false">IFERROR(__xludf.dummyfunction("""COMPUTED_VALUE"""),"#N/A")</f>
        <v>#N/A</v>
      </c>
      <c r="AA1048575" s="57"/>
      <c r="AB1048575" s="41" t="n">
        <f aca="false">IFERROR(__xludf.dummyfunction("""COMPUTED_VALUE"""),7)</f>
        <v>7</v>
      </c>
      <c r="AC1048575" s="57" t="str">
        <f aca="false">IFERROR(__xludf.dummyfunction("""COMPUTED_VALUE"""),"gv.namnh@hocmai.edu.vn ")</f>
        <v>gv.namnh@hocmai.edu.vn </v>
      </c>
      <c r="AD1048575" s="46" t="str">
        <f aca="false">IFERROR(__xludf.dummyfunction("""COMPUTED_VALUE"""),"nhatnam1092@gmail.com")</f>
        <v>nhatnam1092@gmail.com</v>
      </c>
      <c r="AE1048575" s="46"/>
      <c r="AF1048575" s="47" t="str">
        <f aca="false">IFERROR(__xludf.dummyfunction("""COMPUTED_VALUE"""),"lophoctoan-946212")</f>
        <v>lophoctoan-946212</v>
      </c>
      <c r="AG1048575" s="46" t="str">
        <f aca="false">IFERROR(__xludf.dummyfunction("""COMPUTED_VALUE"""),"")</f>
        <v/>
      </c>
      <c r="AH1048575" s="35"/>
      <c r="AI1048575" s="35"/>
      <c r="AJ1048575" s="35"/>
      <c r="AK1048575" s="35"/>
      <c r="AL1048575" s="35"/>
      <c r="AM1048575" s="53" t="b">
        <f aca="false">IFERROR(__xludf.dummyfunction("""COMPUTED_VALUE"""),TRUE())</f>
        <v>1</v>
      </c>
      <c r="AN1048575" s="53" t="b">
        <f aca="false">IFERROR(__xludf.dummyfunction("""COMPUTED_VALUE"""),TRUE())</f>
        <v>1</v>
      </c>
      <c r="AO1048575" s="46"/>
    </row>
    <row r="1048576" customFormat="false" ht="15.75" hidden="false" customHeight="true" outlineLevel="0" collapsed="false">
      <c r="A1048576" s="37" t="str">
        <f aca="false">IFERROR(__xludf.dummyfunction("""COMPUTED_VALUE"""),"Thực chiến Khoa học")</f>
        <v>Thực chiến Khoa học</v>
      </c>
      <c r="B1048576" s="37" t="str">
        <f aca="false">IFERROR(__xludf.dummyfunction("""COMPUTED_VALUE"""),"TC_TSA_KH_02")</f>
        <v>TC_TSA_KH_02</v>
      </c>
      <c r="C1048576" s="59" t="str">
        <f aca="false">IFERROR(__xludf.dummyfunction("""COMPUTED_VALUE"""),"[Bổ trợ]_Chữa bài tập TSA_Tư duy Khoa học số 02")</f>
        <v>[Bổ trợ]_Chữa bài tập TSA_Tư duy Khoa học số 02</v>
      </c>
      <c r="D1048576" s="39" t="str">
        <f aca="false">IFERROR(__xludf.dummyfunction("""COMPUTED_VALUE"""),"Phạm Huy Hoàng")</f>
        <v>Phạm Huy Hoàng</v>
      </c>
      <c r="E1048576" s="40" t="n">
        <f aca="false">IFERROR(__xludf.dummyfunction("""COMPUTED_VALUE"""),46212)</f>
        <v>46212</v>
      </c>
      <c r="F1048576" s="41" t="n">
        <f aca="false">IFERROR(__xludf.dummyfunction("""COMPUTED_VALUE"""),5)</f>
        <v>5</v>
      </c>
      <c r="G1048576" s="37" t="str">
        <f aca="false">IFERROR(__xludf.dummyfunction("""COMPUTED_VALUE"""),"19:00-20:00")</f>
        <v>19:00-20:00</v>
      </c>
      <c r="H1048576" s="37"/>
      <c r="I1048576" s="37"/>
      <c r="J1048576" s="42" t="str">
        <f aca="false">IFERROR(__xludf.dummyfunction("""COMPUTED_VALUE"""),"https://drive.google.com/drive/folders/1SORfzSmrfNfY8lP3BBXg5JlQNE-zDnuv")</f>
        <v>https://drive.google.com/drive/folders/1SORfzSmrfNfY8lP3BBXg5JlQNE-zDnuv</v>
      </c>
      <c r="K1048576" s="68" t="str">
        <f aca="false">IFERROR(__xludf.dummyfunction("""COMPUTED_VALUE"""),"Trangnth2")</f>
        <v>Trangnth2</v>
      </c>
      <c r="L1048576" s="68" t="str">
        <f aca="false">IFERROR(__xludf.dummyfunction("""COMPUTED_VALUE"""),"HOCMAI")</f>
        <v>HOCMAI</v>
      </c>
      <c r="M1048576" s="71"/>
      <c r="N1048576" s="77" t="str">
        <f aca="false">IFERROR(__xludf.dummyfunction("""COMPUTED_VALUE"""),"3110")</f>
        <v>3110</v>
      </c>
      <c r="O1048576" s="63" t="n">
        <f aca="false">IFERROR(__xludf.dummyfunction("""COMPUTED_VALUE"""),174808)</f>
        <v>174808</v>
      </c>
      <c r="P1048576" s="60" t="str">
        <f aca="false">IFERROR(__xludf.dummyfunction("""COMPUTED_VALUE"""),"https://hocmai.vn/bai-giang-truc-tuyen/174808/.html")</f>
        <v>https://hocmai.vn/bai-giang-truc-tuyen/174808/.html</v>
      </c>
      <c r="Q1048576" s="63"/>
      <c r="R1048576" s="41"/>
      <c r="S1048576" s="41"/>
      <c r="T1048576" s="63"/>
      <c r="U1048576" s="63"/>
      <c r="V1048576" s="70" t="n">
        <f aca="false">IFERROR(__xludf.dummyfunction("""COMPUTED_VALUE"""),46215)</f>
        <v>46215</v>
      </c>
      <c r="W1048576" s="39" t="str">
        <f aca="false">IFERROR(__xludf.dummyfunction("""COMPUTED_VALUE"""),"Hoàn thành XB")</f>
        <v>Hoàn thành XB</v>
      </c>
      <c r="X1048576" s="41" t="str">
        <f aca="false">IFERROR(__xludf.dummyfunction("""COMPUTED_VALUE"""),"Vuta")</f>
        <v>Vuta</v>
      </c>
      <c r="Y1048576" s="44"/>
      <c r="Z1048576" s="57"/>
      <c r="AA1048576" s="57"/>
      <c r="AB1048576" s="41" t="n">
        <f aca="false">IFERROR(__xludf.dummyfunction("""COMPUTED_VALUE"""),7)</f>
        <v>7</v>
      </c>
      <c r="AC1048576" s="57" t="str">
        <f aca="false">IFERROR(__xludf.dummyfunction("""COMPUTED_VALUE"""),"0376611308")</f>
        <v>0376611308</v>
      </c>
      <c r="AD1048576" s="46"/>
      <c r="AE1048576" s="46"/>
      <c r="AF1048576" s="47"/>
      <c r="AG1048576" s="46"/>
      <c r="AH1048576" s="53" t="b">
        <f aca="false">IFERROR(__xludf.dummyfunction("""COMPUTED_VALUE"""),FALSE())</f>
        <v>0</v>
      </c>
      <c r="AI1048576" s="53" t="b">
        <f aca="false">IFERROR(__xludf.dummyfunction("""COMPUTED_VALUE"""),TRUE())</f>
        <v>1</v>
      </c>
      <c r="AJ1048576" s="53" t="b">
        <f aca="false">IFERROR(__xludf.dummyfunction("""COMPUTED_VALUE"""),FALSE())</f>
        <v>0</v>
      </c>
      <c r="AK1048576" s="53" t="b">
        <f aca="false">IFERROR(__xludf.dummyfunction("""COMPUTED_VALUE"""),FALSE())</f>
        <v>0</v>
      </c>
      <c r="AL1048576" s="53" t="b">
        <f aca="false">IFERROR(__xludf.dummyfunction("""COMPUTED_VALUE"""),FALSE())</f>
        <v>0</v>
      </c>
      <c r="AM1048576" s="53" t="b">
        <f aca="false">IFERROR(__xludf.dummyfunction("""COMPUTED_VALUE"""),FALSE())</f>
        <v>0</v>
      </c>
      <c r="AN1048576" s="53" t="b">
        <f aca="false">IFERROR(__xludf.dummyfunction("""COMPUTED_VALUE"""),FALSE())</f>
        <v>0</v>
      </c>
      <c r="AO1048576" s="46"/>
    </row>
  </sheetData>
  <conditionalFormatting sqref="A3:Y830 A1048474:Y1048576">
    <cfRule type="expression" priority="2" aboveAverage="0" equalAverage="0" bottom="0" percent="0" rank="0" text="" dxfId="0">
      <formula>$E3&lt;TODAY()</formula>
    </cfRule>
  </conditionalFormatting>
  <conditionalFormatting sqref="A4:AC830 A1048475:AC1048576">
    <cfRule type="expression" priority="3" aboveAverage="0" equalAverage="0" bottom="0" percent="0" rank="0" text="" dxfId="1">
      <formula>$C4="Nghỉ"</formula>
    </cfRule>
  </conditionalFormatting>
  <conditionalFormatting sqref="A4:Y830 A1048475:Y1048576">
    <cfRule type="expression" priority="4" aboveAverage="0" equalAverage="0" bottom="0" percent="0" rank="0" text="" dxfId="2">
      <formula>$W4="Hủy lịch"</formula>
    </cfRule>
  </conditionalFormatting>
  <dataValidations count="2">
    <dataValidation allowBlank="true" errorStyle="stop" operator="between" showDropDown="false" showErrorMessage="true" showInputMessage="false" sqref="D4:D36 D38:D830 D1048475:D1048507 D1048509:D1048576" type="list">
      <formula1>"Vũ Khắc Ngọc,Vương Thúy Hằng,Thiều Thị Dung,Nguyễn Thanh Tùng,Phạm Hữu Cường,Nguyễn Thanh Hương,Nguyễn Hữu Tình,Chu Hải Long,Nguyễn Dương Ánh Hồng,Văn Trịnh Quỳnh An,Nguyễn Hoài Nam,Nguyễn Thị Khánh Ly,Huỳnh Anh Du,Lê Văn Minh,Nguyễn Trung Nguyên,Nguyễn P"&amp;"hương Linh,Dương Thị Huyền,Nguyễn Văn Vinh,Phạm Huy Hoàng,Đào Hồng Phúc,Nguyễn Trọng Trường Anh,Phạm Nguyễn Thủy Hoa,Lê Thế Anh,Nguyễn Thị Thanh Hoa,Vi Vũ Trí Đức,Trần Đức Lương,Dung Thành Vinh"</formula1>
      <formula2>0</formula2>
    </dataValidation>
    <dataValidation allowBlank="true" errorStyle="stop" operator="between" showDropDown="false" showErrorMessage="false" showInputMessage="false" sqref="W4:W830 W1048475:W1048576" type="list">
      <formula1>"Hoàn thành TL live,Hoàn thành BT sau live,Đã order dựng,Hoàn thành XB,Hủy lịch - Có bù,Hủy lịch - Không bù"</formula1>
      <formula2>0</formula2>
    </dataValidation>
  </dataValidations>
  <hyperlinks>
    <hyperlink ref="Y1" r:id="rId2" location="gid=1826424214" display="HMO.Topuni 2027.Campaign Khóa học phễu"/>
    <hyperlink ref="Y2" location="null!A1" display="BACK"/>
    <hyperlink ref="J3" r:id="rId3" display="Link Drive"/>
    <hyperlink ref="H4" r:id="rId4" display="https://hocmai.vn/mod/scorm/view_file.php?id=179705"/>
    <hyperlink ref="I4" r:id="rId5" display="https://hocmai.vn/mod/scorm/view_file.php?id=179746"/>
    <hyperlink ref="J4" r:id="rId6" display="https://drive.google.com/drive/folders/1pooVkDuKbZux71nx9JQOPCtMkkO-NiVH?usp=drive_link"/>
    <hyperlink ref="M4" r:id="rId7" display="https://hocmai.sharepoint.com/Education_Development/Lists/San_xuat_video/DispForm.aspx?ID=12140"/>
    <hyperlink ref="Z4" r:id="rId8" display="https://s3.evgcloud.net/livestream/video/mp4/2026/04/04/336_3367b21041d85e947b681e0b1d2ab785e71_RELAY-20260404195951-cv.mp4"/>
    <hyperlink ref="H5" r:id="rId9" display="https://hocmai.vn/mod/scorm/view_file.php?id=179750"/>
    <hyperlink ref="I5" r:id="rId10" display="https://hocmai.vn/mod/scorm/view_file.php?id=179806"/>
    <hyperlink ref="J5" r:id="rId11" display="https://drive.google.com/drive/folders/17Ns1XGnRDURERaThSuyC4O983qcqrHni?usp=drive_link"/>
    <hyperlink ref="M5" r:id="rId12" display="https://hocmai.sharepoint.com/Education_Development/Lists/San_xuat_video/DispForm.aspx?ID=12141"/>
    <hyperlink ref="Z5" r:id="rId13" display="https://s3.evgcloud.net/livestream/video/mp4/2026/04/08/336_3367b21041d85e947b681e0b1d2ab785e71_RELAY-20260408201630-cv.mp4"/>
    <hyperlink ref="H6" r:id="rId14" display="https://hocmai.vn/mod/scorm/view_file.php?id=179810"/>
    <hyperlink ref="I6" r:id="rId15" display="https://hocmai.vn/mod/scorm/view_file.php?id=179848"/>
    <hyperlink ref="J6" r:id="rId16" display="https://drive.google.com/drive/folders/1xgHxIawL2ZhDklUCtuAFi7FxgJkjde7U?usp=drive_link"/>
    <hyperlink ref="M6" r:id="rId17" display="https://hocmai.sharepoint.com/Education_Development/Lists/San_xuat_video/DispForm.aspx?ID=12142"/>
    <hyperlink ref="Z6" r:id="rId18" display="https://s3.evgcloud.net/livestream/video/mp4/2026/04/11/336_3367b21041d85e947b681e0b1d2ab785e71_RELAY-20260411195610-cv.mp4"/>
    <hyperlink ref="H7" r:id="rId19" display="https://hocmai.vn/mod/scorm/view_file.php?id=179871"/>
    <hyperlink ref="I7" r:id="rId20" display="https://hocmai.vn/mod/scorm/view_file.php?id=179887"/>
    <hyperlink ref="J7" r:id="rId21" display="https://drive.google.com/drive/folders/1d3LM0qCEksmEq7FP7DMglByLFRM_pOyE?usp=drive_link"/>
    <hyperlink ref="M7" r:id="rId22" display="https://hocmai.sharepoint.com/Education_Development/Lists/San_xuat_video/DispForm.aspx?ID=12143"/>
    <hyperlink ref="Z7" r:id="rId23" display="https://s3.evgcloud.net/livestream/video/mp4/2026/04/15/336_336735e1943dfd144858558d92cc3a5e700_RELAY-20260415195526-cv.mp4"/>
    <hyperlink ref="H8" r:id="rId24" display="https://hocmai.vn/mod/scorm/view_file.php?id=179894"/>
    <hyperlink ref="I8" r:id="rId25" display="https://hocmai.vn/mod/scorm/view_file.php?id=179931"/>
    <hyperlink ref="J8" r:id="rId26" display="https://drive.google.com/drive/folders/1GS701cWItnDxX4jwqGOpGUWAv3aPv2xC?usp=drive_link"/>
    <hyperlink ref="M8" r:id="rId27" display="https://hocmai.sharepoint.com/Education_Development/Lists/San_xuat_video/DispForm.aspx?ID=12144"/>
    <hyperlink ref="Z8" r:id="rId28" display="https://s3.evgcloud.net/livestream/video/mp4/2026/04/18/336_33675f560e9966149c5bb6da16e6905fa9f_RELAY-20260418195744-cv.mp4"/>
    <hyperlink ref="H9" r:id="rId29" display="https://hocmai.vn/mod/scorm/view_file.php?inpopup=true&amp;id=179950"/>
    <hyperlink ref="I9" r:id="rId30" display="https://hocmai.vn/mod/scorm/view_file.php?inpopup=true&amp;id=179951"/>
    <hyperlink ref="J9" r:id="rId31" display="https://drive.google.com/file/d/1mqz0vNOCcxBMRRvZ1gBnEo11x1iuIBUR/view?usp=drive_link"/>
    <hyperlink ref="M9" r:id="rId32" display="https://hocmai.sharepoint.com/Education_Development/Lists/San_xuat_video/DispForm.aspx?ID=12188"/>
    <hyperlink ref="N9" r:id="rId33" display="https://hocmai.vn/course/view.php?id=3313"/>
    <hyperlink ref="Z9" r:id="rId34" display="https://s3.evgcloud.net/livestream/video/mp4/2026/04/22/336_336c10bed572efe47edb6c03e1f78d13d85_RELAY-20260421213059-cv.mp4"/>
    <hyperlink ref="H10" r:id="rId35" display="https://hocmai.vn/mod/scorm/view_file.php?id=179920"/>
    <hyperlink ref="I10" r:id="rId36" display="https://hocmai.vn/mod/scorm/view_file.php?id=179955"/>
    <hyperlink ref="J10" r:id="rId37" display="https://drive.google.com/drive/folders/1DbLJ9b34GfUr-wesgEFZKBUqvYDCFa_M?usp=drive_link"/>
    <hyperlink ref="M10" r:id="rId38" display="https://hocmai.sharepoint.com/Education_Development/Lists/San_xuat_video/DispForm.aspx?ID=12145"/>
    <hyperlink ref="Z10" r:id="rId39" display="https://s3.evgcloud.net/livestream/video/mp4/2026/04/22/336_33675f560e9966149c5bb6da16e6905fa9f_RELAY-20260422195858-cv.mp4"/>
    <hyperlink ref="H11" r:id="rId40" display="https://hocmai.vn/mod/scorm/view_file.php?id=180003"/>
    <hyperlink ref="I11" r:id="rId41" display="https://hocmai.vn/mod/scorm/view_file.php?id=180011"/>
    <hyperlink ref="J11" r:id="rId42" display="https://drive.google.com/drive/folders/13bqChLqEsjd6J_9-2kM5bpISg1_-BJHL?usp=drive_link"/>
    <hyperlink ref="M11" r:id="rId43" display="https://hocmai.sharepoint.com/Education_Development/Lists/San_xuat_video/DispForm.aspx?ID=12146"/>
    <hyperlink ref="Z11" r:id="rId44" display="https://s3.evgcloud.net/livestream/video/mp4/2026/04/25/336_33675f560e9966149c5bb6da16e6905fa9f_RELAY-20260425195542-cv.mp4"/>
    <hyperlink ref="H12" r:id="rId45" display="https://hocmai.vn/mod/scorm/view_file.php?inpopup=true&amp;id=180033"/>
    <hyperlink ref="I12" r:id="rId46" display="https://hocmai.vn/mod/scorm/view_file.php?inpopup=true&amp;id=180040"/>
    <hyperlink ref="M12" r:id="rId47" display="https://hocmai.sharepoint.com/Education_Development/Lists/San_xuat_video/DispForm.aspx?ID=12189"/>
    <hyperlink ref="N12" r:id="rId48" display="https://hocmai.vn/course/view.php?id=3313"/>
    <hyperlink ref="Z12" r:id="rId49" display="https://s3.evgcloud.net/livestream/video/mp4/2026/04/29/336_33675f560e9966149c5bb6da16e6905fa9f_RELAY-20260428212501-cv.mp4"/>
    <hyperlink ref="H13" r:id="rId50" display="https://hocmai.vn/mod/scorm/view_file.php?id=180020"/>
    <hyperlink ref="I13" r:id="rId51" display="https://hocmai.vn/mod/scorm/view_file.php?id=180027"/>
    <hyperlink ref="J13" r:id="rId52" display="https://drive.google.com/drive/folders/1SrhX0P8LFpuSfjj8sL52PlP7AguTZgoW?usp=drive_link"/>
    <hyperlink ref="M13" r:id="rId53" display="https://hocmai.sharepoint.com/Education_Development/Lists/San_xuat_video/DispForm.aspx?ID=12147"/>
    <hyperlink ref="Z13" r:id="rId54" display="https://s3.evgcloud.net/livestream/video/mp4/2026/04/29/336_33675f560e9966149c5bb6da16e6905fa9f_RELAY-20260429195834-cv.mp4"/>
    <hyperlink ref="H14" r:id="rId55" display="https://hocmai.vn/mod/scorm/view_file.php?id=180049"/>
    <hyperlink ref="I14" r:id="rId56" display="https://hocmai.vn/mod/scorm/view_file.php?id=180029"/>
    <hyperlink ref="J14" r:id="rId57" display="https://drive.google.com/drive/folders/1KTWBEmjJ46Mw-BVWSU_L-xmKo5r5FG35?usp=drive_link"/>
    <hyperlink ref="M14" r:id="rId58" display="https://hocmai.sharepoint.com/Education_Development/Lists/San_xuat_video/DispForm.aspx?ID=12148"/>
    <hyperlink ref="H15" r:id="rId59" display="https://hocmai.vn/mod/scorm/view_file.php?inpopup=true&amp;id=180066"/>
    <hyperlink ref="I15" r:id="rId60" display="https://hocmai.vn/mod/scorm/view_file.php?inpopup=true&amp;id=180078"/>
    <hyperlink ref="M15" r:id="rId61" display="https://hocmai.sharepoint.com/Education_Development/Lists/San_xuat_video/DispForm.aspx?ID=12190"/>
    <hyperlink ref="N15" r:id="rId62" display="https://hocmai.vn/course/view.php?id=3313"/>
    <hyperlink ref="Z15" r:id="rId63" display="https://s3.evgcloud.net/livestream/video/mp4/2026/05/05/336_33675f560e9966149c5bb6da16e6905fa9f_RELAY-20260505205417-cv.mp4"/>
    <hyperlink ref="H16" r:id="rId64" display="https://hocmai.vn/mod/scorm/view_file.php?id=180080"/>
    <hyperlink ref="I16" r:id="rId65" display="https://hocmai.vn/mod/scorm/view_file.php?id=180081"/>
    <hyperlink ref="J16" r:id="rId66" display="https://drive.google.com/drive/folders/1TQSr2qDRiDocCiTniIcIV9cdzinOy8bF?usp=drive_link"/>
    <hyperlink ref="M16" r:id="rId67" display="https://hocmai.sharepoint.com/Education_Development/Lists/San_xuat_video/DispForm.aspx?ID=12149"/>
    <hyperlink ref="H17" r:id="rId68" display="https://hocmai.vn/mod/scorm/view_file.php?id=180091"/>
    <hyperlink ref="I17" r:id="rId69" display="https://hocmai.vn/mod/scorm/view_file.php?id=180104"/>
    <hyperlink ref="J17" r:id="rId70" display="https://drive.google.com/drive/folders/1W1jJMdZQDFulPLSl9-J-_6wx57IlaYWG?usp=drive_link"/>
    <hyperlink ref="M17" r:id="rId71" display="https://hocmai.sharepoint.com/Education_Development/Lists/San_xuat_video/DispForm.aspx?ID=12150"/>
    <hyperlink ref="H18" r:id="rId72" display="https://hocmai.vn/mod/scorm/view_file.php?inpopup=true&amp;id=180111"/>
    <hyperlink ref="I18" r:id="rId73" display="https://hocmai.vn/mod/scorm/view_file.php?inpopup=true&amp;id=180115"/>
    <hyperlink ref="M18" r:id="rId74" display="https://hocmai.sharepoint.com/Education_Development/Lists/San_xuat_video/DispForm.aspx?ID=12191"/>
    <hyperlink ref="N18" r:id="rId75" display="https://hocmai.vn/course/view.php?id=3313"/>
    <hyperlink ref="H19" r:id="rId76" display="https://hocmai.vn/mod/scorm/view_file.php?id=180098"/>
    <hyperlink ref="I19" r:id="rId77" display="https://hocmai.vn/mod/scorm/view_file.php?id=180120"/>
    <hyperlink ref="J19" r:id="rId78" display="https://drive.google.com/drive/folders/1G5v6zUww2xBeXLEAWV2j3PEkldm5KfcR?usp=drive_link"/>
    <hyperlink ref="M19" r:id="rId79" display="https://hocmai.sharepoint.com/Education_Development/Lists/San_xuat_video/DispForm.aspx?ID=12151"/>
    <hyperlink ref="H20" r:id="rId80" display="https://hocmai.vn/mod/scorm/view_file.php?id=180122"/>
    <hyperlink ref="I20" r:id="rId81" display="https://hocmai.vn/mod/scorm/view_file.php?id=180132"/>
    <hyperlink ref="J20" r:id="rId82" display="https://drive.google.com/drive/folders/1V9w_qNbfN-N6v0fQ5ZWj5bS9UxNAmfTD?usp=drive_link"/>
    <hyperlink ref="M20" r:id="rId83" display="https://hocmai.sharepoint.com/Education_Development/Lists/San_xuat_video/DispForm.aspx?ID=12152"/>
    <hyperlink ref="H21" r:id="rId84" display="https://hocmai.vn/mod/scorm/view_file.php?inpopup=true&amp;id=180143"/>
    <hyperlink ref="I21" r:id="rId85" display="https://hocmai.vn/mod/scorm/view_file.php?inpopup=true&amp;id=180134"/>
    <hyperlink ref="M21" r:id="rId86" display="https://hocmai.sharepoint.com/Education_Development/Lists/San_xuat_video/DispForm.aspx?ID=12192"/>
    <hyperlink ref="N21" r:id="rId87" display="https://hocmai.vn/course/view.php?id=3313"/>
    <hyperlink ref="H22" r:id="rId88" display="https://hocmai.vn/mod/scorm/view_file.php?id=180138"/>
    <hyperlink ref="I22" r:id="rId89" display="https://hocmai.vn/mod/scorm/view_file.php?id=180166"/>
    <hyperlink ref="J22" r:id="rId90" display="https://drive.google.com/drive/folders/1Ycl6619I1qcaUCAjfB4uIc4j-T--DDvS?usp=drive_link"/>
    <hyperlink ref="M22" r:id="rId91" display="https://hocmai.sharepoint.com/Education_Development/Lists/San_xuat_video/DispForm.aspx?ID=12153"/>
    <hyperlink ref="H23" r:id="rId92" display="https://hocmai.vn/mod/scorm/view_file.php?id=180168"/>
    <hyperlink ref="I23" r:id="rId93" display="https://hocmai.vn/mod/scorm/view_file.php?id=180176"/>
    <hyperlink ref="J23" r:id="rId94" display="https://drive.google.com/drive/folders/1uoNC8cTvCsk7_S3JvgJznQIbEBC-Iyb8?usp=drive_link"/>
    <hyperlink ref="M23" r:id="rId95" display="https://hocmai.sharepoint.com/Education_Development/Lists/San_xuat_video/DispForm.aspx?ID=12154"/>
    <hyperlink ref="H24" r:id="rId96" display="https://hocmai.vn/mod/scorm/view_file.php?id=180172"/>
    <hyperlink ref="I24" r:id="rId97" display="https://hocmai.vn/mod/scorm/view_file.php?id=180178"/>
    <hyperlink ref="J24" r:id="rId98" display="https://drive.google.com/drive/folders/1uoNC8cTvCsk7_S3JvgJznQIbEBC-Iyb8?usp=drive_link"/>
    <hyperlink ref="M24" r:id="rId99" display="https://hocmai.sharepoint.com/Education_Development/Lists/San_xuat_video/DispForm.aspx?ID=12154"/>
    <hyperlink ref="H25" r:id="rId100" display="https://hocmai.vn/mod/scorm/view_file.php?id=180173"/>
    <hyperlink ref="I25" r:id="rId101" display="https://hocmai.vn/mod/scorm/view_file.php?id=180180"/>
    <hyperlink ref="J25" r:id="rId102" display="https://drive.google.com/drive/folders/1bmKFOGgfd0V_nVx289MN28FE4oYeOmCT?usp=drive_link"/>
    <hyperlink ref="M25" r:id="rId103" display="https://hocmai.sharepoint.com/Education_Development/Lists/San_xuat_video/DispForm.aspx?ID=12155"/>
    <hyperlink ref="H26" r:id="rId104" display="https://hocmai.vn/mod/scorm/view_file.php?inpopup=true&amp;id=180185"/>
    <hyperlink ref="I26" r:id="rId105" display="https://hocmai.vn/mod/scorm/view_file.php?inpopup=true&amp;id=180186"/>
    <hyperlink ref="M26" r:id="rId106" display="https://hocmai.sharepoint.com/Education_Development/Lists/San_xuat_video/DispForm.aspx?ID=12193"/>
    <hyperlink ref="N26" r:id="rId107" display="https://hocmai.vn/course/view.php?id=3313"/>
    <hyperlink ref="H27" r:id="rId108" display="https://hocmai.vn/mod/scorm/view_file.php?id=180184"/>
    <hyperlink ref="I27" r:id="rId109" display="https://hocmai.vn/mod/scorm/view_file.php?id=180192"/>
    <hyperlink ref="J27" r:id="rId110" display="https://drive.google.com/drive/folders/1W27G-KXm8U1uZQxc39Owkmg_kfWtXQeY?usp=drive_link"/>
    <hyperlink ref="M27" r:id="rId111" display="https://hocmai.sharepoint.com/Education_Development/Lists/San_xuat_video/DispForm.aspx?ID=12156"/>
    <hyperlink ref="H28" r:id="rId112" display="https://hocmai.vn/mod/scorm/view_file.php?id=180191"/>
    <hyperlink ref="I28" r:id="rId113" display="https://hocmai.vn/mod/scorm/view_file.php?id=180205"/>
    <hyperlink ref="J28" r:id="rId114" display="https://drive.google.com/drive/folders/1OeTfOrGwcEPIp1PDLqo5qXJ9zWue2S-S?usp=drive_link"/>
    <hyperlink ref="M28" r:id="rId115" display="https://hocmai.sharepoint.com/Education_Development/Lists/San_xuat_video/DispForm.aspx?ID=12157"/>
    <hyperlink ref="H29" r:id="rId116" display="https://hocmai.vn/mod/scorm/view_file.php?id=180197"/>
    <hyperlink ref="I29" r:id="rId117" display="https://hocmai.vn/mod/scorm/view_file.php?id=180207"/>
    <hyperlink ref="J29" r:id="rId118" display="https://drive.google.com/drive/folders/1tgo-5Je0l37tkoF7nqTHi-nqZ63y9wnX?usp=drive_link"/>
    <hyperlink ref="M29" r:id="rId119" display="https://hocmai.sharepoint.com/Education_Development/Lists/San_xuat_video/DispForm.aspx?ID=12158"/>
    <hyperlink ref="H30" r:id="rId120" display="https://hocmai.vn/mod/scorm/view_file.php?inpopup=true&amp;id=180202"/>
    <hyperlink ref="I30" r:id="rId121" display="https://hocmai.vn/mod/scorm/view_file.php?inpopup=true&amp;id=180203"/>
    <hyperlink ref="M30" r:id="rId122" display="https://hocmai.sharepoint.com/Education_Development/Lists/San_xuat_video/DispForm.aspx?ID=12194"/>
    <hyperlink ref="N30" r:id="rId123" display="https://hocmai.vn/course/view.php?id=3313"/>
    <hyperlink ref="H31" r:id="rId124" display="https://hocmai.vn/mod/scorm/view_file.php?id=180213"/>
    <hyperlink ref="I31" r:id="rId125" display="https://hocmai.vn/mod/scorm/view_file.php?id=180221"/>
    <hyperlink ref="J31" r:id="rId126" display="https://drive.google.com/drive/folders/1fC7WWo7u0zywx8D7ZBiJYdZxL3gN7Mjk?usp=drive_link"/>
    <hyperlink ref="M31" r:id="rId127" display="https://hocmai.sharepoint.com/Education_Development/Lists/San_xuat_video/DispForm.aspx?ID=12159"/>
    <hyperlink ref="H32" r:id="rId128" display="https://hocmai.vn/mod/scorm/view_file.php?id=180219"/>
    <hyperlink ref="I32" r:id="rId129" display="https://hocmai.vn/mod/scorm/view_file.php?id=180561"/>
    <hyperlink ref="J32" r:id="rId130" display="https://drive.google.com/drive/folders/1DuybJH7F16nah89d-R8umD-8S1Z8LalM?usp=drive_link"/>
    <hyperlink ref="M32" r:id="rId131" display="https://hocmai.sharepoint.com/Education_Development/Lists/San_xuat_video/DispForm.aspx?ID=12160"/>
    <hyperlink ref="H33" r:id="rId132" display="https://hocmai.vn/mod/scorm/view_file.php?id=180559"/>
    <hyperlink ref="I33" r:id="rId133" display="https://hocmai.vn/mod/scorm/view_file.php?id=180563"/>
    <hyperlink ref="J33" r:id="rId134" display="https://drive.google.com/drive/folders/1lP4XtE84d_aRaZDjqqioXTmxOmWZwzra?usp=drive_link"/>
    <hyperlink ref="M33" r:id="rId135" display="https://hocmai.sharepoint.com/Education_Development/Lists/San_xuat_video/DispForm.aspx?ID=12161"/>
    <hyperlink ref="H34" r:id="rId136" display="https://hocmai.vn/mod/scorm/view_file.php?inpopup=true&amp;id=180565"/>
    <hyperlink ref="I34" r:id="rId137" display="https://hocmai.vn/mod/scorm/view_file.php?inpopup=true&amp;id=180568"/>
    <hyperlink ref="J34" r:id="rId138" display="https://drive.google.com/drive/folders/1uQJIAcYibQZh_DS3p1MVsVXJY00XCjQ2?usp=drive_link"/>
    <hyperlink ref="M34" r:id="rId139" display="https://hocmai.sharepoint.com/Education_Development/Lists/San_xuat_video/DispForm.aspx?ID=12195"/>
    <hyperlink ref="N34" r:id="rId140" display="https://hocmai.vn/course/view.php?id=3313"/>
    <hyperlink ref="H35" r:id="rId141" display="https://hocmai.vn/mod/scorm/view_file.php?id=180560"/>
    <hyperlink ref="I35" r:id="rId142" display="https://hocmai.vn/mod/scorm/view_file.php?id=180942"/>
    <hyperlink ref="J35" r:id="rId143" display="https://drive.google.com/drive/folders/11T-F4N5lJjdVw3OviiJyNdn00NroY9bR?usp=drive_link"/>
    <hyperlink ref="M35" r:id="rId144" display="https://hocmai.sharepoint.com/Education_Development/Lists/San_xuat_video/DispForm.aspx?ID=12162"/>
    <hyperlink ref="H36" r:id="rId145" display="https://hocmai.vn/mod/scorm/view_file.php?id=180921"/>
    <hyperlink ref="I36" r:id="rId146" display="https://hocmai.vn/mod/scorm/view_file.php?id=180979"/>
    <hyperlink ref="J36" r:id="rId147" display="https://drive.google.com/drive/folders/1-h4iYOvBqYXrsAGl4TjolBwLq6MDhzWY?usp=drive_link"/>
    <hyperlink ref="M36" r:id="rId148" display="https://hocmai.sharepoint.com/Education_Development/Lists/San_xuat_video/DispForm.aspx?ID=12163"/>
    <hyperlink ref="H37" r:id="rId149" display="https://hocmai.vn/mod/scorm/view_file.php?inpopup=true&amp;id=180926"/>
    <hyperlink ref="I37" r:id="rId150" display="https://hocmai.vn/mod/scorm/view_file.php?inpopup=true&amp;id=180927"/>
    <hyperlink ref="J37" r:id="rId151" display="https://drive.google.com/drive/folders/1NG8TCHJCwEcbGNufeRUQEeedUv_i2bxl?usp=drive_link"/>
    <hyperlink ref="M37" r:id="rId152" display="https://hocmai.sharepoint.com/Education_Development/Lists/San_xuat_video/DispForm.aspx?ID=12196"/>
    <hyperlink ref="N37" r:id="rId153" display="https://hocmai.vn/course/view.php?id=3313"/>
    <hyperlink ref="H38" r:id="rId154" display="https://hocmai.vn/mod/scorm/view_file.php?id=180922"/>
    <hyperlink ref="I38" r:id="rId155" display="https://hocmai.vn/mod/scorm/view_file.php?id=180987"/>
    <hyperlink ref="J38" r:id="rId156" display="https://drive.google.com/drive/folders/1c6ls30QeA9CZ9XM67E8QYPIJhUgUVdmU?usp=drive_link"/>
    <hyperlink ref="M38" r:id="rId157" display="https://hocmai.sharepoint.com/Education_Development/Lists/San_xuat_video/DispForm.aspx?ID=12164"/>
    <hyperlink ref="H39" r:id="rId158" display="https://hocmai.vn/mod/scorm/view_file.php?inpopup=true&amp;id=180946"/>
    <hyperlink ref="I39" r:id="rId159" display="https://hocmai.vn/mod/scorm/view_file.php?inpopup=true&amp;id=180998"/>
    <hyperlink ref="J39" r:id="rId160" display="https://drive.google.com/file/d/1MfxiPWY3wgiBfuRXDBDY-P5zUnveUufT/view?usp=drive_link"/>
    <hyperlink ref="H40" r:id="rId161" display="https://hocmai.vn/mod/scorm/view_file.php?inpopup=true&amp;id=180924"/>
    <hyperlink ref="I40" r:id="rId162" display="https://hocmai.vn/mod/scorm/view_file.php?inpopup=true&amp;id=180982"/>
    <hyperlink ref="J40" r:id="rId163" display="https://drive.google.com/file/d/1SPCCaOuv0GuSyB5YxIzi-xO3_bA7ub4c/view?usp=drive_link"/>
    <hyperlink ref="A41" r:id="rId164" display="https://hocmai.vn/course/view.php?id=3120&amp;edit=on&amp;sesskey=iNeihlzt40"/>
    <hyperlink ref="H41" r:id="rId165" display="https://hocmai.vn/mod/scorm/view_file.php?id=180576"/>
    <hyperlink ref="I41" r:id="rId166" display="https://hocmai.vn/mod/scorm/view_file.php?id=181009"/>
    <hyperlink ref="J41" r:id="rId167" display="https://drive.google.com/drive/folders/1xqzMZVBAOs9v29FwWvg8yfts6dYcG6-t?usp=drive_link"/>
    <hyperlink ref="H42" r:id="rId168" display="https://hocmai.vn/kho-tai-lieu/read.php?id=19937"/>
    <hyperlink ref="J42" r:id="rId169" display="https://drive.google.com/drive/folders/1soJOy-ndjRXSxFDTUWlYedfvZAObXioF?usp=drive_link"/>
    <hyperlink ref="H43" r:id="rId170" display="https://hocmai.vn/mod/scorm/view_file.php?inpopup=true&amp;id=181030"/>
    <hyperlink ref="I43" r:id="rId171" display="https://hocmai.vn/mod/scorm/view_file.php?inpopup=true&amp;id=181031"/>
    <hyperlink ref="J43" r:id="rId172" display="https://drive.google.com/drive/folders/1Oi_dW-kqYkqVgBIwysHGAnsse2saB5wP"/>
    <hyperlink ref="H44" r:id="rId173" display="https://hocmai.vn/mod/scorm/view_file.php?inpopup=true&amp;id=180948"/>
    <hyperlink ref="I44" r:id="rId174" display="https://hocmai.vn/mod/scorm/view_file.php?inpopup=true&amp;id=181003"/>
    <hyperlink ref="J44" r:id="rId175" display="https://drive.google.com/drive/folders/130hYZYnEvDIeCATxS7Yki8fNKChHnDJp"/>
    <hyperlink ref="H45" r:id="rId176" display="https://hocmai.vn/mod/scorm/view_file.php?inpopup=true&amp;id=180950"/>
    <hyperlink ref="I45" r:id="rId177" display="https://hocmai.vn/mod/scorm/view_file.php?inpopup=true&amp;id=181061"/>
    <hyperlink ref="J45" r:id="rId178" display="https://drive.google.com/file/d/1WmgRNvC1dSQhiNlrs5FN6Ho7y_MIW6-a/view"/>
    <hyperlink ref="H46" r:id="rId179" display="https://hocmai.vn/mod/scorm/view_file.php?inpopup=true&amp;id=180949"/>
    <hyperlink ref="I46" r:id="rId180" display="https://hocmai.vn/mod/scorm/view_file.php?inpopup=true&amp;id=181005"/>
    <hyperlink ref="J46" r:id="rId181" display="https://drive.google.com/drive/folders/1GucRXXUN8GNl7PiTVOd9H_dc7tygMJ3S"/>
    <hyperlink ref="N46" r:id="rId182" display="https://hocmai.vn/course/view.php?id=3126&amp;edit=on&amp;sesskey=iCYoqF7jXe"/>
    <hyperlink ref="H47" r:id="rId183" display="https://hocmai.vn/file.php/3110/Nam_hoc_2026_-_2027/VAT_LI/TAI_LIEU_HOC_SINH/TLHS_TOV_TSA_T01_Do_luong_va_sai_so_-_Tu_duy_thuc_nghiem_trong_Vat_li.pdf"/>
    <hyperlink ref="I47" r:id="rId184" display="https://hocmai.vn/file.php/3110/Nam_hoc_2026_-_2027/VAT_LI/BTTL/BTTL_TOV_TSA_L01._Do_luong_va_sai_so_-_Tu_duy_thuc_nghiem_trong_Vat_li.pdf"/>
    <hyperlink ref="J47" r:id="rId185" display="https://drive.google.com/drive/folders/1--fTQBvSLPS1K3YB5cQkeiuA8K4TFbMj"/>
    <hyperlink ref="N47" r:id="rId186" display="https://hocmai.vn/course/view.php?id=3110"/>
    <hyperlink ref="H48" r:id="rId187" display="https://hocmai.vn/file.php/3117/Tai_lieu_live_2026_-_2027/TLHS_TOV_HSA_DL01_Cac_bai_toan_ve_ham_so_chua_tham_so.pdf"/>
    <hyperlink ref="J48" r:id="rId188" display="https://drive.google.com/file/d/1KMzbSnzb7OIa7hCO9Axz0fKqT2KniZaC/view?usp=drive_link"/>
    <hyperlink ref="AA48" r:id="rId189" display="https://s3.evgcloud.net/livestream/video/mp4/2026/06/18/336_33675f560e9966149c5bb6da16e6905fa9f_RELAY-20260618180305-cv.mp4"/>
    <hyperlink ref="H49" r:id="rId190" display="https://hocmai.vn/file.php/3119/NAM_HOC_2026_-_2027/Tai_lieu_live/TLHS_TOV_HSA_VL01_Do_luong_va_xu_li_so_lieu.pdf"/>
    <hyperlink ref="I49" r:id="rId191" display="https://hocmai.vn/file.php/3119/NAM_HOC_2026_-_2027/BTTL/BTTL_TOV_HSA_VL01._Do_luong_va_xu_li_so_lieu.pdf"/>
    <hyperlink ref="J49" r:id="rId192" display="https://drive.google.com/file/d/1IGveFE1xTQW1KpFtCjH5mwfKbzDGe0z2/view?usp=drive_link"/>
    <hyperlink ref="N49" r:id="rId193" display="https://hocmai.vn/course/view.php?id=3119&amp;edit=on&amp;sesskey=4KPJGukykI"/>
    <hyperlink ref="H50" r:id="rId194" display="https://hocmai.vn/kho-tai-lieu/read.php?id=19939"/>
    <hyperlink ref="I50" r:id="rId195" display="https://hocmai.vn/kho-tai-lieu/read.php?id=19940"/>
    <hyperlink ref="J50" r:id="rId196" display="https://drive.google.com/drive/folders/1hRKWRF-9T93qDP_5ebRZSV2Ma0tQrzgJ?usp=sharing"/>
    <hyperlink ref="H51" r:id="rId197" display="https://hocmai.vn/mod/scorm/view_file.php?inpopup=true&amp;id=181045"/>
    <hyperlink ref="I51" r:id="rId198" display="https://hocmai.vn/mod/scorm/view_file.php?inpopup=true&amp;id=181301"/>
    <hyperlink ref="J51" r:id="rId199" display="https://drive.google.com/file/d/1RYc9ROmaPxnooBme7WfY4Fd4PuF2HHSq/view?usp=drive_link"/>
    <hyperlink ref="H52" r:id="rId200" display="https://hocmai.vn/mod/scorm/view_file.php?inpopup=true&amp;id=180975"/>
    <hyperlink ref="I52" r:id="rId201" display="https://hocmai.vn/mod/scorm/view_file.php?inpopup=true&amp;id=181020"/>
    <hyperlink ref="J52" r:id="rId202" display="https://drive.google.com/drive/folders/1wKq8y33XK-dSy9M5IVc5TtsBJqRUr-Uq?usp=drive_link"/>
    <hyperlink ref="H53" r:id="rId203" display="https://hocmai.vn/file.php/3110/Nam_hoc_2026_-_2027/HOA_HOC/TL_Live/TLHS_TOV_TSA_H01-The_gioi_nguyen_tu_va_Su_tuan_hoan.pdf"/>
    <hyperlink ref="I53" r:id="rId204" display="https://hocmai.vn/mod/scorm/view_file.php?id=181225"/>
    <hyperlink ref="J53" r:id="rId205" display="https://drive.google.com/file/d/1R6gEgvAeeTuH6ehjgVV_2ztoLrNZej0t/view?usp=drive_link"/>
    <hyperlink ref="H54" r:id="rId206" display="https://hocmai.vn/mod/scorm/view_file.php?inpopup=true&amp;id=181014"/>
    <hyperlink ref="I54" r:id="rId207" display="https://hocmai.vn/mod/scorm/view_file.php?inpopup=true&amp;id=181023"/>
    <hyperlink ref="J54" r:id="rId208" display="https://drive.google.com/file/d/1r0Ryz4Hybtz3pNf5AVpZimrmcrQoEEFW/view?usp=drive_link"/>
    <hyperlink ref="H55" r:id="rId209" display="https://hocmai.vn/mod/scorm/view_file.php?inpopup=true&amp;id=181195"/>
    <hyperlink ref="I55" r:id="rId210" display="https://hocmai.vn/mod/scorm/view_file.php?inpopup=true&amp;id=181196"/>
    <hyperlink ref="J55" r:id="rId211" display="https://drive.google.com/drive/folders/1XT_t_JyRwQOIJN5-E7xlk-2e3NdgDL-b?usp=drive_link"/>
    <hyperlink ref="M55" r:id="rId212" display="https://hocmai.sharepoint.com/Education_Development/Lists/San_xuat_video/DispForm.aspx?ID=12197"/>
    <hyperlink ref="N55" r:id="rId213" display="https://hocmai.vn/course/view.php?id=3313"/>
    <hyperlink ref="H56" r:id="rId214" display="https://hocmai.vn/mod/scorm/view_file.php?id=181205"/>
    <hyperlink ref="I56" r:id="rId215" display="https://hocmai.vn/mod/scorm/view_file.php?id=181227"/>
    <hyperlink ref="J56" r:id="rId216" display="https://drive.google.com/drive/folders/1Cg_dCU169HROL3BC0bwpGuesRbQBrDy0?usp=drive_link"/>
    <hyperlink ref="M56" r:id="rId217" display="https://hocmai.sharepoint.com/Education_Development/Lists/San_xuat_video/DispForm.aspx?ID=12165"/>
    <hyperlink ref="H57" r:id="rId218" display="https://hocmai.vn/mod/scorm/view_file.php?id=181291"/>
    <hyperlink ref="I57" r:id="rId219" display="https://hocmai.vn/mod/scorm/view_file.php?inpopup=true&amp;id=181303"/>
    <hyperlink ref="J57" r:id="rId220" display="https://drive.google.com/file/d/1I4D--9YMOYbV6laGTSr36CG-8ZuStet5/view?usp=drive_link"/>
    <hyperlink ref="H58" r:id="rId221" display="https://hocmai.vn/file.php/3140/TLHS_TOV_HV_TA0_Cau_tao_tu_-_Trat_tu_tu_-_Phep_song_hanh.pdf"/>
    <hyperlink ref="I58" r:id="rId222" display="https://hocmai.vn/mod/scorm/view_file.php?inpopup=true&amp;id=181331"/>
    <hyperlink ref="J58" r:id="rId223" display="https://drive.google.com/file/d/1zSIPT2y1-wItf9l7W5XZUV2vHGzXLhOd/view?usp=drive_link"/>
    <hyperlink ref="H59" r:id="rId224" display="https://hocmai.vn/mod/scorm/view_file.php?id=181275"/>
    <hyperlink ref="I59" r:id="rId225" display="https://hocmai.vn/mod/scorm/view_file.php?id=181288"/>
    <hyperlink ref="J59" r:id="rId226" display="https://drive.google.com/drive/folders/1HrNccDBA0e4HnEp1Q-MnWsjKE61341K1?usp=drive_link"/>
    <hyperlink ref="H60" r:id="rId227" display="https://hocmai.vn/file.php/3127/Tai_lieu_live_2026_-_2027/TLHS_TOV_TC_T02_CAC_DANG_CAU_HOI_DIEN_HINH_VE_HAM_SO_P2_.pdf"/>
    <hyperlink ref="J60" r:id="rId228" display="https://drive.google.com/drive/folders/1pyNO0Em49CNepL2ayQ_d3u0JUCf7am5n?usp=drive_link"/>
    <hyperlink ref="H61" r:id="rId229" display="https://hocmai.vn/mod/scorm/view_file.php?inpopup=true&amp;id=181449"/>
    <hyperlink ref="I61" r:id="rId230" display="https://hocmai.vn/mod/scorm/view_file.php?inpopup=true&amp;id=181469"/>
    <hyperlink ref="J61" r:id="rId231" display="https://drive.google.com/drive/folders/1JHDqVb3xRrwGnYimgACRrgTW5zPkDchA"/>
    <hyperlink ref="H62" r:id="rId232" display="https://hocmai.vn/mod/scorm/view_file.php?id=181063"/>
    <hyperlink ref="I62" r:id="rId233" display="https://hocmai.vn/mod/scorm/view_file.php?inpopup=true&amp;id=181079"/>
    <hyperlink ref="J62" r:id="rId234" display="https://drive.google.com/drive/folders/12ECceLYypgjNBQZUsOfyhJVoXlEymYHg"/>
    <hyperlink ref="H63" r:id="rId235" display="https://hocmai.vn/mod/scorm/view_file.php?inpopup=true&amp;id=181308"/>
    <hyperlink ref="I63" r:id="rId236" display="https://hocmai.vn/mod/scorm/view_file.php?inpopup=true&amp;id=181517"/>
    <hyperlink ref="J63" r:id="rId237" display="https://drive.google.com/file/d/1i8zcmxcDcNFt_IBXyatObqphrcK8bUMm/view?usp=drivesdk"/>
    <hyperlink ref="H64" r:id="rId238" display="https://hocmai.vn/mod/scorm/view_file.php?inpopup=true&amp;id=181064"/>
    <hyperlink ref="I64" r:id="rId239" display="https://hocmai.vn/mod/scorm/view_file.php?inpopup=true&amp;id=181073"/>
    <hyperlink ref="J64" r:id="rId240" display="https://drive.google.com/drive/folders/12ECceLYypgjNBQZUsOfyhJVoXlEymYHg"/>
    <hyperlink ref="H65" r:id="rId241" display="https://hocmai.vn/file.php/3110/Nam_hoc_2026_-_2027/VAT_LI/TAI_LIEU_HOC_SINH/TLHS_TOV_TSA_T02_Chuyen_dong_thang_-_Phan_tich_do_thi_va_cac_mo_hinh_chuyen_dong.pdf"/>
    <hyperlink ref="I65" r:id="rId242" display="https://hocmai.vn/file.php/3110/Nam_hoc_2026_-_2027/VAT_LI/BTTL/BTTL_TOV_TSA_L02._Chuyen_dong_thang_-_Phan_tich_do_thi_va_mo_hinh_chuyen_dong.pdf"/>
    <hyperlink ref="J65" r:id="rId243" display="https://drive.google.com/drive/folders/1dEynXH-7yADJPBMDK4vUjdcmDFPYz5T7"/>
    <hyperlink ref="H66" r:id="rId244" display="https://hocmai.vn/file.php/3315/Tai_lieu_live_2026_-_2027/TLHS_TOV_HSA_DL02_Cac_bai_toan_ve_ham_hop_P1.pdf"/>
    <hyperlink ref="J66" r:id="rId245" display="https://drive.google.com/file/d/1v7qy1prZ808bxMOqDgzx9ThU8mkyn1Uf/view?usp=drive_link"/>
    <hyperlink ref="AA66" r:id="rId246" display="https://drive.google.com/file/d/1UxRO00rvXQCv76dx4dCWBiEd5dJOqHCH/view"/>
    <hyperlink ref="H67" r:id="rId247" display="https://hocmai.vn/file.php/3119/NAM_HOC_2026_-_2027/Tai_lieu_live/TLHS_TOV_HSA_VL02_Dong_hoc_-_Quy_luat_chuyen_dong.pdf"/>
    <hyperlink ref="I67" r:id="rId248" display="https://hocmai.vn/file.php/3119/NAM_HOC_2026_-_2027/BTTL/BTTL_TOV_HSA_VL02_Dong_hoc_-_Quy_luat_chuyen_dong.pdf"/>
    <hyperlink ref="J67" r:id="rId249" display="https://drive.google.com/drive/folders/1R1JvqQ24x0EFH4sBgYvWtkZoG3P2j9Xo"/>
    <hyperlink ref="N67" r:id="rId250" display="https://hocmai.vn/course/view.php?id=3119&amp;edit=on&amp;sesskey=4KPJGukykI"/>
    <hyperlink ref="H68" r:id="rId251" display="https://hocmai.vn/file.php/3124/TLHS_TOA_V-ACT_T02.pdf"/>
    <hyperlink ref="I68" r:id="rId252" display="https://hocmai.vn/file.php/3124/BTTL_TOA_V-ACT_T02.pdf"/>
    <hyperlink ref="J68" r:id="rId253" display="https://drive.google.com/drive/folders/1GbXRgXQ2sOIZvOC-18KUNslqyUgCIqqr?usp=sharing"/>
    <hyperlink ref="H69" r:id="rId254" display="https://hocmai.vn/mod/scorm/view_file.php?inpopup=true&amp;id=181350"/>
    <hyperlink ref="J69" r:id="rId255" display="https://drive.google.com/file/d/1KMzbSnzb7OIa7hCO9Axz0fKqT2KniZaC/view?usp=drive_link"/>
    <hyperlink ref="H70" r:id="rId256" display="https://hocmai.vn/mod/scorm/view_file.php?id=181395"/>
    <hyperlink ref="I70" r:id="rId257" display="https://hocmai.vn/mod/scorm/view_file.php?inpopup=true&amp;id=181016"/>
    <hyperlink ref="J70" r:id="rId258" display="https://drive.google.com/drive/folders/1tNUM6fkL3q6YdXVZytryIawi_Yv1ts6J?usp=drive_link"/>
    <hyperlink ref="H71" r:id="rId259" display="https://hocmai.vn/mod/scorm/view_file.php?inpopup=true&amp;id=181087"/>
    <hyperlink ref="I71" r:id="rId260" display="https://hocmai.vn/mod/scorm/view_file.php?inpopup=true&amp;id=181088"/>
    <hyperlink ref="J71" r:id="rId261" display="https://drive.google.com/drive/folders/1zGeSvI82GLpI3FKLLfzXY3DgEiDOY4ar?usp=drive_link"/>
    <hyperlink ref="H72" r:id="rId262" display="https://hocmai.vn/mod/scorm/view_file.php?inpopup=true&amp;id=181492"/>
    <hyperlink ref="I72" r:id="rId263" display="https://hocmai.vn/mod/scorm/view_file.php?inpopup=true&amp;id=181493"/>
    <hyperlink ref="J72" r:id="rId264" display="https://drive.google.com/file/d/14P5nOSktJSKKdWW0YREcCn-FhA3RjKfi/view?usp=drive_link"/>
    <hyperlink ref="H73" r:id="rId265" display="https://hocmai.vn/mod/scorm/view_file.php?inpopup=true&amp;id=181516"/>
    <hyperlink ref="I73" r:id="rId266" display="https://hocmai.vn/mod/scorm/view_file.php?inpopup=true&amp;id=181520"/>
    <hyperlink ref="J73" r:id="rId267" display="https://drive.google.com/drive/folders/16XszIDTs79FfM3eC9t4ZPF8ACAu8VD01?usp=sharing"/>
    <hyperlink ref="M73" r:id="rId268" display="https://hocmai.sharepoint.com/Education_Development/Lists/San_xuat_video/DispForm.aspx?ID=12198"/>
    <hyperlink ref="N73" r:id="rId269" display="https://hocmai.vn/course/view.php?id=3313"/>
    <hyperlink ref="H74" r:id="rId270" display="https://hocmai.vn/mod/scorm/view_file.php?id=181573"/>
    <hyperlink ref="I74" r:id="rId271" display="https://hocmai.vn/mod/scorm/view_file.php?id=181641"/>
    <hyperlink ref="J74" r:id="rId272" display="https://drive.google.com/drive/folders/1JD_Wqht1ev3CUcyCmKEMEbFyaZ9SUFsI?usp=drive_link"/>
    <hyperlink ref="M74" r:id="rId273" display="https://hocmai.sharepoint.com/Education_Development/Lists/San_xuat_video/DispForm.aspx?ID=12166"/>
    <hyperlink ref="H75" r:id="rId274" display="https://hocmai.vn/mod/scorm/view_file.php?inpopup=true&amp;id=181305"/>
    <hyperlink ref="I75" r:id="rId275" display="https://hocmai.vn/mod/scorm/view_file.php?inpopup=true&amp;id=181306"/>
    <hyperlink ref="J75" r:id="rId276" display="https://drive.google.com/file/d/11f9UwVOxIhuR98wV-Mdg0vTMk_byUXZ5/view?usp=drive_link"/>
    <hyperlink ref="J76" r:id="rId277" display="https://drive.google.com/file/d/1GlIDqfdMRpEVmlDQil3n5aIqLjNgX9dH/view?usp=drive_link"/>
    <hyperlink ref="H77" r:id="rId278" display="https://hocmai.vn/mod/scorm/view_file.php?id=181574"/>
    <hyperlink ref="I77" r:id="rId279" display="https://hocmai.vn/mod/scorm/view_file.php?id=181575"/>
    <hyperlink ref="J77" r:id="rId280" display="https://drive.google.com/drive/folders/1IDk1e0gmGV3gkXCu7c9tnkNHWPD3R4MR"/>
    <hyperlink ref="H78" r:id="rId281" display="https://hocmai.vn/file.php/3315/Tai_lieu_live_2026_-_2027/TLHS_TOV_TC_T03_BAI_TOAN_THUC_TE_CO_YEU_TO_CUC_TRI_TOI_UU.pdf"/>
    <hyperlink ref="J78" r:id="rId282" display="https://drive.google.com/drive/folders/1vRR9fM63F8zLQuvNu4w5wJEifI4wd4aS?usp=drive_link"/>
    <hyperlink ref="J79" r:id="rId283" display="https://drive.google.com/drive/folders/1nztZLDoxOaI0yXB_fmec7KbycJIqPRst"/>
    <hyperlink ref="H80" r:id="rId284" display="https://hocmai.vn/mod/scorm/view_file.php?inpopup=true&amp;id=181519"/>
    <hyperlink ref="J80" r:id="rId285" display="https://drive.google.com/file/d/1SAd0E-YbkOdUwUNQphAjou6JwMZ8nJIM/view?usp=drive_link"/>
    <hyperlink ref="H81" r:id="rId286" display="https://hocmai.vn/file.php/3110/Nam_hoc_2026_-_2027/VAT_LI/TAI_LIEU_HOC_SINH/TLHS_TOV_TSA_L03._Roi_tu_do_chuyen_dong_nem_va_chuyen_dong_tron.pdf"/>
    <hyperlink ref="I81" r:id="rId287" display="https://hocmai.vn/file.php/3110/Nam_hoc_2026_-_2027/VAT_LI/BTTL/BTTL_TOV_TSA_L03._Roi_tu_do_chuyen_dong_nem_va_chuyen_dong_tron.pdf"/>
    <hyperlink ref="J81" r:id="rId288" display="https://drive.google.com/drive/folders/1ZoHAVaoedEunp9pMyTySpikj6095yDTI"/>
    <hyperlink ref="J82" r:id="rId289" display="https://drive.google.com/drive/folders/1VDhTxsO5zToJ523Nbl8Ztmr4PmlKeN69?usp=drive_link"/>
    <hyperlink ref="AA82" r:id="rId290" display="https://drive.google.com/file/d/1wURVMbkq5ltQGHc6oAOo8NR5ymGaXjJO/view"/>
    <hyperlink ref="H83" r:id="rId291" display="https://hocmai.vn/file.php/3119/NAM_HOC_2026_-_2027/Tai_lieu_live/TLHS_TOV_HSA_VL03._Dong_luc_hoc.pdf"/>
    <hyperlink ref="I83" r:id="rId292" display="https://hocmai.vn/file.php/3119/NAM_HOC_2026_-_2027/BTTL/BTTL_TOV_HSA_VL03._Dong_luc_hoc.pdf"/>
    <hyperlink ref="J83" r:id="rId293" display="https://drive.google.com/drive/folders/1kE3bb_SlVnngVbzik63riPWnJQI2A6MM"/>
    <hyperlink ref="N83" r:id="rId294" display="https://hocmai.vn/course/view.php?id=3119&amp;edit=on&amp;sesskey=4KPJGukykI"/>
    <hyperlink ref="J84" r:id="rId295" display="https://drive.google.com/drive/folders/1xMmxJvQKhr2FJ8A2HtKaxvN-bfKZzRYx?usp=sharing"/>
    <hyperlink ref="J85" r:id="rId296" display="https://drive.google.com/drive/folders/1O9cOqRVs8gx0Kp47FLmNdVJ9FG3ZelhA?usp=sharing"/>
    <hyperlink ref="J86" r:id="rId297" display="https://drive.google.com/drive/folders/1DRNlxn83BWIcDQxYT7x81ccGFKJv8AJo"/>
    <hyperlink ref="H87" r:id="rId298" display="https://hocmai.vn/mod/scorm/view_file.php?id=181875"/>
    <hyperlink ref="I87" r:id="rId299" display="https://hocmai.vn/mod/scorm/view_file.php?id=181972"/>
    <hyperlink ref="J87" r:id="rId300" display="https://drive.google.com/drive/folders/1gUrva5r60XZM5xYB8o0lMIOf3J5euWNU?usp=drive_link"/>
    <hyperlink ref="H88" r:id="rId301" display="https://hocmai.vn/course/Tai_lieu_bai_giang/SLKH_2627/TLHS_TOS_V-ACT_KH03.pdf"/>
    <hyperlink ref="I88" r:id="rId302" display="https://hocmai.vn/file.php/3126/Bai_tap_tu_luyen/26-27/NVHT_TOV_V-ACT_KH03_Thuc_hanh_ky_nang_scan_skim_-_Chon_tu_khoa_trong_van_ban_khoa_hoc.pdf"/>
    <hyperlink ref="J88" r:id="rId303" display="https://drive.google.com/drive/folders/18iwJXG0_MBWTsGk6h-d-0P1sdSJLCOhG?usp=drive_link"/>
    <hyperlink ref="H89" r:id="rId304" display="https://hocmai.vn/mod/scorm/view_file.php?inpopup=true&amp;id=181852"/>
    <hyperlink ref="I89" r:id="rId305" display="https://hocmai.vn/mod/scorm/view_file.php?inpopup=true&amp;id=181872"/>
    <hyperlink ref="J89" r:id="rId306" display="https://drive.google.com/drive/folders/1MqVPVpPTgcqFHaRXhRkRTMunoJ4ePZ1X?usp=sharing"/>
    <hyperlink ref="M89" r:id="rId307" display="https://hocmai.sharepoint.com/Education_Development/Lists/San_xuat_video/DispForm.aspx?ID=12199"/>
    <hyperlink ref="N89" r:id="rId308" display="https://hocmai.vn/course/view.php?id=3313"/>
    <hyperlink ref="H90" r:id="rId309" display="https://hocmai.vn/mod/scorm/view_file.php?id=181936"/>
    <hyperlink ref="J90" r:id="rId310" display="https://drive.google.com/drive/folders/1H6a_VXK2aw7mQo1-mWgAen_3dDZyslMI?usp=drive_link"/>
    <hyperlink ref="M90" r:id="rId311" display="https://hocmai.sharepoint.com/Education_Development/Lists/San_xuat_video/DispForm.aspx?ID=12167"/>
    <hyperlink ref="J91" r:id="rId312" display="https://drive.google.com/drive/folders/1boNsHg1B2cYvBkN4uFp3Wcdfayr5zPE2?usp=drive_link"/>
    <hyperlink ref="J92" r:id="rId313" display="https://drive.google.com/file/d/15SJyriCQDzSCfpz0P9uGu00JKkb0-pnM/view?usp=drive_link"/>
    <hyperlink ref="J93" r:id="rId314" display="https://drive.google.com/file/d/1jv-5gcl8a3VpP1XgML60ZMxb8vx_fUlX/view?usp=drive_link"/>
    <hyperlink ref="H94" r:id="rId315" display="https://hocmai.vn/mod/scorm/view_file.php?id=181963"/>
    <hyperlink ref="I94" r:id="rId316" display="https://hocmai.vn/mod/scorm/view_file.php?id=181991"/>
    <hyperlink ref="J94" r:id="rId317" display="https://drive.google.com/drive/folders/141m9xbSOywL8L6oqtApya_5xLNUHZuYX"/>
    <hyperlink ref="J95" r:id="rId318" display="https://drive.google.com/drive/folders/1dMU8o1TU5YUbS0zWIH_81wASx_XiZJcQ?usp=drive_link"/>
    <hyperlink ref="J96" r:id="rId319" display="https://drive.google.com/drive/folders/1yFlODWMA6w-RQY7g6vEZoNBTgFZD_Da-"/>
    <hyperlink ref="J97" r:id="rId320" display="https://drive.google.com/drive/folders/1BJ8eto49X334xZG-HaT7LwY4cR0Zk5D9"/>
    <hyperlink ref="J98" r:id="rId321" display="https://drive.google.com/drive/folders/1W7N3HfS2mH4UMDGdRUXVpKeaWH92gaYZ?usp=drive_link"/>
    <hyperlink ref="P98" r:id="rId322" display="https://hocmai.vn/bai-giang-truc-tuyen/174809/.html"/>
    <hyperlink ref="J99" r:id="rId323" display="https://drive.google.com/drive/folders/1FuddXzE98FIkbAbXFhGCZYpVCkeWUZm7"/>
    <hyperlink ref="P99" r:id="rId324" display="https://hocmai.vn/bai-giang-truc-tuyen/174807/.html"/>
    <hyperlink ref="J100" r:id="rId325" display="https://drive.google.com/drive/folders/16i-y0uBTkjr_ZhzKSG6bJvEq37D-vn8y?usp=drive_link"/>
    <hyperlink ref="P100" r:id="rId326" display="https://hocmai.vn/bai-giang-truc-tuyen/174810/.html"/>
    <hyperlink ref="H101" r:id="rId327" display="https://hocmai.vn/file.php/3110/Nam_hoc_2026_-_2027/VAT_LI/TAI_LIEU_HOC_SINH/TLHS_TOV_TSA_L04._Luc_va_cac_dinh_luat_Newton_trong_mo_hinh_hoa_hien_tuong.pdf"/>
    <hyperlink ref="I101" r:id="rId328" display="https://hocmai.vn/file.php/3110/Nam_hoc_2026_-_2027/VAT_LI/BTTL/BTTL_TOV_TSA_L04._Luc_va_cac_dinh_luat_Newton_trong_mo_hinh_hoa_hien_tuong.pdf"/>
    <hyperlink ref="J101" r:id="rId329" display="https://drive.google.com/drive/folders/1Qmw5yyGI0cXG_h-OdoRy8r4WKrd7oTjj"/>
    <hyperlink ref="J102" r:id="rId330" display="https://drive.google.com/drive/folders/1PpoyVK_pjONykBCt40S93-1ljfkxUneJ?usp=drive_link"/>
    <hyperlink ref="H103" r:id="rId331" display="https://hocmai.vn/file.php/3119/NAM_HOC_2026_-_2027/Tai_lieu_live/TLHS_TOV_HSA_VL04._Cong_-_Nang_luong_-_Cong_suat_va_dinh_luat_bao_toan.pdf"/>
    <hyperlink ref="I103" r:id="rId332" display="https://hocmai.vn/file.php/3119/NAM_HOC_2026_-_2027/BTTL/BTTL_TOV_HSA_VL04._Cong_-_Nang_luong_-_Cong_suat_va_dinh_luat_bao_toan.pdf"/>
    <hyperlink ref="J103" r:id="rId333" display="https://drive.google.com/drive/folders/16TwB2756MgRqHrD-hHIQ6EGCAdXUTR5z"/>
    <hyperlink ref="N103" r:id="rId334" display="https://hocmai.vn/course/view.php?id=3119&amp;edit=on&amp;sesskey=4KPJGukykI"/>
    <hyperlink ref="J104" r:id="rId335" display="https://drive.google.com/drive/folders/1MnpHSYyltDdHVXY7HB8z16suNRxFITsR?usp=sharing"/>
    <hyperlink ref="J105" r:id="rId336" display="https://drive.google.com/drive/folders/1SORfzSmrfNfY8lP3BBXg5JlQNE-zDnuv"/>
    <hyperlink ref="P105" r:id="rId337" display="https://hocmai.vn/bai-giang-truc-tuyen/174808/.html"/>
    <hyperlink ref="J106" r:id="rId338" display="https://drive.google.com/drive/folders/1MknLtXk__OtcX7hbVCTSeDmaNRczW2Ct?usp=drive_link"/>
    <hyperlink ref="J107" r:id="rId339" display="https://drive.google.com/drive/folders/1YdNuDxp0UR3kjnztfD_aUpfrLFvafGid?usp=sharing"/>
    <hyperlink ref="J108" r:id="rId340" display="https://drive.google.com/drive/folders/1lqqaSvi_4vLNt4sDtQ1Bmd7fHK26kuIn"/>
    <hyperlink ref="J109" r:id="rId341" display="https://drive.google.com/drive/folders/1AD4BbUBhc8HpiTiPpGcb-FJabwWD_L1g?usp=drive_link"/>
    <hyperlink ref="P109" r:id="rId342" display="https://hocmai.vn/bai-giang-truc-tuyen/174811/.html"/>
    <hyperlink ref="J110" r:id="rId343" display="https://drive.google.com/drive/folders/15GLuPaczSmlIPWkJfiPmgyNbOqwcSnhy?usp=drive_link"/>
    <hyperlink ref="H111" r:id="rId344" display="https://hocmai.vn/file.php/3126/Tai_lieu_bai_giang/SLKH_2627/TLHS_TOS_V-ACT_KH04.pdf"/>
    <hyperlink ref="I111" r:id="rId345" display="https://hocmai.vn/file.php/3340/Bai_tap_tu_luyen/26-27/NVHT_TOV_V-ACT_KH04_Thuc_hanh_ky_nang_scan_skim_-_Chon_tu_khoa_trong_van_ban_khoa_hoc_P2_.pdf"/>
    <hyperlink ref="J111" r:id="rId346" display="https://drive.google.com/drive/folders/1pQp6d56CzIvfBC7bXfHLWE5vwweYt1Wi?usp=drive_link"/>
    <hyperlink ref="J112" r:id="rId347" display="https://drive.google.com/drive/folders/1sKav0sR9IiX8s89WAhwpOzYWEfidmF1z"/>
    <hyperlink ref="P112" r:id="rId348" display="https://hocmai.vn/bai-giang-truc-tuyen/174812/.html"/>
    <hyperlink ref="H113" r:id="rId349" display="https://hocmai.vn/mod/scorm/view_file.php?inpopup=true&amp;id=182302"/>
    <hyperlink ref="I113" r:id="rId350" display="https://hocmai.vn/mod/scorm/view_file.php?inpopup=true&amp;id=182330"/>
    <hyperlink ref="J113" r:id="rId351" display="https://drive.google.com/drive/folders/1c_DmyuDAl6J14fYMB6I3AqIAJHLo8saj?usp=sharing"/>
    <hyperlink ref="M113" r:id="rId352" display="https://hocmai.sharepoint.com/Education_Development/Lists/San_xuat_video/DispForm.aspx?ID=12200"/>
    <hyperlink ref="N113" r:id="rId353" display="https://hocmai.vn/course/view.php?id=3313"/>
    <hyperlink ref="J114" r:id="rId354" display="https://drive.google.com/drive/folders/10KhC06VqgRoZG77TEKfFm6gIkSIsKrwY?usp=drive_link"/>
    <hyperlink ref="M114" r:id="rId355" display="https://hocmai.sharepoint.com/Education_Development/Lists/San_xuat_video/DispForm.aspx?ID=12168"/>
    <hyperlink ref="J115" r:id="rId356" display="https://drive.google.com/drive/folders/1XBKVwSlwZ9MTDmlFcWSavBBIPIXantMQ"/>
    <hyperlink ref="P115" r:id="rId357" display="https://hocmai.vn/bai-giang-truc-tuyen/174813/.html"/>
    <hyperlink ref="J116" r:id="rId358" display="https://drive.google.com/file/d/1-zYJl-bhmahoggqStwOK_pyZlaMyJ91Z/view?usp=drive_link"/>
    <hyperlink ref="J117" r:id="rId359" display="https://drive.google.com/file/d/1k0TNqoVrHfILUmlcMl__AplVLtSfxhRM/view?usp=drive_link"/>
    <hyperlink ref="H118" r:id="rId360" display="https://hocmai.vn/mod/scorm/view_file.php?id=182289"/>
    <hyperlink ref="I118" r:id="rId361" display="https://hocmai.vn/mod/scorm/view_file.php?id=182366"/>
    <hyperlink ref="J118" r:id="rId362" display="https://drive.google.com/drive/folders/1V0LjPE6cOwMejrPo_qJadRcF6Qy6TE9P?usp=drive_link"/>
    <hyperlink ref="J119" r:id="rId363" display="https://drive.google.com/drive/folders/1z-V4IKMTnoil-9QZm4XdPI9cnpDu12PS?usp=drive_link"/>
    <hyperlink ref="P119" r:id="rId364" display="https://hocmai.vn/bai-giang-truc-tuyen/175116/.html"/>
    <hyperlink ref="J120" r:id="rId365" display="https://drive.google.com/drive/folders/1WcebBbpEUZVrhb_-tOT3rW-aNpm_109K?usp=sharing"/>
    <hyperlink ref="P120" r:id="rId366" display="https://hocmai.vn/bai-giang-truc-tuyen/175194/.html"/>
    <hyperlink ref="J121" r:id="rId367" display="https://drive.google.com/drive/folders/1XXK4bc0HmGit4Trs1OikvZKc5PRXH-Mi"/>
    <hyperlink ref="P121" r:id="rId368" display="https://hocmai.vn/bai-giang-truc-tuyen/175170/.html"/>
    <hyperlink ref="J122" r:id="rId369" display="https://drive.google.com/drive/folders/1hG2IPc-z3HP3TeyGRPoAaYknWGCHRBX_?usp=sharing"/>
    <hyperlink ref="P122" r:id="rId370" display="https://hocmai.vn/bai-giang-truc-tuyen/175176/.html"/>
    <hyperlink ref="J123" r:id="rId371" display="https://drive.google.com/drive/folders/1iMRCdi3uXEM8OyIc8kF-47Uiupzee1ak?usp=drive_link"/>
    <hyperlink ref="J124" r:id="rId372" display="https://drive.google.com/drive/folders/16BNqJlArbRhXp2FFgg2I2ky-r-pIn9Rp?usp=sharing"/>
    <hyperlink ref="J125" r:id="rId373" display="https://drive.google.com/drive/folders/1dWIi1sPROnRGMbbrrHunLvAysN_shFf1"/>
    <hyperlink ref="J126" r:id="rId374" display="https://drive.google.com/drive/folders/1K5uNZkiKFu8CuRWDvDhqu2j62-0aPlsb?usp=drive_link"/>
    <hyperlink ref="P126" r:id="rId375" display="https://hocmai.vn/bai-giang-truc-tuyen/175127/.html"/>
    <hyperlink ref="J127" r:id="rId376" display="https://drive.google.com/drive/folders/1HspX8mZ4_KxqyQbG6D5M51QzdtsZ6KgN?usp=sharing"/>
    <hyperlink ref="P127" r:id="rId377" display="https://hocmai.vn/bai-giang-truc-tuyen/175197/.html"/>
    <hyperlink ref="J128" r:id="rId378" display="https://drive.google.com/file/d/1A8Spe44L08Y3MIRAzfK657-pvfX8-fvs/view?usp=drive_link"/>
    <hyperlink ref="J129" r:id="rId379" display="https://drive.google.com/drive/folders/1MFQN4gHFf_3adenp45YtK_905fsSCVeh?usp=drive_link"/>
    <hyperlink ref="P129" r:id="rId380" display="https://hocmai.vn/bai-giang-truc-tuyen/175117/.html"/>
    <hyperlink ref="J130" r:id="rId381" display="https://drive.google.com/open?id=1TB6HSDucAmViE-FNmI3_3v2NDHuCaDNS&amp;usp=drive_fs"/>
    <hyperlink ref="P130" r:id="rId382" display="https://hocmai.vn/bai-giang-truc-tuyen/175185/.html"/>
    <hyperlink ref="J131" r:id="rId383" display="https://drive.google.com/drive/folders/1kmanWKyt6kZUOr_BQRl5m4EvYOJPQfOe?usp=drive_link"/>
    <hyperlink ref="P131" r:id="rId384" display="https://hocmai.vn/bai-giang-truc-tuyen/175191/.html"/>
    <hyperlink ref="H132" r:id="rId385" display="https://hocmai.vn/file.php/3110/Nam_hoc_2026_-_2027/VAT_LI/TAI_LIEU_HOC_SINH/TLHS_TOV_TSA_05_Moment_luc_can_bang_va_ung_dung_ki_thuat.pdf"/>
    <hyperlink ref="I132" r:id="rId386" display="https://hocmai.vn/file.php/3110/Nam_hoc_2026_-_2027/VAT_LI/BTTL/BTTL_TOV_TSA_L05._Moment_luc_can_bang_va_ung_dung_ki_thuat.pdf"/>
    <hyperlink ref="J132" r:id="rId387" display="https://drive.google.com/drive/folders/1Sb_eLt9M8BBYzE-bCSW58XrJAMTZUX0R"/>
    <hyperlink ref="J133" r:id="rId388" display="https://drive.google.com/drive/folders/1Re6mpwgNFciwRMex-dT0z4Bhw2SFS_VB?usp=drive_link"/>
    <hyperlink ref="H134" r:id="rId389" display="https://hocmai.vn/file.php/3119/NAM_HOC_2026_-_2027/Tai_lieu_live/TLHS_TOV_HSA_VL05._Dong_luong_-_Va_cham_va_bao_toan_dong_luong.pdf"/>
    <hyperlink ref="I134" r:id="rId390" display="https://hocmai.vn/file.php/3119/NAM_HOC_2026_-_2027/BTTL/BTTL_TOV_HSA_VL05._Dong_luong_-_Va_cham_va_bao_toan_dong_luong.pdf"/>
    <hyperlink ref="J134" r:id="rId391" display="https://drive.google.com/drive/folders/1rlTyYhT-FwlfE9okU0Gcey3xWVP1FXNP"/>
    <hyperlink ref="N134" r:id="rId392" display="https://hocmai.vn/course/view.php?id=3119&amp;edit=on&amp;sesskey=4KPJGukykI"/>
    <hyperlink ref="J135" r:id="rId393" display="https://drive.google.com/drive/folders/1HMD18CKH7MoJo30Hcwt8w_2qoCplrOy7?usp=sharing"/>
    <hyperlink ref="J136" r:id="rId394" display="https://drive.google.com/drive/folders/1_7xuY6Lowa0JEIG5PK0Zlu6xm-cZIvjD?usp=drive_link"/>
    <hyperlink ref="P136" r:id="rId395" display="https://hocmai.vn/bai-giang-truc-tuyen/175128/.html"/>
    <hyperlink ref="J137" r:id="rId396" display="https://drive.google.com/drive/folders/1hHk-q_KWefu3WjynJmV_BUNT3-iT6BKI?usp=drive_link"/>
    <hyperlink ref="J138" r:id="rId397" display="https://drive.google.com/drive/folders/1Fg7Eq65FjOVpdj4U0syIxiASkA1EFOvB?usp=drive_link"/>
    <hyperlink ref="J139" r:id="rId398" display="https://drive.google.com/drive/folders/19niuA-DJurzpPINlPz162cx-LDtxK5Wc?usp=sharing"/>
    <hyperlink ref="P139" r:id="rId399" display="https://hocmai.vn/bai-giang-truc-tuyen/175177/.html"/>
    <hyperlink ref="J140" r:id="rId400" display="https://drive.google.com/drive/folders/1NmK-RUV47OxWxZq1Nh2LV78KxIGT8vc_?usp=sharing"/>
    <hyperlink ref="P140" r:id="rId401" display="https://hocmai.vn/bai-giang-truc-tuyen/175198/.html"/>
    <hyperlink ref="H141" r:id="rId402" display="https://hocmai.vn/mod/scorm/view_file.php?id=182779"/>
    <hyperlink ref="I141" r:id="rId403" display="https://hocmai.vn/mod/scorm/view_file.php?id=182780"/>
    <hyperlink ref="J141" r:id="rId404" display="https://drive.google.com/drive/folders/12AJi0WyIXLSEOINnCbrtX72W6mCDwBxU?usp=drive_link"/>
    <hyperlink ref="H142" r:id="rId405" display="https://hocmai.vn/file.php/3126/Tai_lieu_bai_giang/SLKH_2627/TLHS_TOS_V-ACT_KH05.pdf"/>
    <hyperlink ref="I142" r:id="rId406" display="https://hocmai.vn/file.php/3126/Bai_tap_tu_luyen/26-27/NVHT_TOV_V-ACT_KH05.pdf"/>
    <hyperlink ref="J142" r:id="rId407" display="https://drive.google.com/drive/folders/1KCUHTPKHtLcuOE6L2puXEk0hjNeVwAhE?usp=drive_link"/>
    <hyperlink ref="J143" r:id="rId408" display="https://drive.google.com/drive/folders/13rtXuYLAS6Y1uQ997G3DA_vlFPorFS-A?usp=drive_link"/>
    <hyperlink ref="P143" r:id="rId409" display="https://hocmai.vn/bai-giang-truc-tuyen/175129/.html"/>
    <hyperlink ref="J144" r:id="rId410" display="https://drive.google.com/drive/folders/1mHjjAwJk_LrOO6MWKGs4GAR73mDbd_S2?usp=drive_link"/>
    <hyperlink ref="P144" r:id="rId411" display="https://hocmai.vn/bai-giang-truc-tuyen/175949/.html"/>
    <hyperlink ref="J145" r:id="rId412" display="https://drive.google.com/drive/folders/15XaWmidxxe6l-mEbsaBsym-HkoG1WWsZ?usp=drive_link"/>
    <hyperlink ref="P145" r:id="rId413" display="https://hocmai.vn/bai-giang-truc-tuyen/175186/.html"/>
    <hyperlink ref="H146" r:id="rId414" display="https://hocmai.vn/mod/scorm/view_file.php?inpopup=true&amp;id=182824"/>
    <hyperlink ref="I146" r:id="rId415" display="https://hocmai.vn/mod/scorm/view_file.php?inpopup=true&amp;id=182883"/>
    <hyperlink ref="J146" r:id="rId416" display="https://drive.google.com/drive/folders/105uSZGOswgWMenkzNaKU-zjyJeQQ3YXg?usp=sharing"/>
    <hyperlink ref="M146" r:id="rId417" display="https://hocmai.sharepoint.com/Education_Development/Lists/San_xuat_video/DispForm.aspx?ID=12201"/>
    <hyperlink ref="N146" r:id="rId418" display="https://hocmai.vn/course/view.php?id=3313"/>
    <hyperlink ref="J147" r:id="rId419" display="https://drive.google.com/drive/folders/1BKudSbYFm_1SirF9eJBTqmJ_SX6X2NnJ?usp=drive_link"/>
    <hyperlink ref="M147" r:id="rId420" display="https://hocmai.sharepoint.com/Education_Development/Lists/San_xuat_video/DispForm.aspx?ID=12169"/>
    <hyperlink ref="J148" r:id="rId421" display="https://drive.google.com/drive/folders/1_lL8meEF8qHSo4Im_X_j_tLVUwkaFyiQ?usp=drive_link"/>
    <hyperlink ref="P148" r:id="rId422" display="https://hocmai.vn/bai-giang-truc-tuyen/175118/.html"/>
    <hyperlink ref="J149" r:id="rId423" display="https://drive.google.com/drive/folders/1LoLsZzvjUw9DTpgGb5IWxcdxnvsyz-1h?usp=drive_link"/>
    <hyperlink ref="P149" r:id="rId424" display="https://hocmai.vn/bai-giang-truc-tuyen/175124/.html"/>
    <hyperlink ref="J150" r:id="rId425" display="https://drive.google.com/drive/folders/1ibyIxi_r7rIkmOgYpvJ_J63og8DE7KUE"/>
    <hyperlink ref="P150" r:id="rId426" display="https://hocmai.vn/bai-giang-truc-tuyen/175160/.html"/>
    <hyperlink ref="J151" r:id="rId427" display="https://drive.google.com/drive/folders/1M-Xs0pWTHTgVm5L5o3vdoa8W_JXtgsZF?usp=drive_link"/>
    <hyperlink ref="P151" r:id="rId428" display="https://hocmai.vn/bai-giang-truc-tuyen/175950/.html"/>
    <hyperlink ref="J152" r:id="rId429" display="https://drive.google.com/drive/folders/16Xactm_BDcfth5A0JVcju0y-LTZQetax?usp=sharing"/>
    <hyperlink ref="P152" r:id="rId430" display="https://hocmai.vn/bai-giang-truc-tuyen/175178/.html"/>
    <hyperlink ref="J153" r:id="rId431" display="https://drive.google.com/file/d/1EB1anhJAiKLDl4HZZgKwuY42w9GXFIVT/view?usp=drive_link"/>
    <hyperlink ref="J154" r:id="rId432" display="https://drive.google.com/file/d/1-Av2WegymQkKnOX5wGON-9RtelMqb65_/view?usp=drive_link"/>
    <hyperlink ref="H155" r:id="rId433" display="https://hocmai.vn/mod/scorm/view_file.php?id=182712"/>
    <hyperlink ref="I155" r:id="rId434" display="https://hocmai.vn/mod/scorm/view_file.php?id=182713"/>
    <hyperlink ref="J155" r:id="rId435" display="https://drive.google.com/drive/folders/1zhBRTUojCvw3nuQmQ_gAyze5lYSiRSub?usp=drive_link"/>
    <hyperlink ref="J156" r:id="rId436" display="https://drive.google.com/drive/folders/1jlhLZtHLCb6UUqpY6L-uSDjN87MWHH3t?usp=drive_link"/>
    <hyperlink ref="P156" r:id="rId437" display="https://hocmai.vn/bai-giang-truc-tuyen/175119/.html"/>
    <hyperlink ref="J157" r:id="rId438" display="https://drive.google.com/drive/folders/1NMLUpM4hs1gt6P5CU9Zi9p32gr9CzMil?usp=sharing"/>
    <hyperlink ref="P157" r:id="rId439" display="https://hocmai.vn/bai-giang-truc-tuyen/175195/.html"/>
    <hyperlink ref="J158" r:id="rId440" display="https://drive.google.com/drive/folders/1oxG68QJibKayHvB6D-hp2oUX3GzA51xv?usp=drive_link"/>
    <hyperlink ref="P158" r:id="rId441" display="https://hocmai.vn/bai-giang-truc-tuyen/175171/.html"/>
    <hyperlink ref="J159" r:id="rId442" display="https://drive.google.com/drive/folders/1sp8dw_Yacs4NOkOgYmqigSHf84EzneNs?usp=sharing"/>
    <hyperlink ref="P159" r:id="rId443" display="https://hocmai.vn/bai-giang-truc-tuyen/175179/.html"/>
    <hyperlink ref="J160" r:id="rId444" display="https://drive.google.com/drive/folders/13WLp_yqlKAYkgB62-wySQniSDQesIvmD?usp=drive_link"/>
    <hyperlink ref="J161" r:id="rId445" display="https://drive.google.com/drive/folders/1yTOZtKH5nVKLzPAn7Zp3Gm2-yzuSUlrr?usp=sharing"/>
    <hyperlink ref="J162" r:id="rId446" display="https://drive.google.com/drive/folders/1NId82c-2yshQLvlXk-HVGVH_Cpd3uOTO?usp=drive_link"/>
    <hyperlink ref="J163" r:id="rId447" display="https://drive.google.com/drive/folders/1smpSrHhTEt7qNKjr52gljgy8jUIdOM-W?usp=drive_link"/>
    <hyperlink ref="P163" r:id="rId448" display="https://hocmai.vn/bai-giang-truc-tuyen/175130/.html"/>
    <hyperlink ref="J164" r:id="rId449" display="https://drive.google.com/drive/folders/1TUSUlPlEb8y_1fi9tsy_tX9SQU0EB0U9?usp=sharing"/>
    <hyperlink ref="P164" r:id="rId450" display="https://hocmai.vn/bai-giang-truc-tuyen/175199/.html"/>
    <hyperlink ref="J165" r:id="rId451" display="https://drive.google.com/file/d/1mI-zIvqCPp5Y0C8wWMwjvzm8iH-OU3a-/view?usp=drive_link"/>
    <hyperlink ref="J166" r:id="rId452" display="https://drive.google.com/drive/folders/1So-0z2O5jKc9__KepNxMabVuja9DkBHS?usp=drive_link"/>
    <hyperlink ref="P166" r:id="rId453" display="https://hocmai.vn/bai-giang-truc-tuyen/175120/.html"/>
    <hyperlink ref="J167" r:id="rId454" display="https://drive.google.com/drive/folders/1N_-1CDF7GSU_m3Gsal_CIZcElxjQYgvg?usp=drive_link"/>
    <hyperlink ref="P167" r:id="rId455" display="https://hocmai.vn/bai-giang-truc-tuyen/175951/.html"/>
    <hyperlink ref="J168" r:id="rId456" display="https://drive.google.com/open?id=16XkmzvlJaSNx4gFAlXKB-jUWtmKztYi3&amp;usp=drive_fs"/>
    <hyperlink ref="P168" r:id="rId457" display="https://hocmai.vn/bai-giang-truc-tuyen/175187/.html"/>
    <hyperlink ref="J169" r:id="rId458" display="https://drive.google.com/drive/folders/1TnxBdBN3Ndo-fjV3p8zTyGpFLbX93IHr?usp=drive_link"/>
    <hyperlink ref="P169" r:id="rId459" display="https://hocmai.vn/bai-giang-truc-tuyen/175192/.html"/>
    <hyperlink ref="H170" r:id="rId460" display="https://hocmai.vn/file.php/3110/Nam_hoc_2026_-_2027/VAT_LI/TAI_LIEU_HOC_SINH/TLHS_TOV_TSA_06_Bao_toan_trong_co_hoc_nang_luong_va_dong_luong.pdf"/>
    <hyperlink ref="I170" r:id="rId461" display="https://hocmai.vn/file.php/3110/Nam_hoc_2026_-_2027/VAT_LI/BTTL/BTTL_TOV_TSA_L06._Bao_toan_trong_co_hoc_nang_luong_va_dong_luong.pdf"/>
    <hyperlink ref="J170" r:id="rId462" display="https://drive.google.com/drive/folders/1ZI2GJEq_B4yaN2LlDLVEOysV1e_VfEPl"/>
    <hyperlink ref="J171" r:id="rId463" display="https://drive.google.com/drive/folders/10-M7DLGcXtXQRWAuQWhTZ5uMnGKRri5_?usp=drive_link"/>
    <hyperlink ref="H172" r:id="rId464" display="https://hocmai.vn/file.php/3119/NAM_HOC_2026_-_2027/Tai_lieu_live/TLHS_TOV_HSA_VL06._Dao_dong.pdf"/>
    <hyperlink ref="I172" r:id="rId465" display="https://hocmai.vn/file.php/3119/NAM_HOC_2026_-_2027/BTTL/BTTL_TOV_HSA_VL06._Dao_dong.pdf"/>
    <hyperlink ref="J172" r:id="rId466" display="https://drive.google.com/drive/folders/1hS24Jw7KCWDjcw5ronX1VHrdhuuQyepy?usp=drive_link"/>
    <hyperlink ref="N172" r:id="rId467" display="https://hocmai.vn/course/view.php?id=3119&amp;edit=on&amp;sesskey=4KPJGukykI"/>
    <hyperlink ref="J173" r:id="rId468" display="https://drive.google.com/drive/folders/1GQ2nvLTQAWzD1OD9rASX4lgDqePmYF06?usp=sharing"/>
    <hyperlink ref="J174" r:id="rId469" display="https://drive.google.com/drive/folders/1jNe-bZ9AHDlmOFPi7L2JTTc695hmWisE?usp=drive_link"/>
    <hyperlink ref="P174" r:id="rId470" display="https://hocmai.vn/bai-giang-truc-tuyen/175131/.html"/>
    <hyperlink ref="J175" r:id="rId471" display="https://drive.google.com/drive/folders/1X6LhPvWEFQZBn9nbfCTd2_bDj-xyj4l5?usp=drive_link"/>
    <hyperlink ref="J176" r:id="rId472" display="https://drive.google.com/drive/folders/1BFlo7sQNQArxvwhodfKGwwwch8UuW15j?usp=sharing"/>
    <hyperlink ref="J177" r:id="rId473" display="https://drive.google.com/drive/folders/1SOTe9qjdqel_gxOP-yKM4CHcCobMoWBW"/>
    <hyperlink ref="J178" r:id="rId474" display="https://drive.google.com/drive/folders/1oS-t62F8Nv64R0CH_2HVaBy2VurYUr8k?usp=sharing"/>
    <hyperlink ref="P178" r:id="rId475" display="https://hocmai.vn/bai-giang-truc-tuyen/175180/.html"/>
    <hyperlink ref="J179" r:id="rId476" display="https://drive.google.com/drive/folders/1VJ0MuhB_ogDs6--EJzUtVD7pFFuG7huw?usp=sharing"/>
    <hyperlink ref="P179" r:id="rId477" display="https://hocmai.vn/bai-giang-truc-tuyen/175200/.html"/>
    <hyperlink ref="J180" r:id="rId478" display="https://drive.google.com/drive/folders/1I5p7bWQnU_WRmO9GbUFNLgQufkh8gc-8?usp=drive_link"/>
    <hyperlink ref="H181" r:id="rId479" display="https://hocmai.vn/file.php/3340/Tai_lieu_bai_giang/26-27/TLHS_TOS_V-ACT_KH06.pdf"/>
    <hyperlink ref="I181" r:id="rId480" display="https://hocmai.vn/file.php/3340/Tai_lieu_bai_giang/26-27/TLHS_TOS_V-ACT_KH06.pdf"/>
    <hyperlink ref="J181" r:id="rId481" display="https://drive.google.com/drive/folders/1E3wQHgheAum59wmmDPBzImP52DAT0pzV?usp=drive_link"/>
    <hyperlink ref="J182" r:id="rId482" display="https://drive.google.com/drive/folders/16-Qu1VNJJzdowh52CSlKDKPapNAOJ9RL?usp=drive_link"/>
    <hyperlink ref="J183" r:id="rId483" display="https://drive.google.com/drive/folders/1qMPEaJNOG8mNUtPZcxrbn5MwkeO8nRcF?usp=drive_link"/>
    <hyperlink ref="P183" r:id="rId484" display="https://hocmai.vn/bai-giang-truc-tuyen/175132/.html"/>
    <hyperlink ref="J184" r:id="rId485" display="https://drive.google.com/open?id=19my3qKiIbBzGhGFwOBotM4f1DgRDrzfD&amp;usp=drive_fs"/>
    <hyperlink ref="P184" r:id="rId486" display="https://hocmai.vn/bai-giang-truc-tuyen/175188/.html"/>
    <hyperlink ref="J185" r:id="rId487" display="https://drive.google.com/drive/folders/1W_khhRV_B8Ej2rWgWIhy5JHRgvDJqJwc?usp=drive_link"/>
    <hyperlink ref="M185" r:id="rId488" display="https://hocmai.sharepoint.com/Education_Development/Lists/San_xuat_video/DispForm.aspx?ID=12170"/>
    <hyperlink ref="J186" r:id="rId489" display="https://drive.google.com/drive/folders/1ytk2QdDLtj16bZBgnppAXPGGU4R6grzm?usp=drive_link"/>
    <hyperlink ref="P186" r:id="rId490" display="https://hocmai.vn/bai-giang-truc-tuyen/175121/.html"/>
    <hyperlink ref="J187" r:id="rId491" display="https://drive.google.com/drive/folders/1pd9bjJYibgDmbHxguapUk25cMrKVUUMQ?usp=sharing"/>
    <hyperlink ref="P187" r:id="rId492" display="https://hocmai.vn/bai-giang-truc-tuyen/175125/.html"/>
    <hyperlink ref="J188" r:id="rId493" display="https://drive.google.com/drive/folders/1N5U1fOCWGSS4xd4f5zqBjojeVWogOqtv?usp=drive_link"/>
    <hyperlink ref="P188" r:id="rId494" display="https://hocmai.vn/bai-giang-truc-tuyen/175952/.html"/>
    <hyperlink ref="J189" r:id="rId495" display="https://drive.google.com/open?id=1NlpFpKDYOm4bBwGPgeeHD7zH92LiYoFS&amp;usp=drive_fs"/>
    <hyperlink ref="P189" r:id="rId496" display="https://hocmai.vn/bai-giang-truc-tuyen/175161/.html"/>
    <hyperlink ref="J190" r:id="rId497" display="https://drive.google.com/drive/folders/1Usy3Pw0JiJGVMeI6lyFj1JCjSmE-nxi7?usp=drive_link"/>
    <hyperlink ref="P190" r:id="rId498" display="https://hocmai.vn/bai-giang-truc-tuyen/175953/.html"/>
    <hyperlink ref="J191" r:id="rId499" display="https://drive.google.com/drive/folders/1ISiyTnqX1F0n3ybTokbKtD7zjkCjcUrl?usp=drive_link"/>
    <hyperlink ref="P191" r:id="rId500" display="https://hocmai.vn/bai-giang-truc-tuyen/175954/.html"/>
    <hyperlink ref="J192" r:id="rId501" display="https://drive.google.com/drive/folders/1VsPvbmntiS76F8Qr3l5GnM-W8WxviuR_?usp=sharing"/>
    <hyperlink ref="P192" r:id="rId502" display="https://hocmai.vn/bai-giang-truc-tuyen/175201/.html"/>
    <hyperlink ref="J193" r:id="rId503" display="https://drive.google.com/drive/folders/1VbCBRy_rbZgynFx3_rGRZCGRtMLe637F"/>
    <hyperlink ref="J194" r:id="rId504" display="https://drive.google.com/file/d/1n2B9zqVAEZdUaov9_TyscNgI3UXEyrCG/view?usp=drive_link"/>
    <hyperlink ref="H195" r:id="rId505" display="https://hocmai.vn/mod/scorm/view_file.php?id=182799"/>
    <hyperlink ref="I195" r:id="rId506" display="https://hocmai.vn/mod/scorm/view_file.php?id=182848"/>
    <hyperlink ref="J195" r:id="rId507" display="https://drive.google.com/drive/folders/1FNOTYQn6fn7jr_a2gzu7j8MuYSwQ-F1d?usp=drive_link"/>
    <hyperlink ref="J196" r:id="rId508" display="https://drive.google.com/drive/folders/1hrLxoRSFc_assiqtgK0n7UmRTUv4Ct05?usp=drive_link"/>
    <hyperlink ref="P196" r:id="rId509" display="https://hocmai.vn/bai-giang-truc-tuyen/175122/.html"/>
    <hyperlink ref="J197" r:id="rId510" display="https://drive.google.com/drive/folders/1RrnRtBbJIW41m5osaG5pDRYod8SgKmhU"/>
    <hyperlink ref="P197" r:id="rId511" display="https://hocmai.vn/bai-giang-truc-tuyen/175196/.html"/>
    <hyperlink ref="J198" r:id="rId512" display="https://drive.google.com/drive/folders/1SNXw8FMnSVWjl_AGgjHxIPQ4hAGPsSzM?usp=drive_link"/>
    <hyperlink ref="P198" r:id="rId513" display="https://hocmai.vn/bai-giang-truc-tuyen/175230/.html"/>
    <hyperlink ref="J199" r:id="rId514" display="https://drive.google.com/drive/folders/1YD6epN4Jn-X9Hetb5mye6HzmJeuRcllw?usp=sharing"/>
    <hyperlink ref="P199" r:id="rId515" display="https://hocmai.vn/bai-giang-truc-tuyen/175181/.html"/>
    <hyperlink ref="J200" r:id="rId516" display="https://drive.google.com/drive/folders/1thSEJRjX981HLdAGAEVJI06eEqnwEJQa?usp=drive_link"/>
    <hyperlink ref="J201" r:id="rId517" display="https://drive.google.com/drive/folders/144-x_5rehN3RczTmYQztX8x7AsUWMAkn?usp=sharing"/>
    <hyperlink ref="J202" r:id="rId518" display="https://drive.google.com/drive/folders/12PmMzRFKNdKQPYAxLBGqJFPeYrAzRepJ"/>
    <hyperlink ref="J203" r:id="rId519" display="https://drive.google.com/drive/folders/1fcKa9Vb-Qj_QUNeJIo58ZE-GmJQYFCM0?usp=drive_link"/>
    <hyperlink ref="P203" r:id="rId520" display="https://hocmai.vn/bai-giang-truc-tuyen/175133/.html"/>
    <hyperlink ref="J204" r:id="rId521" display="https://drive.google.com/drive/folders/1ZuS1b2FzGlBADGFKLfJf22H8nkRQLLqI"/>
    <hyperlink ref="P204" r:id="rId522" display="https://hocmai.vn/bai-giang-truc-tuyen/175202/.html"/>
    <hyperlink ref="H205" r:id="rId523" display="https://hocmai.vn/mod/scorm/view_file.php?inpopup=true&amp;id=183299"/>
    <hyperlink ref="I205" r:id="rId524" display="https://hocmai.vn/mod/scorm/view_file.php?inpopup=true&amp;id=183339"/>
    <hyperlink ref="J205" r:id="rId525" display="https://drive.google.com/drive/folders/1X_q7q9ynwBsqCiYPcdmTPDxhOhzbOd73?usp=sharing"/>
    <hyperlink ref="M205" r:id="rId526" display="https://hocmai.sharepoint.com/Education_Development/Lists/San_xuat_video/DispForm.aspx?ID=12202"/>
    <hyperlink ref="N205" r:id="rId527" display="https://hocmai.vn/course/view.php?id=3313"/>
    <hyperlink ref="J206" r:id="rId528" display="https://drive.google.com/file/d/1xYFRBjw9HVisdxWnmwYm5skZGis8dYfn/view?usp=drive_link"/>
    <hyperlink ref="J207" r:id="rId529" display="https://drive.google.com/drive/folders/17JvudBHLEBpqJmZlcuKoOIUiV1xNAn4n?usp=drive_link"/>
    <hyperlink ref="P207" r:id="rId530" display="https://hocmai.vn/bai-giang-truc-tuyen/175123/.html"/>
    <hyperlink ref="J208" r:id="rId531" display="https://drive.google.com/open?id=1NXDvbsYDGKb6RKxOyCFE2f1NKbwC1JY6&amp;usp=drive_fs"/>
    <hyperlink ref="P208" r:id="rId532" display="https://hocmai.vn/bai-giang-truc-tuyen/175189/.html"/>
    <hyperlink ref="J209" r:id="rId533" display="https://drive.google.com/drive/folders/1-gzV_TWjQeqKI1QhubhNphkt1F0lcG34?usp=drive_link"/>
    <hyperlink ref="P209" r:id="rId534" display="https://hocmai.vn/bai-giang-truc-tuyen/175193/.html"/>
    <hyperlink ref="H210" r:id="rId535" display="https://hocmai.vn/file.php/3110/Nam_hoc_2026_-_2027/VAT_LI/TAI_LIEU_HOC_SINH/TLHS_TOV_TSA_07._Dao_dong_co_va_cac_quy_luat_bien_doi_theo_thoi_gian.pdf"/>
    <hyperlink ref="I210" r:id="rId536" display="https://hocmai.vn/file.php/3110/Nam_hoc_2026_-_2027/VAT_LI/BTTL/BTTL_TOV_TSA_L07._Dao_dong_co_va_cac_quy_luat_bien_doi_theo_thoi_gian.pdf"/>
    <hyperlink ref="J210" r:id="rId537" display="https://drive.google.com/drive/folders/172XelCoBR5y1Z_vRLFFoUc02PAd51fN3"/>
    <hyperlink ref="J211" r:id="rId538" display="https://drive.google.com/drive/folders/16h7Rk6txMVtNLDIjH424s4jVK8jmTRY9?usp=drive_link"/>
    <hyperlink ref="H212" r:id="rId539" display="https://hocmai.vn/file.php/3119/NAM_HOC_2026_-_2027/Tai_lieu_live/TLHS_TOV_HSA_VL07._Song.pdf"/>
    <hyperlink ref="I212" r:id="rId540" display="https://hocmai.vn/file.php/3119/NAM_HOC_2026_-_2027/BTTL/BTTL_TOV_HSA_VL07._Song.pdf"/>
    <hyperlink ref="J212" r:id="rId541" display="https://drive.google.com/drive/folders/1iFI5mfngI0qR66ElDDdt08hl_IvKkIN-?usp=drive_link"/>
    <hyperlink ref="N212" r:id="rId542" display="https://hocmai.vn/course/view.php?id=3119&amp;edit=on&amp;sesskey=4KPJGukykI"/>
    <hyperlink ref="J213" r:id="rId543" display="https://drive.google.com/drive/folders/1ys1_ZbIKI67YwNVI1T8qAFQsinUOeRvR?usp=sharing"/>
    <hyperlink ref="J214" r:id="rId544" display="https://drive.google.com/drive/folders/1nntpAx65r6hh_8hUyeJuHb-cJ2LThouy?usp=drive_link"/>
    <hyperlink ref="P214" r:id="rId545" display="https://hocmai.vn/bai-giang-truc-tuyen/175134/.html"/>
    <hyperlink ref="J216" r:id="rId546" display="https://drive.google.com/drive/folders/1Qb7nXYmxRs-45KBAnbxq0BeNyw10kM6c?usp=sharing"/>
    <hyperlink ref="J217" r:id="rId547" display="https://drive.google.com/drive/folders/1QLraGWjJKNQW_wY7jTKmHXByx1Y8uij9"/>
    <hyperlink ref="J218" r:id="rId548" display="https://drive.google.com/drive/folders/1O8N4ZM0SGnHsQoldEf6VosXutJN3bfPn?usp=sharing"/>
    <hyperlink ref="P218" r:id="rId549" display="https://hocmai.vn/bai-giang-truc-tuyen/175182/.html"/>
    <hyperlink ref="J219" r:id="rId550" display="https://drive.google.com/drive/folders/1AVAJOzfjUI9r1dLky7Hp5WfkcC1LwwG_"/>
    <hyperlink ref="P219" r:id="rId551" display="https://hocmai.vn/bai-giang-truc-tuyen/175568/.html"/>
    <hyperlink ref="H220" r:id="rId552" display="https://hocmai.vn/mod/scorm/view_file.php?id=183801"/>
    <hyperlink ref="H221" r:id="rId553" display="https://hocmai.vn/file.php/3340/Tai_lieu_bai_giang/26-27/TLHS_TOS_V-ACT_KH07.pdf"/>
    <hyperlink ref="I221" r:id="rId554" display="https://hocmai.vn/file.php/3340/Bai_tap_tu_luyen/26-27/NVHT_TOV_V-ACT_KH07.pdf"/>
    <hyperlink ref="J221" r:id="rId555" display="https://drive.google.com/drive/folders/10ss9Gh1D3hScOzijI-rEvylKev-PS3OI?usp=drive_link"/>
    <hyperlink ref="J222" r:id="rId556" display="https://drive.google.com/drive/folders/1Q9j4Do44uo0CrfwW25rIHE4XOzmNgGxM?usp=drive_link"/>
    <hyperlink ref="P222" r:id="rId557" display="https://hocmai.vn/bai-giang-truc-tuyen/176065/.html"/>
    <hyperlink ref="H223" r:id="rId558" display="https://hocmai.vn/mod/scorm/view_file.php?inpopup=true&amp;id=183896"/>
    <hyperlink ref="I223" r:id="rId559" display="https://hocmai.vn/mod/scorm/view_file.php?inpopup=true&amp;id=183911"/>
    <hyperlink ref="J223" r:id="rId560" display="https://drive.google.com/drive/folders/1whYY1PDPUEKpfEY1sKURbJXNUEi1tuBK?usp=drive_link"/>
    <hyperlink ref="M223" r:id="rId561" display="https://hocmai.sharepoint.com/Education_Development/Lists/San_xuat_video/DispForm.aspx?ID=12203"/>
    <hyperlink ref="N223" r:id="rId562" display="https://hocmai.vn/course/view.php?id=3313"/>
    <hyperlink ref="H224" r:id="rId563" display="https://hocmai.vn/file.php/3312/Tai_lieu_live/Topuni_26_27_Nen_tang_Buoi_32_CAC_BAI_TOAN_THUC_TE_TINH_DIEN_TICH_HINH_PHANG_TLBG.pdf"/>
    <hyperlink ref="I224" r:id="rId564" display="https://hocmai.vn/file.php/3312/De_luyen/Topuni_26_27_Nen_tang_Buoi_32_CAC_BAI_TOAN_THUC_TE_TINH_DIEN_TICH_HINH_PHANG_De_luyen.pdf"/>
    <hyperlink ref="J224" r:id="rId565" display="https://drive.google.com/file/d/1hM_-FtG445oDQ-ofgpespOimIzajnZNO/view?usp=drive_link"/>
    <hyperlink ref="M224" r:id="rId566" display="https://hocmai.sharepoint.com/Education_Development/Lists/San_xuat_video/DispForm.aspx?ID=12171"/>
    <hyperlink ref="P225" r:id="rId567" display="https://hocmai.vn/bai-giang-truc-tuyen/175166/.html"/>
    <hyperlink ref="J226" r:id="rId568" display="https://drive.google.com/drive/folders/1ie5go0DCXyXRS7FGtzOSLjAb-3QZxLjk?usp=drive_link"/>
    <hyperlink ref="P226" r:id="rId569" display="https://hocmai.vn/bai-giang-truc-tuyen/176059/.html"/>
    <hyperlink ref="J227" r:id="rId570" display="https://drive.google.com/open?id=1BfohvqmUbFS5pePVszdntO_WJHOqgu0x&amp;usp=drive_fs"/>
    <hyperlink ref="P227" r:id="rId571" display="https://hocmai.vn/bai-giang-truc-tuyen/175162/.html"/>
    <hyperlink ref="P228" r:id="rId572" display="https://hocmai.vn/bai-giang-truc-tuyen/175956/.html"/>
    <hyperlink ref="J229" r:id="rId573" display="https://drive.google.com/drive/folders/1WIwnkcGPowEwN8k9ZHCVGDhlI_WpTA0a?usp=sharing"/>
    <hyperlink ref="P229" r:id="rId574" display="https://hocmai.vn/bai-giang-truc-tuyen/175183/.html"/>
    <hyperlink ref="J230" r:id="rId575" display="https://drive.google.com/file/d/11IAviAK_laTfj0AsdC15DQltLEDeC72b/view?usp=drive_link"/>
    <hyperlink ref="J231" r:id="rId576" display="https://drive.google.com/file/d/1dqfPeUX2W8lpOfiVSDUajIhYDsP-DpGl/view?usp=drive_link"/>
    <hyperlink ref="H232" r:id="rId577" display="https://hocmai.vn/mod/scorm/view_file.php?id=183729"/>
    <hyperlink ref="I232" r:id="rId578" display="https://hocmai.vn/mod/scorm/view_file.php?id=183736"/>
    <hyperlink ref="J232" r:id="rId579" display="https://drive.google.com/drive/folders/1b_ne0MP6uzSYauggeuID6-Ml7N-DRBWg?usp=drive_link"/>
    <hyperlink ref="J233" r:id="rId580" display="https://drive.google.com/drive/folders/1Zy0iMHeJPpll-PyZEzvXN-1Old4CVjbE?usp=drive_link"/>
    <hyperlink ref="P233" r:id="rId581" display="https://hocmai.vn/bai-giang-truc-tuyen/176142/.html"/>
    <hyperlink ref="J234" r:id="rId582" display="https://drive.google.com/drive/folders/1LhwXcUmvGcdFCndI9WfOwfT-siVGjjsB?usp=drive_link"/>
    <hyperlink ref="P234" r:id="rId583" display="https://hocmai.vn/bai-giang-truc-tuyen/176147/.html"/>
    <hyperlink ref="J235" r:id="rId584" display="https://drive.google.com/drive/folders/14BkLsfNOlI2nD4aFErOTeVt2ArFN4Rao?usp=sharing"/>
    <hyperlink ref="P235" r:id="rId585" display="https://hocmai.vn/bai-giang-truc-tuyen/176086/.html"/>
    <hyperlink ref="J237" r:id="rId586" display="https://drive.google.com/drive/folders/19eqRAAdOT6hkrK6IOluVNjG3-HcaTLXv?usp=sharing"/>
    <hyperlink ref="J239" r:id="rId587" display="https://drive.google.com/drive/folders/1sMUnzDGEn0lO1rKZpMsBsV8ZjbMTt6ok"/>
    <hyperlink ref="P239" r:id="rId588" display="https://hocmai.vn/bai-giang-truc-tuyen/176066/.html"/>
    <hyperlink ref="J240" r:id="rId589" display="https://drive.google.com/drive/folders/1_zXRvNx21BG3sADWMr3YZOQsX9rB-8fP?usp=drive_link"/>
    <hyperlink ref="P240" r:id="rId590" display="https://hocmai.vn/bai-giang-truc-tuyen/176101/.html"/>
    <hyperlink ref="J241" r:id="rId591" display="https://drive.google.com/drive/folders/1B8qhxHklQcrXpH21jLtH0La1DGt69F8g"/>
    <hyperlink ref="P242" r:id="rId592" display="https://hocmai.vn/bai-giang-truc-tuyen/176045/.html"/>
    <hyperlink ref="P243" r:id="rId593" display="https://hocmai.vn/bai-giang-truc-tuyen/176122/.html"/>
    <hyperlink ref="P244" r:id="rId594" display="https://hocmai.vn/bai-giang-truc-tuyen/176112/.html"/>
    <hyperlink ref="J245" r:id="rId595" display="https://drive.google.com/drive/folders/1yd8hHOJwwEqRpcUktCXtTpiDQUdDeLIc?usp=drive_link"/>
    <hyperlink ref="P245" r:id="rId596" display="https://hocmai.vn/bai-giang-truc-tuyen/176081/.html"/>
    <hyperlink ref="J248" r:id="rId597" display="https://drive.google.com/drive/folders/1jxvj2Ak2QjDZPzgLcijxgtZO4ctc52HC?usp=drive_link"/>
    <hyperlink ref="N248" r:id="rId598" display="https://hocmai.vn/course/view.php?id=3119&amp;edit=on&amp;sesskey=4KPJGukykI"/>
    <hyperlink ref="P250" r:id="rId599" display="https://hocmai.vn/bai-giang-truc-tuyen/176067/.html"/>
    <hyperlink ref="P254" r:id="rId600" display="https://hocmai.vn/bai-giang-truc-tuyen/176087/.html"/>
    <hyperlink ref="J255" r:id="rId601" display="https://drive.google.com/drive/folders/1Nbb5V-PjYF_E8RAMoBkUNclxNHisOQgL?usp=drive_link"/>
    <hyperlink ref="P255" r:id="rId602" display="https://hocmai.vn/bai-giang-truc-tuyen/176102/.html"/>
    <hyperlink ref="P258" r:id="rId603" display="https://hocmai.vn/bai-giang-truc-tuyen/176068/.html"/>
    <hyperlink ref="P259" r:id="rId604" display="https://hocmai.vn/bai-giang-truc-tuyen/176123/.html"/>
    <hyperlink ref="P260" r:id="rId605" display="https://hocmai.vn/bai-giang-truc-tuyen/176113/.html"/>
    <hyperlink ref="M261" r:id="rId606" display="https://hocmai.sharepoint.com/Education_Development/Lists/San_xuat_video/DispForm.aspx?ID=12204"/>
    <hyperlink ref="N261" r:id="rId607" display="https://hocmai.vn/course/view.php?id=3313"/>
    <hyperlink ref="M262" r:id="rId608" display="https://hocmai.sharepoint.com/Education_Development/Lists/San_xuat_video/DispForm.aspx?ID=12172"/>
    <hyperlink ref="P263" r:id="rId609" display="https://hocmai.vn/bai-giang-truc-tuyen/176046/.html"/>
    <hyperlink ref="J264" r:id="rId610" display="https://drive.google.com/drive/folders/1o0lXzjEIU_ZsFcWSdUcMQZOsy_g9xGRo?usp=sharing"/>
    <hyperlink ref="P264" r:id="rId611" display="https://hocmai.vn/bai-giang-truc-tuyen/176060/.html"/>
    <hyperlink ref="P265" r:id="rId612" display="https://hocmai.vn/bai-giang-truc-tuyen/176137/.html"/>
    <hyperlink ref="P266" r:id="rId613" display="https://hocmai.vn/bai-giang-truc-tuyen/176124/.html"/>
    <hyperlink ref="P267" r:id="rId614" display="https://hocmai.vn/bai-giang-truc-tuyen/176088/.html"/>
    <hyperlink ref="J268" r:id="rId615" display="https://drive.google.com/drive/folders/1VbCBRy_rbZgynFx3_rGRZCGRtMLe637F"/>
    <hyperlink ref="H270" r:id="rId616" display="https://hocmai.vn/mod/scorm/view_file.php?id=183730"/>
    <hyperlink ref="J270" r:id="rId617" display="https://drive.google.com/drive/folders/1qB8mWgVtKsMl5i1fJdT34pZazSe3bYGy?usp=drive_link"/>
    <hyperlink ref="P271" r:id="rId618" display="https://hocmai.vn/bai-giang-truc-tuyen/176047/.html"/>
    <hyperlink ref="J272" r:id="rId619" display="https://drive.google.com/drive/folders/1-pzTmcHRbayUEFMWWg3uHyotrXfMMkC3?usp=drive_link"/>
    <hyperlink ref="P272" r:id="rId620" display="https://hocmai.vn/bai-giang-truc-tuyen/176143/.html"/>
    <hyperlink ref="J273" r:id="rId621" display="https://drive.google.com/drive/folders/1xPK9hQGpbUfGhJK76Q1dkBSPH_CVaEJ6"/>
    <hyperlink ref="P273" r:id="rId622" display="https://hocmai.vn/bai-giang-truc-tuyen/176148/.html"/>
    <hyperlink ref="P274" r:id="rId623" display="https://hocmai.vn/bai-giang-truc-tuyen/176089/.html"/>
    <hyperlink ref="P278" r:id="rId624" display="https://hocmai.vn/bai-giang-truc-tuyen/176069/.html"/>
    <hyperlink ref="J279" r:id="rId625" display="https://drive.google.com/drive/folders/1w_-tCLlDXoYGrWtIknRXe9pthJb_a9cc?usp=drive_link"/>
    <hyperlink ref="P279" r:id="rId626" display="https://hocmai.vn/bai-giang-truc-tuyen/176103/.html"/>
    <hyperlink ref="J280" r:id="rId627" display="https://drive.google.com/drive/folders/1B8qhxHklQcrXpH21jLtH0La1DGt69F8g"/>
    <hyperlink ref="P281" r:id="rId628" display="https://hocmai.vn/bai-giang-truc-tuyen/176048/.html"/>
    <hyperlink ref="P282" r:id="rId629" display="https://hocmai.vn/bai-giang-truc-tuyen/176125/.html"/>
    <hyperlink ref="P283" r:id="rId630" display="https://hocmai.vn/bai-giang-truc-tuyen/176114/.html"/>
    <hyperlink ref="J284" r:id="rId631" display="https://drive.google.com/drive/folders/1ePLC-d4VsdTiYckoNAUYo3bCNEDQ-l7E?usp=drive_link"/>
    <hyperlink ref="P284" r:id="rId632" display="https://hocmai.vn/bai-giang-truc-tuyen/176082/.html"/>
    <hyperlink ref="J287" r:id="rId633" display="https://drive.google.com/drive/folders/15cRTJF9Z7omzMy4YKyUGsYtfKG9dg0x7?usp=drive_link"/>
    <hyperlink ref="N287" r:id="rId634" display="https://hocmai.vn/course/view.php?id=3119&amp;edit=on&amp;sesskey=4KPJGukykI"/>
    <hyperlink ref="P289" r:id="rId635" display="https://hocmai.vn/bai-giang-truc-tuyen/176070/.html"/>
    <hyperlink ref="P293" r:id="rId636" display="https://hocmai.vn/bai-giang-truc-tuyen/176090/.html"/>
    <hyperlink ref="J294" r:id="rId637" display="https://drive.google.com/drive/folders/1lQuyE61UCt2S1qvxmLgA5haJw9H9spFr?usp=drive_link"/>
    <hyperlink ref="P294" r:id="rId638" display="https://hocmai.vn/bai-giang-truc-tuyen/176104/.html"/>
    <hyperlink ref="P297" r:id="rId639" display="https://hocmai.vn/bai-giang-truc-tuyen/176071/.html"/>
    <hyperlink ref="P298" r:id="rId640" display="https://hocmai.vn/bai-giang-truc-tuyen/176126/.html"/>
    <hyperlink ref="P299" r:id="rId641" display="https://hocmai.vn/bai-giang-truc-tuyen/176115/.html"/>
    <hyperlink ref="M300" r:id="rId642" display="https://hocmai.sharepoint.com/Education_Development/Lists/San_xuat_video/DispForm.aspx?ID=12205"/>
    <hyperlink ref="N300" r:id="rId643" display="https://hocmai.vn/course/view.php?id=3313"/>
    <hyperlink ref="M301" r:id="rId644" display="https://hocmai.sharepoint.com/Education_Development/Lists/San_xuat_video/DispForm.aspx?ID=12173"/>
    <hyperlink ref="P302" r:id="rId645" display="https://hocmai.vn/bai-giang-truc-tuyen/176049/.html"/>
    <hyperlink ref="J303" r:id="rId646" display="https://drive.google.com/drive/folders/1C6dBlPwtLf16q3L5flmBZptmBW1aqZUM?usp=sharing"/>
    <hyperlink ref="P303" r:id="rId647" display="https://hocmai.vn/bai-giang-truc-tuyen/176061/.html"/>
    <hyperlink ref="P304" r:id="rId648" display="https://hocmai.vn/bai-giang-truc-tuyen/176138/.html"/>
    <hyperlink ref="P305" r:id="rId649" display="https://hocmai.vn/bai-giang-truc-tuyen/176127/.html"/>
    <hyperlink ref="P306" r:id="rId650" display="https://hocmai.vn/bai-giang-truc-tuyen/176091/.html"/>
    <hyperlink ref="P310" r:id="rId651" display="https://hocmai.vn/bai-giang-truc-tuyen/176050/.html"/>
    <hyperlink ref="P311" r:id="rId652" display="https://hocmai.vn/bai-giang-truc-tuyen/176144/.html"/>
    <hyperlink ref="J312" r:id="rId653" display="https://drive.google.com/drive/folders/1QbSCTeQOxBnvE7rXrFsxEEMk-E-Qlc9o"/>
    <hyperlink ref="P312" r:id="rId654" display="https://hocmai.vn/bai-giang-truc-tuyen/176149/.html"/>
    <hyperlink ref="P313" r:id="rId655" display="https://hocmai.vn/bai-giang-truc-tuyen/176092/.html"/>
    <hyperlink ref="P317" r:id="rId656" display="https://hocmai.vn/bai-giang-truc-tuyen/176072/.html"/>
    <hyperlink ref="P318" r:id="rId657" display="https://hocmai.vn/bai-giang-truc-tuyen/176105/.html"/>
    <hyperlink ref="P321" r:id="rId658" display="https://hocmai.vn/bai-giang-truc-tuyen/176051/.html"/>
    <hyperlink ref="P322" r:id="rId659" display="https://hocmai.vn/bai-giang-truc-tuyen/176128/.html"/>
    <hyperlink ref="P323" r:id="rId660" display="https://hocmai.vn/bai-giang-truc-tuyen/176116/.html"/>
    <hyperlink ref="J324" r:id="rId661" display="https://drive.google.com/drive/folders/12PshYjHJjjEXRBouSdLjrpnmldFc5Zse?usp=drive_link"/>
    <hyperlink ref="P324" r:id="rId662" display="https://hocmai.vn/bai-giang-truc-tuyen/176083/.html"/>
    <hyperlink ref="N327" r:id="rId663" display="https://hocmai.vn/course/view.php?id=3130"/>
    <hyperlink ref="P330" r:id="rId664" display="https://hocmai.vn/bai-giang-truc-tuyen/176073/.html"/>
    <hyperlink ref="P334" r:id="rId665" display="https://hocmai.vn/bai-giang-truc-tuyen/176093/.html"/>
    <hyperlink ref="P335" r:id="rId666" display="https://hocmai.vn/bai-giang-truc-tuyen/176106/.html"/>
    <hyperlink ref="P338" r:id="rId667" display="https://hocmai.vn/bai-giang-truc-tuyen/176074/.html"/>
    <hyperlink ref="P339" r:id="rId668" display="https://hocmai.vn/bai-giang-truc-tuyen/176129/.html"/>
    <hyperlink ref="P340" r:id="rId669" display="https://hocmai.vn/bai-giang-truc-tuyen/176117/.html"/>
    <hyperlink ref="M341" r:id="rId670" display="https://hocmai.sharepoint.com/Education_Development/Lists/San_xuat_video/DispForm.aspx?ID=12206"/>
    <hyperlink ref="N341" r:id="rId671" display="https://hocmai.vn/course/view.php?id=3313"/>
    <hyperlink ref="M342" r:id="rId672" display="https://hocmai.sharepoint.com/Education_Development/Lists/San_xuat_video/DispForm.aspx?ID=12174"/>
    <hyperlink ref="P343" r:id="rId673" display="https://hocmai.vn/bai-giang-truc-tuyen/176052/.html"/>
    <hyperlink ref="J344" r:id="rId674" display="https://drive.google.com/drive/folders/1jwma7JKsqpCDOS5-rRSvBBVX14nvIZzH?usp=drive_link"/>
    <hyperlink ref="P344" r:id="rId675" display="https://hocmai.vn/bai-giang-truc-tuyen/176062/.html"/>
    <hyperlink ref="P345" r:id="rId676" display="https://hocmai.vn/bai-giang-truc-tuyen/176139/.html"/>
    <hyperlink ref="P346" r:id="rId677" display="https://hocmai.vn/bai-giang-truc-tuyen/176130/.html"/>
    <hyperlink ref="P347" r:id="rId678" display="https://hocmai.vn/bai-giang-truc-tuyen/176094/.html"/>
    <hyperlink ref="P351" r:id="rId679" display="https://hocmai.vn/bai-giang-truc-tuyen/176053/.html"/>
    <hyperlink ref="P352" r:id="rId680" display="https://hocmai.vn/bai-giang-truc-tuyen/176145/.html"/>
    <hyperlink ref="J353" r:id="rId681" display="https://drive.google.com/drive/folders/1zNoSe8XYgQIWtSCMkpULYF60CjY2mlXN"/>
    <hyperlink ref="P353" r:id="rId682" display="https://hocmai.vn/bai-giang-truc-tuyen/176150/.html"/>
    <hyperlink ref="P354" r:id="rId683" display="https://hocmai.vn/bai-giang-truc-tuyen/176095/.html"/>
    <hyperlink ref="P358" r:id="rId684" display="https://hocmai.vn/bai-giang-truc-tuyen/176075/.html"/>
    <hyperlink ref="P359" r:id="rId685" display="https://hocmai.vn/bai-giang-truc-tuyen/176107/.html"/>
    <hyperlink ref="P362" r:id="rId686" display="https://hocmai.vn/bai-giang-truc-tuyen/176054/.html"/>
    <hyperlink ref="P363" r:id="rId687" display="https://hocmai.vn/bai-giang-truc-tuyen/176131/.html"/>
    <hyperlink ref="P364" r:id="rId688" display="https://hocmai.vn/bai-giang-truc-tuyen/176118/.html"/>
    <hyperlink ref="J365" r:id="rId689" display="https://drive.google.com/drive/folders/1lhd4HzYm4U0nOQKm3S3ZMOXeVxrC8lsf?usp=drive_link"/>
    <hyperlink ref="P365" r:id="rId690" display="https://hocmai.vn/bai-giang-truc-tuyen/176084/.html"/>
    <hyperlink ref="N368" r:id="rId691" display="https://hocmai.vn/course/view.php?id=3130"/>
    <hyperlink ref="P371" r:id="rId692" display="https://hocmai.vn/bai-giang-truc-tuyen/176076/.html"/>
    <hyperlink ref="P375" r:id="rId693" display="https://hocmai.vn/bai-giang-truc-tuyen/176096/.html"/>
    <hyperlink ref="P376" r:id="rId694" display="https://hocmai.vn/bai-giang-truc-tuyen/176108/.html"/>
    <hyperlink ref="P379" r:id="rId695" display="https://hocmai.vn/bai-giang-truc-tuyen/176077/.html"/>
    <hyperlink ref="P380" r:id="rId696" display="https://hocmai.vn/bai-giang-truc-tuyen/176132/.html"/>
    <hyperlink ref="P381" r:id="rId697" display="https://hocmai.vn/bai-giang-truc-tuyen/176119/.html"/>
    <hyperlink ref="M382" r:id="rId698" display="https://hocmai.sharepoint.com/Education_Development/Lists/San_xuat_video/DispForm.aspx?ID=12207"/>
    <hyperlink ref="N382" r:id="rId699" display="https://hocmai.vn/course/view.php?id=3313"/>
    <hyperlink ref="M383" r:id="rId700" display="https://hocmai.sharepoint.com/Education_Development/Lists/San_xuat_video/DispForm.aspx?ID=12175"/>
    <hyperlink ref="P384" r:id="rId701" display="https://hocmai.vn/bai-giang-truc-tuyen/176055/.html"/>
    <hyperlink ref="J385" r:id="rId702" display="https://drive.google.com/drive/folders/12G3tdIiYSp91oSyYiGy2rpk_v1KX2KQi?usp=drive_link"/>
    <hyperlink ref="P385" r:id="rId703" display="https://hocmai.vn/bai-giang-truc-tuyen/176063/.html"/>
    <hyperlink ref="P386" r:id="rId704" display="https://hocmai.vn/bai-giang-truc-tuyen/176140/.html"/>
    <hyperlink ref="P387" r:id="rId705" display="https://hocmai.vn/bai-giang-truc-tuyen/176133/.html"/>
    <hyperlink ref="P388" r:id="rId706" display="https://hocmai.vn/bai-giang-truc-tuyen/176097/.html"/>
    <hyperlink ref="P392" r:id="rId707" display="https://hocmai.vn/bai-giang-truc-tuyen/176056/.html"/>
    <hyperlink ref="P393" r:id="rId708" display="https://hocmai.vn/bai-giang-truc-tuyen/176146/.html"/>
    <hyperlink ref="J394" r:id="rId709" display="https://drive.google.com/drive/folders/13YTgTB1CYHRYgrGZ-oIkj0JwDPMwMqjF?usp=drive_link"/>
    <hyperlink ref="P394" r:id="rId710" display="https://hocmai.vn/bai-giang-truc-tuyen/176151/.html"/>
    <hyperlink ref="P395" r:id="rId711" display="https://hocmai.vn/bai-giang-truc-tuyen/176098/.html"/>
    <hyperlink ref="N404" r:id="rId712" display="https://hocmai.vn/course/view.php?id=3130"/>
    <hyperlink ref="P407" r:id="rId713" display="https://hocmai.vn/bai-giang-truc-tuyen/176078/.html"/>
    <hyperlink ref="P411" r:id="rId714" display="https://hocmai.vn/bai-giang-truc-tuyen/176099/.html"/>
    <hyperlink ref="P412" r:id="rId715" display="https://hocmai.vn/bai-giang-truc-tuyen/176109/.html"/>
    <hyperlink ref="P415" r:id="rId716" display="https://hocmai.vn/bai-giang-truc-tuyen/176079/.html"/>
    <hyperlink ref="P416" r:id="rId717" display="https://hocmai.vn/bai-giang-truc-tuyen/176134/.html"/>
    <hyperlink ref="P417" r:id="rId718" display="https://hocmai.vn/bai-giang-truc-tuyen/176120/.html"/>
    <hyperlink ref="M418" r:id="rId719" display="https://hocmai.sharepoint.com/Education_Development/Lists/San_xuat_video/DispForm.aspx?ID=12208"/>
    <hyperlink ref="N418" r:id="rId720" display="https://hocmai.vn/course/view.php?id=3313"/>
    <hyperlink ref="M419" r:id="rId721" display="https://hocmai.sharepoint.com/Education_Development/Lists/San_xuat_video/DispForm.aspx?ID=12176"/>
    <hyperlink ref="P420" r:id="rId722" display="https://hocmai.vn/bai-giang-truc-tuyen/176057/.html"/>
    <hyperlink ref="J421" r:id="rId723" display="https://drive.google.com/drive/folders/1Lr7ZNHdML4P3sBNpoPa6pc1r97B6jqVs?usp=drive_link"/>
    <hyperlink ref="P421" r:id="rId724" display="https://hocmai.vn/bai-giang-truc-tuyen/176064/.html"/>
    <hyperlink ref="P422" r:id="rId725" display="https://hocmai.vn/bai-giang-truc-tuyen/176141/.html"/>
    <hyperlink ref="P423" r:id="rId726" display="https://hocmai.vn/bai-giang-truc-tuyen/176135/.html"/>
    <hyperlink ref="P424" r:id="rId727" display="https://hocmai.vn/bai-giang-truc-tuyen/176100/.html"/>
    <hyperlink ref="P428" r:id="rId728" display="https://hocmai.vn/bai-giang-truc-tuyen/176058/.html"/>
    <hyperlink ref="P432" r:id="rId729" display="https://hocmai.vn/bai-giang-truc-tuyen/176080/.html"/>
    <hyperlink ref="P433" r:id="rId730" display="https://hocmai.vn/bai-giang-truc-tuyen/176110/.html"/>
    <hyperlink ref="P436" r:id="rId731" display="https://hocmai.vn/bai-giang-truc-tuyen/176136/.html"/>
    <hyperlink ref="J437" r:id="rId732" display="https://drive.google.com/drive/folders/19EhrumcXZmdldCh_ccYYXkHDQYGndmQR?usp=drive_link"/>
    <hyperlink ref="P437" r:id="rId733" display="https://hocmai.vn/bai-giang-truc-tuyen/176085/.html"/>
    <hyperlink ref="P438" r:id="rId734" display="https://hocmai.vn/bai-giang-truc-tuyen/176121/.html"/>
    <hyperlink ref="N440" r:id="rId735" display="https://hocmai.vn/course/view.php?id=3130"/>
    <hyperlink ref="M447" r:id="rId736" display="https://hocmai.sharepoint.com/Education_Development/Lists/San_xuat_video/DispForm.aspx?ID=12209"/>
    <hyperlink ref="N447" r:id="rId737" display="https://hocmai.vn/course/view.php?id=3313"/>
    <hyperlink ref="M448" r:id="rId738" display="https://hocmai.sharepoint.com/Education_Development/Lists/San_xuat_video/DispForm.aspx?ID=12177"/>
    <hyperlink ref="N457" r:id="rId739" display="https://hocmai.vn/course/view.php?id=3130"/>
    <hyperlink ref="M464" r:id="rId740" display="https://hocmai.sharepoint.com/Education_Development/Lists/San_xuat_video/DispForm.aspx?ID=12210"/>
    <hyperlink ref="N464" r:id="rId741" display="https://hocmai.vn/course/view.php?id=3313"/>
    <hyperlink ref="M465" r:id="rId742" display="https://hocmai.sharepoint.com/Education_Development/Lists/San_xuat_video/DispForm.aspx?ID=12178"/>
    <hyperlink ref="N474" r:id="rId743" display="https://hocmai.vn/course/view.php?id=3130"/>
    <hyperlink ref="M481" r:id="rId744" display="https://hocmai.sharepoint.com/Education_Development/Lists/San_xuat_video/DispForm.aspx?ID=12211"/>
    <hyperlink ref="N481" r:id="rId745" display="https://hocmai.vn/course/view.php?id=3313"/>
    <hyperlink ref="M482" r:id="rId746" display="https://hocmai.sharepoint.com/Education_Development/Lists/San_xuat_video/DispForm.aspx?ID=12179"/>
    <hyperlink ref="N491" r:id="rId747" display="https://hocmai.vn/course/view.php?id=3130"/>
    <hyperlink ref="M498" r:id="rId748" display="https://hocmai.sharepoint.com/Education_Development/Lists/San_xuat_video/DispForm.aspx?ID=12212"/>
    <hyperlink ref="N498" r:id="rId749" display="https://hocmai.vn/course/view.php?id=3313"/>
    <hyperlink ref="M499" r:id="rId750" display="https://hocmai.sharepoint.com/Education_Development/Lists/San_xuat_video/DispForm.aspx?ID=12180"/>
    <hyperlink ref="N509" r:id="rId751" display="https://hocmai.vn/course/view.php?id=3130"/>
    <hyperlink ref="M516" r:id="rId752" display="https://hocmai.sharepoint.com/Education_Development/Lists/San_xuat_video/DispForm.aspx?ID=12213"/>
    <hyperlink ref="N516" r:id="rId753" display="https://hocmai.vn/course/view.php?id=3313"/>
    <hyperlink ref="M517" r:id="rId754" display="https://hocmai.sharepoint.com/Education_Development/Lists/San_xuat_video/DispForm.aspx?ID=12181"/>
    <hyperlink ref="N527" r:id="rId755" display="https://hocmai.vn/course/view.php?id=3130"/>
    <hyperlink ref="M534" r:id="rId756" display="https://hocmai.sharepoint.com/Education_Development/Lists/San_xuat_video/DispForm.aspx?ID=12214"/>
    <hyperlink ref="N534" r:id="rId757" display="https://hocmai.vn/course/view.php?id=3313"/>
    <hyperlink ref="M535" r:id="rId758" display="https://hocmai.sharepoint.com/Education_Development/Lists/San_xuat_video/DispForm.aspx?ID=12182"/>
    <hyperlink ref="N546" r:id="rId759" display="https://hocmai.vn/course/view.php?id=3130"/>
    <hyperlink ref="M553" r:id="rId760" display="https://hocmai.sharepoint.com/Education_Development/Lists/San_xuat_video/DispForm.aspx?ID=12215"/>
    <hyperlink ref="N553" r:id="rId761" display="https://hocmai.vn/course/view.php?id=3313"/>
    <hyperlink ref="M554" r:id="rId762" display="https://hocmai.sharepoint.com/Education_Development/Lists/San_xuat_video/DispForm.aspx?ID=12183"/>
    <hyperlink ref="N565" r:id="rId763" display="https://hocmai.vn/course/view.php?id=3130"/>
    <hyperlink ref="M572" r:id="rId764" display="https://hocmai.sharepoint.com/Education_Development/Lists/San_xuat_video/DispForm.aspx?ID=12216"/>
    <hyperlink ref="N572" r:id="rId765" display="https://hocmai.vn/course/view.php?id=3313"/>
    <hyperlink ref="M573" r:id="rId766" display="https://hocmai.sharepoint.com/Education_Development/Lists/San_xuat_video/DispForm.aspx?ID=12184"/>
    <hyperlink ref="N585" r:id="rId767" display="https://hocmai.vn/course/view.php?id=3130"/>
    <hyperlink ref="M592" r:id="rId768" display="https://hocmai.sharepoint.com/Education_Development/Lists/San_xuat_video/DispForm.aspx?ID=12217"/>
    <hyperlink ref="N592" r:id="rId769" display="https://hocmai.vn/course/view.php?id=3313"/>
    <hyperlink ref="M593" r:id="rId770" display="https://hocmai.sharepoint.com/Education_Development/Lists/San_xuat_video/DispForm.aspx?ID=12185"/>
    <hyperlink ref="M607" r:id="rId771" display="https://hocmai.sharepoint.com/Education_Development/Lists/San_xuat_video/DispForm.aspx?ID=12218"/>
    <hyperlink ref="N607" r:id="rId772" display="https://hocmai.vn/course/view.php?id=3313"/>
    <hyperlink ref="M613" r:id="rId773" display="https://hocmai.sharepoint.com/Education_Development/Lists/San_xuat_video/DispForm.aspx?ID=12219"/>
    <hyperlink ref="N613" r:id="rId774" display="https://hocmai.vn/course/view.php?id=3313"/>
    <hyperlink ref="M614" r:id="rId775" display="https://hocmai.sharepoint.com/Education_Development/Lists/San_xuat_video/DispForm.aspx?ID=12187"/>
    <hyperlink ref="M619" r:id="rId776" display="https://hocmai.sharepoint.com/Education_Development/Lists/San_xuat_video/DispForm.aspx?ID=12220"/>
    <hyperlink ref="N619" r:id="rId777" display="https://hocmai.vn/course/view.php?id=3313"/>
    <hyperlink ref="Y1048472" r:id="rId778" location="gid=1826424214" display="HMO.Topuni 2027.Campaign Khóa học phễu"/>
    <hyperlink ref="Y1048473" location="null!A1" display="BACK"/>
    <hyperlink ref="J1048474" r:id="rId779" display="Link Drive"/>
    <hyperlink ref="H1048475" r:id="rId780" display="https://hocmai.vn/mod/scorm/view_file.php?id=179705"/>
    <hyperlink ref="I1048475" r:id="rId781" display="https://hocmai.vn/mod/scorm/view_file.php?id=179746"/>
    <hyperlink ref="J1048475" r:id="rId782" display="https://drive.google.com/drive/folders/1pooVkDuKbZux71nx9JQOPCtMkkO-NiVH?usp=drive_link"/>
    <hyperlink ref="M1048475" r:id="rId783" display="https://hocmai.sharepoint.com/Education_Development/Lists/San_xuat_video/DispForm.aspx?ID=12140"/>
    <hyperlink ref="Z1048475" r:id="rId784" display="https://s3.evgcloud.net/livestream/video/mp4/2026/04/04/336_3367b21041d85e947b681e0b1d2ab785e71_RELAY-20260404195951-cv.mp4"/>
    <hyperlink ref="H1048476" r:id="rId785" display="https://hocmai.vn/mod/scorm/view_file.php?id=179750"/>
    <hyperlink ref="I1048476" r:id="rId786" display="https://hocmai.vn/mod/scorm/view_file.php?id=179806"/>
    <hyperlink ref="J1048476" r:id="rId787" display="https://drive.google.com/drive/folders/17Ns1XGnRDURERaThSuyC4O983qcqrHni?usp=drive_link"/>
    <hyperlink ref="M1048476" r:id="rId788" display="https://hocmai.sharepoint.com/Education_Development/Lists/San_xuat_video/DispForm.aspx?ID=12141"/>
    <hyperlink ref="Z1048476" r:id="rId789" display="https://s3.evgcloud.net/livestream/video/mp4/2026/04/08/336_3367b21041d85e947b681e0b1d2ab785e71_RELAY-20260408201630-cv.mp4"/>
    <hyperlink ref="H1048477" r:id="rId790" display="https://hocmai.vn/mod/scorm/view_file.php?id=179810"/>
    <hyperlink ref="I1048477" r:id="rId791" display="https://hocmai.vn/mod/scorm/view_file.php?id=179848"/>
    <hyperlink ref="J1048477" r:id="rId792" display="https://drive.google.com/drive/folders/1xgHxIawL2ZhDklUCtuAFi7FxgJkjde7U?usp=drive_link"/>
    <hyperlink ref="M1048477" r:id="rId793" display="https://hocmai.sharepoint.com/Education_Development/Lists/San_xuat_video/DispForm.aspx?ID=12142"/>
    <hyperlink ref="Z1048477" r:id="rId794" display="https://s3.evgcloud.net/livestream/video/mp4/2026/04/11/336_3367b21041d85e947b681e0b1d2ab785e71_RELAY-20260411195610-cv.mp4"/>
    <hyperlink ref="H1048478" r:id="rId795" display="https://hocmai.vn/mod/scorm/view_file.php?id=179871"/>
    <hyperlink ref="I1048478" r:id="rId796" display="https://hocmai.vn/mod/scorm/view_file.php?id=179887"/>
    <hyperlink ref="J1048478" r:id="rId797" display="https://drive.google.com/drive/folders/1d3LM0qCEksmEq7FP7DMglByLFRM_pOyE?usp=drive_link"/>
    <hyperlink ref="M1048478" r:id="rId798" display="https://hocmai.sharepoint.com/Education_Development/Lists/San_xuat_video/DispForm.aspx?ID=12143"/>
    <hyperlink ref="Z1048478" r:id="rId799" display="https://s3.evgcloud.net/livestream/video/mp4/2026/04/15/336_336735e1943dfd144858558d92cc3a5e700_RELAY-20260415195526-cv.mp4"/>
    <hyperlink ref="H1048479" r:id="rId800" display="https://hocmai.vn/mod/scorm/view_file.php?id=179894"/>
    <hyperlink ref="I1048479" r:id="rId801" display="https://hocmai.vn/mod/scorm/view_file.php?id=179931"/>
    <hyperlink ref="J1048479" r:id="rId802" display="https://drive.google.com/drive/folders/1GS701cWItnDxX4jwqGOpGUWAv3aPv2xC?usp=drive_link"/>
    <hyperlink ref="M1048479" r:id="rId803" display="https://hocmai.sharepoint.com/Education_Development/Lists/San_xuat_video/DispForm.aspx?ID=12144"/>
    <hyperlink ref="Z1048479" r:id="rId804" display="https://s3.evgcloud.net/livestream/video/mp4/2026/04/18/336_33675f560e9966149c5bb6da16e6905fa9f_RELAY-20260418195744-cv.mp4"/>
    <hyperlink ref="H1048480" r:id="rId805" display="https://hocmai.vn/mod/scorm/view_file.php?inpopup=true&amp;id=179950"/>
    <hyperlink ref="I1048480" r:id="rId806" display="https://hocmai.vn/mod/scorm/view_file.php?inpopup=true&amp;id=179951"/>
    <hyperlink ref="J1048480" r:id="rId807" display="https://drive.google.com/file/d/1mqz0vNOCcxBMRRvZ1gBnEo11x1iuIBUR/view?usp=drive_link"/>
    <hyperlink ref="M1048480" r:id="rId808" display="https://hocmai.sharepoint.com/Education_Development/Lists/San_xuat_video/DispForm.aspx?ID=12188"/>
    <hyperlink ref="N1048480" r:id="rId809" display="https://hocmai.vn/course/view.php?id=3313"/>
    <hyperlink ref="Z1048480" r:id="rId810" display="https://s3.evgcloud.net/livestream/video/mp4/2026/04/22/336_336c10bed572efe47edb6c03e1f78d13d85_RELAY-20260421213059-cv.mp4"/>
    <hyperlink ref="H1048481" r:id="rId811" display="https://hocmai.vn/mod/scorm/view_file.php?id=179920"/>
    <hyperlink ref="I1048481" r:id="rId812" display="https://hocmai.vn/mod/scorm/view_file.php?id=179955"/>
    <hyperlink ref="J1048481" r:id="rId813" display="https://drive.google.com/drive/folders/1DbLJ9b34GfUr-wesgEFZKBUqvYDCFa_M?usp=drive_link"/>
    <hyperlink ref="M1048481" r:id="rId814" display="https://hocmai.sharepoint.com/Education_Development/Lists/San_xuat_video/DispForm.aspx?ID=12145"/>
    <hyperlink ref="Z1048481" r:id="rId815" display="https://s3.evgcloud.net/livestream/video/mp4/2026/04/22/336_33675f560e9966149c5bb6da16e6905fa9f_RELAY-20260422195858-cv.mp4"/>
    <hyperlink ref="H1048482" r:id="rId816" display="https://hocmai.vn/mod/scorm/view_file.php?id=180003"/>
    <hyperlink ref="I1048482" r:id="rId817" display="https://hocmai.vn/mod/scorm/view_file.php?id=180011"/>
    <hyperlink ref="J1048482" r:id="rId818" display="https://drive.google.com/drive/folders/13bqChLqEsjd6J_9-2kM5bpISg1_-BJHL?usp=drive_link"/>
    <hyperlink ref="M1048482" r:id="rId819" display="https://hocmai.sharepoint.com/Education_Development/Lists/San_xuat_video/DispForm.aspx?ID=12146"/>
    <hyperlink ref="Z1048482" r:id="rId820" display="https://s3.evgcloud.net/livestream/video/mp4/2026/04/25/336_33675f560e9966149c5bb6da16e6905fa9f_RELAY-20260425195542-cv.mp4"/>
    <hyperlink ref="H1048483" r:id="rId821" display="https://hocmai.vn/mod/scorm/view_file.php?inpopup=true&amp;id=180033"/>
    <hyperlink ref="I1048483" r:id="rId822" display="https://hocmai.vn/mod/scorm/view_file.php?inpopup=true&amp;id=180040"/>
    <hyperlink ref="M1048483" r:id="rId823" display="https://hocmai.sharepoint.com/Education_Development/Lists/San_xuat_video/DispForm.aspx?ID=12189"/>
    <hyperlink ref="N1048483" r:id="rId824" display="https://hocmai.vn/course/view.php?id=3313"/>
    <hyperlink ref="Z1048483" r:id="rId825" display="https://s3.evgcloud.net/livestream/video/mp4/2026/04/29/336_33675f560e9966149c5bb6da16e6905fa9f_RELAY-20260428212501-cv.mp4"/>
    <hyperlink ref="H1048484" r:id="rId826" display="https://hocmai.vn/mod/scorm/view_file.php?id=180020"/>
    <hyperlink ref="I1048484" r:id="rId827" display="https://hocmai.vn/mod/scorm/view_file.php?id=180027"/>
    <hyperlink ref="J1048484" r:id="rId828" display="https://drive.google.com/drive/folders/1SrhX0P8LFpuSfjj8sL52PlP7AguTZgoW?usp=drive_link"/>
    <hyperlink ref="M1048484" r:id="rId829" display="https://hocmai.sharepoint.com/Education_Development/Lists/San_xuat_video/DispForm.aspx?ID=12147"/>
    <hyperlink ref="Z1048484" r:id="rId830" display="https://s3.evgcloud.net/livestream/video/mp4/2026/04/29/336_33675f560e9966149c5bb6da16e6905fa9f_RELAY-20260429195834-cv.mp4"/>
    <hyperlink ref="H1048485" r:id="rId831" display="https://hocmai.vn/mod/scorm/view_file.php?id=180049"/>
    <hyperlink ref="I1048485" r:id="rId832" display="https://hocmai.vn/mod/scorm/view_file.php?id=180029"/>
    <hyperlink ref="J1048485" r:id="rId833" display="https://drive.google.com/drive/folders/1KTWBEmjJ46Mw-BVWSU_L-xmKo5r5FG35?usp=drive_link"/>
    <hyperlink ref="M1048485" r:id="rId834" display="https://hocmai.sharepoint.com/Education_Development/Lists/San_xuat_video/DispForm.aspx?ID=12148"/>
    <hyperlink ref="H1048486" r:id="rId835" display="https://hocmai.vn/mod/scorm/view_file.php?inpopup=true&amp;id=180066"/>
    <hyperlink ref="I1048486" r:id="rId836" display="https://hocmai.vn/mod/scorm/view_file.php?inpopup=true&amp;id=180078"/>
    <hyperlink ref="M1048486" r:id="rId837" display="https://hocmai.sharepoint.com/Education_Development/Lists/San_xuat_video/DispForm.aspx?ID=12190"/>
    <hyperlink ref="N1048486" r:id="rId838" display="https://hocmai.vn/course/view.php?id=3313"/>
    <hyperlink ref="Z1048486" r:id="rId839" display="https://s3.evgcloud.net/livestream/video/mp4/2026/05/05/336_33675f560e9966149c5bb6da16e6905fa9f_RELAY-20260505205417-cv.mp4"/>
    <hyperlink ref="H1048487" r:id="rId840" display="https://hocmai.vn/mod/scorm/view_file.php?id=180080"/>
    <hyperlink ref="I1048487" r:id="rId841" display="https://hocmai.vn/mod/scorm/view_file.php?id=180081"/>
    <hyperlink ref="J1048487" r:id="rId842" display="https://drive.google.com/drive/folders/1TQSr2qDRiDocCiTniIcIV9cdzinOy8bF?usp=drive_link"/>
    <hyperlink ref="M1048487" r:id="rId843" display="https://hocmai.sharepoint.com/Education_Development/Lists/San_xuat_video/DispForm.aspx?ID=12149"/>
    <hyperlink ref="H1048488" r:id="rId844" display="https://hocmai.vn/mod/scorm/view_file.php?id=180091"/>
    <hyperlink ref="I1048488" r:id="rId845" display="https://hocmai.vn/mod/scorm/view_file.php?id=180104"/>
    <hyperlink ref="J1048488" r:id="rId846" display="https://drive.google.com/drive/folders/1W1jJMdZQDFulPLSl9-J-_6wx57IlaYWG?usp=drive_link"/>
    <hyperlink ref="M1048488" r:id="rId847" display="https://hocmai.sharepoint.com/Education_Development/Lists/San_xuat_video/DispForm.aspx?ID=12150"/>
    <hyperlink ref="H1048489" r:id="rId848" display="https://hocmai.vn/mod/scorm/view_file.php?inpopup=true&amp;id=180111"/>
    <hyperlink ref="I1048489" r:id="rId849" display="https://hocmai.vn/mod/scorm/view_file.php?inpopup=true&amp;id=180115"/>
    <hyperlink ref="M1048489" r:id="rId850" display="https://hocmai.sharepoint.com/Education_Development/Lists/San_xuat_video/DispForm.aspx?ID=12191"/>
    <hyperlink ref="N1048489" r:id="rId851" display="https://hocmai.vn/course/view.php?id=3313"/>
    <hyperlink ref="H1048490" r:id="rId852" display="https://hocmai.vn/mod/scorm/view_file.php?id=180098"/>
    <hyperlink ref="I1048490" r:id="rId853" display="https://hocmai.vn/mod/scorm/view_file.php?id=180120"/>
    <hyperlink ref="J1048490" r:id="rId854" display="https://drive.google.com/drive/folders/1G5v6zUww2xBeXLEAWV2j3PEkldm5KfcR?usp=drive_link"/>
    <hyperlink ref="M1048490" r:id="rId855" display="https://hocmai.sharepoint.com/Education_Development/Lists/San_xuat_video/DispForm.aspx?ID=12151"/>
    <hyperlink ref="H1048491" r:id="rId856" display="https://hocmai.vn/mod/scorm/view_file.php?id=180122"/>
    <hyperlink ref="I1048491" r:id="rId857" display="https://hocmai.vn/mod/scorm/view_file.php?id=180132"/>
    <hyperlink ref="J1048491" r:id="rId858" display="https://drive.google.com/drive/folders/1V9w_qNbfN-N6v0fQ5ZWj5bS9UxNAmfTD?usp=drive_link"/>
    <hyperlink ref="M1048491" r:id="rId859" display="https://hocmai.sharepoint.com/Education_Development/Lists/San_xuat_video/DispForm.aspx?ID=12152"/>
    <hyperlink ref="H1048492" r:id="rId860" display="https://hocmai.vn/mod/scorm/view_file.php?inpopup=true&amp;id=180143"/>
    <hyperlink ref="I1048492" r:id="rId861" display="https://hocmai.vn/mod/scorm/view_file.php?inpopup=true&amp;id=180134"/>
    <hyperlink ref="M1048492" r:id="rId862" display="https://hocmai.sharepoint.com/Education_Development/Lists/San_xuat_video/DispForm.aspx?ID=12192"/>
    <hyperlink ref="N1048492" r:id="rId863" display="https://hocmai.vn/course/view.php?id=3313"/>
    <hyperlink ref="H1048493" r:id="rId864" display="https://hocmai.vn/mod/scorm/view_file.php?id=180138"/>
    <hyperlink ref="I1048493" r:id="rId865" display="https://hocmai.vn/mod/scorm/view_file.php?id=180166"/>
    <hyperlink ref="J1048493" r:id="rId866" display="https://drive.google.com/drive/folders/1Ycl6619I1qcaUCAjfB4uIc4j-T--DDvS?usp=drive_link"/>
    <hyperlink ref="M1048493" r:id="rId867" display="https://hocmai.sharepoint.com/Education_Development/Lists/San_xuat_video/DispForm.aspx?ID=12153"/>
    <hyperlink ref="H1048494" r:id="rId868" display="https://hocmai.vn/mod/scorm/view_file.php?id=180168"/>
    <hyperlink ref="I1048494" r:id="rId869" display="https://hocmai.vn/mod/scorm/view_file.php?id=180176"/>
    <hyperlink ref="J1048494" r:id="rId870" display="https://drive.google.com/drive/folders/1uoNC8cTvCsk7_S3JvgJznQIbEBC-Iyb8?usp=drive_link"/>
    <hyperlink ref="M1048494" r:id="rId871" display="https://hocmai.sharepoint.com/Education_Development/Lists/San_xuat_video/DispForm.aspx?ID=12154"/>
    <hyperlink ref="H1048495" r:id="rId872" display="https://hocmai.vn/mod/scorm/view_file.php?id=180172"/>
    <hyperlink ref="I1048495" r:id="rId873" display="https://hocmai.vn/mod/scorm/view_file.php?id=180178"/>
    <hyperlink ref="J1048495" r:id="rId874" display="https://drive.google.com/drive/folders/1uoNC8cTvCsk7_S3JvgJznQIbEBC-Iyb8?usp=drive_link"/>
    <hyperlink ref="M1048495" r:id="rId875" display="https://hocmai.sharepoint.com/Education_Development/Lists/San_xuat_video/DispForm.aspx?ID=12154"/>
    <hyperlink ref="H1048496" r:id="rId876" display="https://hocmai.vn/mod/scorm/view_file.php?id=180173"/>
    <hyperlink ref="I1048496" r:id="rId877" display="https://hocmai.vn/mod/scorm/view_file.php?id=180180"/>
    <hyperlink ref="J1048496" r:id="rId878" display="https://drive.google.com/drive/folders/1bmKFOGgfd0V_nVx289MN28FE4oYeOmCT?usp=drive_link"/>
    <hyperlink ref="M1048496" r:id="rId879" display="https://hocmai.sharepoint.com/Education_Development/Lists/San_xuat_video/DispForm.aspx?ID=12155"/>
    <hyperlink ref="H1048497" r:id="rId880" display="https://hocmai.vn/mod/scorm/view_file.php?inpopup=true&amp;id=180185"/>
    <hyperlink ref="I1048497" r:id="rId881" display="https://hocmai.vn/mod/scorm/view_file.php?inpopup=true&amp;id=180186"/>
    <hyperlink ref="M1048497" r:id="rId882" display="https://hocmai.sharepoint.com/Education_Development/Lists/San_xuat_video/DispForm.aspx?ID=12193"/>
    <hyperlink ref="N1048497" r:id="rId883" display="https://hocmai.vn/course/view.php?id=3313"/>
    <hyperlink ref="H1048498" r:id="rId884" display="https://hocmai.vn/mod/scorm/view_file.php?id=180184"/>
    <hyperlink ref="I1048498" r:id="rId885" display="https://hocmai.vn/mod/scorm/view_file.php?id=180192"/>
    <hyperlink ref="J1048498" r:id="rId886" display="https://drive.google.com/drive/folders/1W27G-KXm8U1uZQxc39Owkmg_kfWtXQeY?usp=drive_link"/>
    <hyperlink ref="M1048498" r:id="rId887" display="https://hocmai.sharepoint.com/Education_Development/Lists/San_xuat_video/DispForm.aspx?ID=12156"/>
    <hyperlink ref="H1048499" r:id="rId888" display="https://hocmai.vn/mod/scorm/view_file.php?id=180191"/>
    <hyperlink ref="I1048499" r:id="rId889" display="https://hocmai.vn/mod/scorm/view_file.php?id=180205"/>
    <hyperlink ref="J1048499" r:id="rId890" display="https://drive.google.com/drive/folders/1OeTfOrGwcEPIp1PDLqo5qXJ9zWue2S-S?usp=drive_link"/>
    <hyperlink ref="M1048499" r:id="rId891" display="https://hocmai.sharepoint.com/Education_Development/Lists/San_xuat_video/DispForm.aspx?ID=12157"/>
    <hyperlink ref="H1048500" r:id="rId892" display="https://hocmai.vn/mod/scorm/view_file.php?id=180197"/>
    <hyperlink ref="I1048500" r:id="rId893" display="https://hocmai.vn/mod/scorm/view_file.php?id=180207"/>
    <hyperlink ref="J1048500" r:id="rId894" display="https://drive.google.com/drive/folders/1tgo-5Je0l37tkoF7nqTHi-nqZ63y9wnX?usp=drive_link"/>
    <hyperlink ref="M1048500" r:id="rId895" display="https://hocmai.sharepoint.com/Education_Development/Lists/San_xuat_video/DispForm.aspx?ID=12158"/>
    <hyperlink ref="H1048501" r:id="rId896" display="https://hocmai.vn/mod/scorm/view_file.php?inpopup=true&amp;id=180202"/>
    <hyperlink ref="I1048501" r:id="rId897" display="https://hocmai.vn/mod/scorm/view_file.php?inpopup=true&amp;id=180203"/>
    <hyperlink ref="M1048501" r:id="rId898" display="https://hocmai.sharepoint.com/Education_Development/Lists/San_xuat_video/DispForm.aspx?ID=12194"/>
    <hyperlink ref="N1048501" r:id="rId899" display="https://hocmai.vn/course/view.php?id=3313"/>
    <hyperlink ref="H1048502" r:id="rId900" display="https://hocmai.vn/mod/scorm/view_file.php?id=180213"/>
    <hyperlink ref="I1048502" r:id="rId901" display="https://hocmai.vn/mod/scorm/view_file.php?id=180221"/>
    <hyperlink ref="J1048502" r:id="rId902" display="https://drive.google.com/drive/folders/1fC7WWo7u0zywx8D7ZBiJYdZxL3gN7Mjk?usp=drive_link"/>
    <hyperlink ref="M1048502" r:id="rId903" display="https://hocmai.sharepoint.com/Education_Development/Lists/San_xuat_video/DispForm.aspx?ID=12159"/>
    <hyperlink ref="H1048503" r:id="rId904" display="https://hocmai.vn/mod/scorm/view_file.php?id=180219"/>
    <hyperlink ref="I1048503" r:id="rId905" display="https://hocmai.vn/mod/scorm/view_file.php?id=180561"/>
    <hyperlink ref="J1048503" r:id="rId906" display="https://drive.google.com/drive/folders/1DuybJH7F16nah89d-R8umD-8S1Z8LalM?usp=drive_link"/>
    <hyperlink ref="M1048503" r:id="rId907" display="https://hocmai.sharepoint.com/Education_Development/Lists/San_xuat_video/DispForm.aspx?ID=12160"/>
    <hyperlink ref="H1048504" r:id="rId908" display="https://hocmai.vn/mod/scorm/view_file.php?id=180559"/>
    <hyperlink ref="I1048504" r:id="rId909" display="https://hocmai.vn/mod/scorm/view_file.php?id=180563"/>
    <hyperlink ref="J1048504" r:id="rId910" display="https://drive.google.com/drive/folders/1lP4XtE84d_aRaZDjqqioXTmxOmWZwzra?usp=drive_link"/>
    <hyperlink ref="M1048504" r:id="rId911" display="https://hocmai.sharepoint.com/Education_Development/Lists/San_xuat_video/DispForm.aspx?ID=12161"/>
    <hyperlink ref="H1048505" r:id="rId912" display="https://hocmai.vn/mod/scorm/view_file.php?inpopup=true&amp;id=180565"/>
    <hyperlink ref="I1048505" r:id="rId913" display="https://hocmai.vn/mod/scorm/view_file.php?inpopup=true&amp;id=180568"/>
    <hyperlink ref="J1048505" r:id="rId914" display="https://drive.google.com/drive/folders/1uQJIAcYibQZh_DS3p1MVsVXJY00XCjQ2?usp=drive_link"/>
    <hyperlink ref="M1048505" r:id="rId915" display="https://hocmai.sharepoint.com/Education_Development/Lists/San_xuat_video/DispForm.aspx?ID=12195"/>
    <hyperlink ref="N1048505" r:id="rId916" display="https://hocmai.vn/course/view.php?id=3313"/>
    <hyperlink ref="H1048506" r:id="rId917" display="https://hocmai.vn/mod/scorm/view_file.php?id=180560"/>
    <hyperlink ref="I1048506" r:id="rId918" display="https://hocmai.vn/mod/scorm/view_file.php?id=180942"/>
    <hyperlink ref="J1048506" r:id="rId919" display="https://drive.google.com/drive/folders/11T-F4N5lJjdVw3OviiJyNdn00NroY9bR?usp=drive_link"/>
    <hyperlink ref="M1048506" r:id="rId920" display="https://hocmai.sharepoint.com/Education_Development/Lists/San_xuat_video/DispForm.aspx?ID=12162"/>
    <hyperlink ref="H1048507" r:id="rId921" display="https://hocmai.vn/mod/scorm/view_file.php?id=180921"/>
    <hyperlink ref="I1048507" r:id="rId922" display="https://hocmai.vn/mod/scorm/view_file.php?id=180979"/>
    <hyperlink ref="J1048507" r:id="rId923" display="https://drive.google.com/drive/folders/1-h4iYOvBqYXrsAGl4TjolBwLq6MDhzWY?usp=drive_link"/>
    <hyperlink ref="M1048507" r:id="rId924" display="https://hocmai.sharepoint.com/Education_Development/Lists/San_xuat_video/DispForm.aspx?ID=12163"/>
    <hyperlink ref="H1048508" r:id="rId925" display="https://hocmai.vn/mod/scorm/view_file.php?inpopup=true&amp;id=180926"/>
    <hyperlink ref="I1048508" r:id="rId926" display="https://hocmai.vn/mod/scorm/view_file.php?inpopup=true&amp;id=180927"/>
    <hyperlink ref="J1048508" r:id="rId927" display="https://drive.google.com/drive/folders/1NG8TCHJCwEcbGNufeRUQEeedUv_i2bxl?usp=drive_link"/>
    <hyperlink ref="M1048508" r:id="rId928" display="https://hocmai.sharepoint.com/Education_Development/Lists/San_xuat_video/DispForm.aspx?ID=12196"/>
    <hyperlink ref="N1048508" r:id="rId929" display="https://hocmai.vn/course/view.php?id=3313"/>
    <hyperlink ref="H1048509" r:id="rId930" display="https://hocmai.vn/mod/scorm/view_file.php?id=180922"/>
    <hyperlink ref="I1048509" r:id="rId931" display="https://hocmai.vn/mod/scorm/view_file.php?id=180987"/>
    <hyperlink ref="J1048509" r:id="rId932" display="https://drive.google.com/drive/folders/1c6ls30QeA9CZ9XM67E8QYPIJhUgUVdmU?usp=drive_link"/>
    <hyperlink ref="M1048509" r:id="rId933" display="https://hocmai.sharepoint.com/Education_Development/Lists/San_xuat_video/DispForm.aspx?ID=12164"/>
    <hyperlink ref="H1048510" r:id="rId934" display="https://hocmai.vn/mod/scorm/view_file.php?inpopup=true&amp;id=180946"/>
    <hyperlink ref="I1048510" r:id="rId935" display="https://hocmai.vn/mod/scorm/view_file.php?inpopup=true&amp;id=180998"/>
    <hyperlink ref="J1048510" r:id="rId936" display="https://drive.google.com/file/d/1MfxiPWY3wgiBfuRXDBDY-P5zUnveUufT/view?usp=drive_link"/>
    <hyperlink ref="H1048511" r:id="rId937" display="https://hocmai.vn/mod/scorm/view_file.php?inpopup=true&amp;id=180924"/>
    <hyperlink ref="I1048511" r:id="rId938" display="https://hocmai.vn/mod/scorm/view_file.php?inpopup=true&amp;id=180982"/>
    <hyperlink ref="J1048511" r:id="rId939" display="https://drive.google.com/file/d/1SPCCaOuv0GuSyB5YxIzi-xO3_bA7ub4c/view?usp=drive_link"/>
    <hyperlink ref="A1048512" r:id="rId940" display="https://hocmai.vn/course/view.php?id=3120&amp;edit=on&amp;sesskey=iNeihlzt40"/>
    <hyperlink ref="H1048512" r:id="rId941" display="https://hocmai.vn/mod/scorm/view_file.php?id=180576"/>
    <hyperlink ref="I1048512" r:id="rId942" display="https://hocmai.vn/mod/scorm/view_file.php?id=181009"/>
    <hyperlink ref="J1048512" r:id="rId943" display="https://drive.google.com/drive/folders/1xqzMZVBAOs9v29FwWvg8yfts6dYcG6-t?usp=drive_link"/>
    <hyperlink ref="H1048513" r:id="rId944" display="https://hocmai.vn/kho-tai-lieu/read.php?id=19937"/>
    <hyperlink ref="J1048513" r:id="rId945" display="https://drive.google.com/drive/folders/1soJOy-ndjRXSxFDTUWlYedfvZAObXioF?usp=drive_link"/>
    <hyperlink ref="H1048514" r:id="rId946" display="https://hocmai.vn/mod/scorm/view_file.php?inpopup=true&amp;id=181030"/>
    <hyperlink ref="I1048514" r:id="rId947" display="https://hocmai.vn/mod/scorm/view_file.php?inpopup=true&amp;id=181031"/>
    <hyperlink ref="J1048514" r:id="rId948" display="https://drive.google.com/drive/folders/1Oi_dW-kqYkqVgBIwysHGAnsse2saB5wP"/>
    <hyperlink ref="H1048515" r:id="rId949" display="https://hocmai.vn/mod/scorm/view_file.php?inpopup=true&amp;id=180948"/>
    <hyperlink ref="I1048515" r:id="rId950" display="https://hocmai.vn/mod/scorm/view_file.php?inpopup=true&amp;id=181003"/>
    <hyperlink ref="J1048515" r:id="rId951" display="https://drive.google.com/drive/folders/130hYZYnEvDIeCATxS7Yki8fNKChHnDJp"/>
    <hyperlink ref="H1048516" r:id="rId952" display="https://hocmai.vn/mod/scorm/view_file.php?inpopup=true&amp;id=180950"/>
    <hyperlink ref="I1048516" r:id="rId953" display="https://hocmai.vn/mod/scorm/view_file.php?inpopup=true&amp;id=181061"/>
    <hyperlink ref="J1048516" r:id="rId954" display="https://drive.google.com/file/d/1WmgRNvC1dSQhiNlrs5FN6Ho7y_MIW6-a/view"/>
    <hyperlink ref="H1048517" r:id="rId955" display="https://hocmai.vn/mod/scorm/view_file.php?inpopup=true&amp;id=180949"/>
    <hyperlink ref="I1048517" r:id="rId956" display="https://hocmai.vn/mod/scorm/view_file.php?inpopup=true&amp;id=181005"/>
    <hyperlink ref="J1048517" r:id="rId957" display="https://drive.google.com/drive/folders/1GucRXXUN8GNl7PiTVOd9H_dc7tygMJ3S"/>
    <hyperlink ref="N1048517" r:id="rId958" display="https://hocmai.vn/course/view.php?id=3126&amp;edit=on&amp;sesskey=iCYoqF7jXe"/>
    <hyperlink ref="H1048518" r:id="rId959" display="https://hocmai.vn/file.php/3110/Nam_hoc_2026_-_2027/VAT_LI/TAI_LIEU_HOC_SINH/TLHS_TOV_TSA_T01_Do_luong_va_sai_so_-_Tu_duy_thuc_nghiem_trong_Vat_li.pdf"/>
    <hyperlink ref="I1048518" r:id="rId960" display="https://hocmai.vn/file.php/3110/Nam_hoc_2026_-_2027/VAT_LI/BTTL/BTTL_TOV_TSA_L01._Do_luong_va_sai_so_-_Tu_duy_thuc_nghiem_trong_Vat_li.pdf"/>
    <hyperlink ref="J1048518" r:id="rId961" display="https://drive.google.com/drive/folders/1--fTQBvSLPS1K3YB5cQkeiuA8K4TFbMj"/>
    <hyperlink ref="N1048518" r:id="rId962" display="https://hocmai.vn/course/view.php?id=3110"/>
    <hyperlink ref="H1048519" r:id="rId963" display="https://hocmai.vn/file.php/3117/Tai_lieu_live_2026_-_2027/TLHS_TOV_HSA_DL01_Cac_bai_toan_ve_ham_so_chua_tham_so.pdf"/>
    <hyperlink ref="J1048519" r:id="rId964" display="https://drive.google.com/file/d/1KMzbSnzb7OIa7hCO9Axz0fKqT2KniZaC/view?usp=drive_link"/>
    <hyperlink ref="AA1048519" r:id="rId965" display="https://s3.evgcloud.net/livestream/video/mp4/2026/06/18/336_33675f560e9966149c5bb6da16e6905fa9f_RELAY-20260618180305-cv.mp4"/>
    <hyperlink ref="H1048520" r:id="rId966" display="https://hocmai.vn/file.php/3119/NAM_HOC_2026_-_2027/Tai_lieu_live/TLHS_TOV_HSA_VL01_Do_luong_va_xu_li_so_lieu.pdf"/>
    <hyperlink ref="I1048520" r:id="rId967" display="https://hocmai.vn/file.php/3119/NAM_HOC_2026_-_2027/BTTL/BTTL_TOV_HSA_VL01._Do_luong_va_xu_li_so_lieu.pdf"/>
    <hyperlink ref="J1048520" r:id="rId968" display="https://drive.google.com/file/d/1IGveFE1xTQW1KpFtCjH5mwfKbzDGe0z2/view?usp=drive_link"/>
    <hyperlink ref="N1048520" r:id="rId969" display="https://hocmai.vn/course/view.php?id=3119&amp;edit=on&amp;sesskey=4KPJGukykI"/>
    <hyperlink ref="H1048521" r:id="rId970" display="https://hocmai.vn/kho-tai-lieu/read.php?id=19939"/>
    <hyperlink ref="I1048521" r:id="rId971" display="https://hocmai.vn/kho-tai-lieu/read.php?id=19940"/>
    <hyperlink ref="J1048521" r:id="rId972" display="https://drive.google.com/drive/folders/1hRKWRF-9T93qDP_5ebRZSV2Ma0tQrzgJ?usp=sharing"/>
    <hyperlink ref="H1048522" r:id="rId973" display="https://hocmai.vn/mod/scorm/view_file.php?inpopup=true&amp;id=181045"/>
    <hyperlink ref="I1048522" r:id="rId974" display="https://hocmai.vn/mod/scorm/view_file.php?inpopup=true&amp;id=181301"/>
    <hyperlink ref="J1048522" r:id="rId975" display="https://drive.google.com/file/d/1RYc9ROmaPxnooBme7WfY4Fd4PuF2HHSq/view?usp=drive_link"/>
    <hyperlink ref="H1048523" r:id="rId976" display="https://hocmai.vn/mod/scorm/view_file.php?inpopup=true&amp;id=180975"/>
    <hyperlink ref="I1048523" r:id="rId977" display="https://hocmai.vn/mod/scorm/view_file.php?inpopup=true&amp;id=181020"/>
    <hyperlink ref="J1048523" r:id="rId978" display="https://drive.google.com/drive/folders/1wKq8y33XK-dSy9M5IVc5TtsBJqRUr-Uq?usp=drive_link"/>
    <hyperlink ref="H1048524" r:id="rId979" display="https://hocmai.vn/file.php/3110/Nam_hoc_2026_-_2027/HOA_HOC/TL_Live/TLHS_TOV_TSA_H01-The_gioi_nguyen_tu_va_Su_tuan_hoan.pdf"/>
    <hyperlink ref="I1048524" r:id="rId980" display="https://hocmai.vn/mod/scorm/view_file.php?id=181225"/>
    <hyperlink ref="J1048524" r:id="rId981" display="https://drive.google.com/file/d/1R6gEgvAeeTuH6ehjgVV_2ztoLrNZej0t/view?usp=drive_link"/>
    <hyperlink ref="H1048525" r:id="rId982" display="https://hocmai.vn/mod/scorm/view_file.php?inpopup=true&amp;id=181014"/>
    <hyperlink ref="I1048525" r:id="rId983" display="https://hocmai.vn/mod/scorm/view_file.php?inpopup=true&amp;id=181023"/>
    <hyperlink ref="J1048525" r:id="rId984" display="https://drive.google.com/file/d/1r0Ryz4Hybtz3pNf5AVpZimrmcrQoEEFW/view?usp=drive_link"/>
    <hyperlink ref="H1048526" r:id="rId985" display="https://hocmai.vn/mod/scorm/view_file.php?inpopup=true&amp;id=181195"/>
    <hyperlink ref="I1048526" r:id="rId986" display="https://hocmai.vn/mod/scorm/view_file.php?inpopup=true&amp;id=181196"/>
    <hyperlink ref="J1048526" r:id="rId987" display="https://drive.google.com/drive/folders/1XT_t_JyRwQOIJN5-E7xlk-2e3NdgDL-b?usp=drive_link"/>
    <hyperlink ref="M1048526" r:id="rId988" display="https://hocmai.sharepoint.com/Education_Development/Lists/San_xuat_video/DispForm.aspx?ID=12197"/>
    <hyperlink ref="N1048526" r:id="rId989" display="https://hocmai.vn/course/view.php?id=3313"/>
    <hyperlink ref="H1048527" r:id="rId990" display="https://hocmai.vn/mod/scorm/view_file.php?id=181205"/>
    <hyperlink ref="I1048527" r:id="rId991" display="https://hocmai.vn/mod/scorm/view_file.php?id=181227"/>
    <hyperlink ref="J1048527" r:id="rId992" display="https://drive.google.com/drive/folders/1Cg_dCU169HROL3BC0bwpGuesRbQBrDy0?usp=drive_link"/>
    <hyperlink ref="M1048527" r:id="rId993" display="https://hocmai.sharepoint.com/Education_Development/Lists/San_xuat_video/DispForm.aspx?ID=12165"/>
    <hyperlink ref="H1048528" r:id="rId994" display="https://hocmai.vn/mod/scorm/view_file.php?id=181291"/>
    <hyperlink ref="I1048528" r:id="rId995" display="https://hocmai.vn/mod/scorm/view_file.php?inpopup=true&amp;id=181303"/>
    <hyperlink ref="J1048528" r:id="rId996" display="https://drive.google.com/file/d/1I4D--9YMOYbV6laGTSr36CG-8ZuStet5/view?usp=drive_link"/>
    <hyperlink ref="H1048529" r:id="rId997" display="https://hocmai.vn/file.php/3140/TLHS_TOV_HV_TA0_Cau_tao_tu_-_Trat_tu_tu_-_Phep_song_hanh.pdf"/>
    <hyperlink ref="I1048529" r:id="rId998" display="https://hocmai.vn/mod/scorm/view_file.php?inpopup=true&amp;id=181331"/>
    <hyperlink ref="J1048529" r:id="rId999" display="https://drive.google.com/file/d/1zSIPT2y1-wItf9l7W5XZUV2vHGzXLhOd/view?usp=drive_link"/>
    <hyperlink ref="H1048530" r:id="rId1000" display="https://hocmai.vn/mod/scorm/view_file.php?id=181275"/>
    <hyperlink ref="I1048530" r:id="rId1001" display="https://hocmai.vn/mod/scorm/view_file.php?id=181288"/>
    <hyperlink ref="J1048530" r:id="rId1002" display="https://drive.google.com/drive/folders/1HrNccDBA0e4HnEp1Q-MnWsjKE61341K1?usp=drive_link"/>
    <hyperlink ref="H1048531" r:id="rId1003" display="https://hocmai.vn/file.php/3127/Tai_lieu_live_2026_-_2027/TLHS_TOV_TC_T02_CAC_DANG_CAU_HOI_DIEN_HINH_VE_HAM_SO_P2_.pdf"/>
    <hyperlink ref="J1048531" r:id="rId1004" display="https://drive.google.com/drive/folders/1pyNO0Em49CNepL2ayQ_d3u0JUCf7am5n?usp=drive_link"/>
    <hyperlink ref="H1048532" r:id="rId1005" display="https://hocmai.vn/mod/scorm/view_file.php?inpopup=true&amp;id=181449"/>
    <hyperlink ref="I1048532" r:id="rId1006" display="https://hocmai.vn/mod/scorm/view_file.php?inpopup=true&amp;id=181469"/>
    <hyperlink ref="J1048532" r:id="rId1007" display="https://drive.google.com/drive/folders/1JHDqVb3xRrwGnYimgACRrgTW5zPkDchA"/>
    <hyperlink ref="H1048533" r:id="rId1008" display="https://hocmai.vn/mod/scorm/view_file.php?id=181063"/>
    <hyperlink ref="I1048533" r:id="rId1009" display="https://hocmai.vn/mod/scorm/view_file.php?inpopup=true&amp;id=181079"/>
    <hyperlink ref="J1048533" r:id="rId1010" display="https://drive.google.com/drive/folders/12ECceLYypgjNBQZUsOfyhJVoXlEymYHg"/>
    <hyperlink ref="H1048534" r:id="rId1011" display="https://hocmai.vn/mod/scorm/view_file.php?inpopup=true&amp;id=181308"/>
    <hyperlink ref="I1048534" r:id="rId1012" display="https://hocmai.vn/mod/scorm/view_file.php?inpopup=true&amp;id=181517"/>
    <hyperlink ref="J1048534" r:id="rId1013" display="https://drive.google.com/file/d/1i8zcmxcDcNFt_IBXyatObqphrcK8bUMm/view?usp=drivesdk"/>
    <hyperlink ref="H1048535" r:id="rId1014" display="https://hocmai.vn/mod/scorm/view_file.php?inpopup=true&amp;id=181064"/>
    <hyperlink ref="I1048535" r:id="rId1015" display="https://hocmai.vn/mod/scorm/view_file.php?inpopup=true&amp;id=181073"/>
    <hyperlink ref="J1048535" r:id="rId1016" display="https://drive.google.com/drive/folders/12ECceLYypgjNBQZUsOfyhJVoXlEymYHg"/>
    <hyperlink ref="H1048536" r:id="rId1017" display="https://hocmai.vn/file.php/3110/Nam_hoc_2026_-_2027/VAT_LI/TAI_LIEU_HOC_SINH/TLHS_TOV_TSA_T02_Chuyen_dong_thang_-_Phan_tich_do_thi_va_cac_mo_hinh_chuyen_dong.pdf"/>
    <hyperlink ref="I1048536" r:id="rId1018" display="https://hocmai.vn/file.php/3110/Nam_hoc_2026_-_2027/VAT_LI/BTTL/BTTL_TOV_TSA_L02._Chuyen_dong_thang_-_Phan_tich_do_thi_va_mo_hinh_chuyen_dong.pdf"/>
    <hyperlink ref="J1048536" r:id="rId1019" display="https://drive.google.com/drive/folders/1dEynXH-7yADJPBMDK4vUjdcmDFPYz5T7"/>
    <hyperlink ref="H1048537" r:id="rId1020" display="https://hocmai.vn/file.php/3315/Tai_lieu_live_2026_-_2027/TLHS_TOV_HSA_DL02_Cac_bai_toan_ve_ham_hop_P1.pdf"/>
    <hyperlink ref="J1048537" r:id="rId1021" display="https://drive.google.com/file/d/1v7qy1prZ808bxMOqDgzx9ThU8mkyn1Uf/view?usp=drive_link"/>
    <hyperlink ref="AA1048537" r:id="rId1022" display="https://drive.google.com/file/d/1UxRO00rvXQCv76dx4dCWBiEd5dJOqHCH/view"/>
    <hyperlink ref="H1048538" r:id="rId1023" display="https://hocmai.vn/file.php/3119/NAM_HOC_2026_-_2027/Tai_lieu_live/TLHS_TOV_HSA_VL02_Dong_hoc_-_Quy_luat_chuyen_dong.pdf"/>
    <hyperlink ref="I1048538" r:id="rId1024" display="https://hocmai.vn/file.php/3119/NAM_HOC_2026_-_2027/BTTL/BTTL_TOV_HSA_VL02_Dong_hoc_-_Quy_luat_chuyen_dong.pdf"/>
    <hyperlink ref="J1048538" r:id="rId1025" display="https://drive.google.com/drive/folders/1R1JvqQ24x0EFH4sBgYvWtkZoG3P2j9Xo"/>
    <hyperlink ref="N1048538" r:id="rId1026" display="https://hocmai.vn/course/view.php?id=3119&amp;edit=on&amp;sesskey=4KPJGukykI"/>
    <hyperlink ref="H1048539" r:id="rId1027" display="https://hocmai.vn/file.php/3124/TLHS_TOA_V-ACT_T02.pdf"/>
    <hyperlink ref="I1048539" r:id="rId1028" display="https://hocmai.vn/file.php/3124/BTTL_TOA_V-ACT_T02.pdf"/>
    <hyperlink ref="J1048539" r:id="rId1029" display="https://drive.google.com/drive/folders/1GbXRgXQ2sOIZvOC-18KUNslqyUgCIqqr?usp=sharing"/>
    <hyperlink ref="H1048540" r:id="rId1030" display="https://hocmai.vn/mod/scorm/view_file.php?inpopup=true&amp;id=181350"/>
    <hyperlink ref="J1048540" r:id="rId1031" display="https://drive.google.com/file/d/1KMzbSnzb7OIa7hCO9Axz0fKqT2KniZaC/view?usp=drive_link"/>
    <hyperlink ref="H1048541" r:id="rId1032" display="https://hocmai.vn/mod/scorm/view_file.php?id=181395"/>
    <hyperlink ref="I1048541" r:id="rId1033" display="https://hocmai.vn/mod/scorm/view_file.php?inpopup=true&amp;id=181016"/>
    <hyperlink ref="J1048541" r:id="rId1034" display="https://drive.google.com/drive/folders/1tNUM6fkL3q6YdXVZytryIawi_Yv1ts6J?usp=drive_link"/>
    <hyperlink ref="H1048542" r:id="rId1035" display="https://hocmai.vn/mod/scorm/view_file.php?inpopup=true&amp;id=181087"/>
    <hyperlink ref="I1048542" r:id="rId1036" display="https://hocmai.vn/mod/scorm/view_file.php?inpopup=true&amp;id=181088"/>
    <hyperlink ref="J1048542" r:id="rId1037" display="https://drive.google.com/drive/folders/1zGeSvI82GLpI3FKLLfzXY3DgEiDOY4ar?usp=drive_link"/>
    <hyperlink ref="H1048543" r:id="rId1038" display="https://hocmai.vn/mod/scorm/view_file.php?inpopup=true&amp;id=181492"/>
    <hyperlink ref="I1048543" r:id="rId1039" display="https://hocmai.vn/mod/scorm/view_file.php?inpopup=true&amp;id=181493"/>
    <hyperlink ref="J1048543" r:id="rId1040" display="https://drive.google.com/file/d/14P5nOSktJSKKdWW0YREcCn-FhA3RjKfi/view?usp=drive_link"/>
    <hyperlink ref="H1048544" r:id="rId1041" display="https://hocmai.vn/mod/scorm/view_file.php?inpopup=true&amp;id=181516"/>
    <hyperlink ref="I1048544" r:id="rId1042" display="https://hocmai.vn/mod/scorm/view_file.php?inpopup=true&amp;id=181520"/>
    <hyperlink ref="J1048544" r:id="rId1043" display="https://drive.google.com/drive/folders/16XszIDTs79FfM3eC9t4ZPF8ACAu8VD01?usp=sharing"/>
    <hyperlink ref="M1048544" r:id="rId1044" display="https://hocmai.sharepoint.com/Education_Development/Lists/San_xuat_video/DispForm.aspx?ID=12198"/>
    <hyperlink ref="N1048544" r:id="rId1045" display="https://hocmai.vn/course/view.php?id=3313"/>
    <hyperlink ref="H1048545" r:id="rId1046" display="https://hocmai.vn/mod/scorm/view_file.php?id=181573"/>
    <hyperlink ref="I1048545" r:id="rId1047" display="https://hocmai.vn/mod/scorm/view_file.php?id=181641"/>
    <hyperlink ref="J1048545" r:id="rId1048" display="https://drive.google.com/drive/folders/1JD_Wqht1ev3CUcyCmKEMEbFyaZ9SUFsI?usp=drive_link"/>
    <hyperlink ref="M1048545" r:id="rId1049" display="https://hocmai.sharepoint.com/Education_Development/Lists/San_xuat_video/DispForm.aspx?ID=12166"/>
    <hyperlink ref="H1048546" r:id="rId1050" display="https://hocmai.vn/mod/scorm/view_file.php?inpopup=true&amp;id=181305"/>
    <hyperlink ref="I1048546" r:id="rId1051" display="https://hocmai.vn/mod/scorm/view_file.php?inpopup=true&amp;id=181306"/>
    <hyperlink ref="J1048546" r:id="rId1052" display="https://drive.google.com/file/d/11f9UwVOxIhuR98wV-Mdg0vTMk_byUXZ5/view?usp=drive_link"/>
    <hyperlink ref="J1048547" r:id="rId1053" display="https://drive.google.com/file/d/1GlIDqfdMRpEVmlDQil3n5aIqLjNgX9dH/view?usp=drive_link"/>
    <hyperlink ref="H1048548" r:id="rId1054" display="https://hocmai.vn/mod/scorm/view_file.php?id=181574"/>
    <hyperlink ref="I1048548" r:id="rId1055" display="https://hocmai.vn/mod/scorm/view_file.php?id=181575"/>
    <hyperlink ref="J1048548" r:id="rId1056" display="https://drive.google.com/drive/folders/1IDk1e0gmGV3gkXCu7c9tnkNHWPD3R4MR"/>
    <hyperlink ref="H1048549" r:id="rId1057" display="https://hocmai.vn/file.php/3315/Tai_lieu_live_2026_-_2027/TLHS_TOV_TC_T03_BAI_TOAN_THUC_TE_CO_YEU_TO_CUC_TRI_TOI_UU.pdf"/>
    <hyperlink ref="J1048549" r:id="rId1058" display="https://drive.google.com/drive/folders/1vRR9fM63F8zLQuvNu4w5wJEifI4wd4aS?usp=drive_link"/>
    <hyperlink ref="J1048550" r:id="rId1059" display="https://drive.google.com/drive/folders/1nztZLDoxOaI0yXB_fmec7KbycJIqPRst"/>
    <hyperlink ref="H1048551" r:id="rId1060" display="https://hocmai.vn/mod/scorm/view_file.php?inpopup=true&amp;id=181519"/>
    <hyperlink ref="J1048551" r:id="rId1061" display="https://drive.google.com/file/d/1SAd0E-YbkOdUwUNQphAjou6JwMZ8nJIM/view?usp=drive_link"/>
    <hyperlink ref="H1048552" r:id="rId1062" display="https://hocmai.vn/file.php/3110/Nam_hoc_2026_-_2027/VAT_LI/TAI_LIEU_HOC_SINH/TLHS_TOV_TSA_L03._Roi_tu_do_chuyen_dong_nem_va_chuyen_dong_tron.pdf"/>
    <hyperlink ref="I1048552" r:id="rId1063" display="https://hocmai.vn/file.php/3110/Nam_hoc_2026_-_2027/VAT_LI/BTTL/BTTL_TOV_TSA_L03._Roi_tu_do_chuyen_dong_nem_va_chuyen_dong_tron.pdf"/>
    <hyperlink ref="J1048552" r:id="rId1064" display="https://drive.google.com/drive/folders/1ZoHAVaoedEunp9pMyTySpikj6095yDTI"/>
    <hyperlink ref="J1048553" r:id="rId1065" display="https://drive.google.com/drive/folders/1VDhTxsO5zToJ523Nbl8Ztmr4PmlKeN69?usp=drive_link"/>
    <hyperlink ref="AA1048553" r:id="rId1066" display="https://drive.google.com/file/d/1wURVMbkq5ltQGHc6oAOo8NR5ymGaXjJO/view"/>
    <hyperlink ref="H1048554" r:id="rId1067" display="https://hocmai.vn/file.php/3119/NAM_HOC_2026_-_2027/Tai_lieu_live/TLHS_TOV_HSA_VL03._Dong_luc_hoc.pdf"/>
    <hyperlink ref="I1048554" r:id="rId1068" display="https://hocmai.vn/file.php/3119/NAM_HOC_2026_-_2027/BTTL/BTTL_TOV_HSA_VL03._Dong_luc_hoc.pdf"/>
    <hyperlink ref="J1048554" r:id="rId1069" display="https://drive.google.com/drive/folders/1kE3bb_SlVnngVbzik63riPWnJQI2A6MM"/>
    <hyperlink ref="N1048554" r:id="rId1070" display="https://hocmai.vn/course/view.php?id=3119&amp;edit=on&amp;sesskey=4KPJGukykI"/>
    <hyperlink ref="J1048555" r:id="rId1071" display="https://drive.google.com/drive/folders/1xMmxJvQKhr2FJ8A2HtKaxvN-bfKZzRYx?usp=sharing"/>
    <hyperlink ref="J1048556" r:id="rId1072" display="https://drive.google.com/drive/folders/1O9cOqRVs8gx0Kp47FLmNdVJ9FG3ZelhA?usp=sharing"/>
    <hyperlink ref="J1048557" r:id="rId1073" display="https://drive.google.com/drive/folders/1DRNlxn83BWIcDQxYT7x81ccGFKJv8AJo"/>
    <hyperlink ref="H1048558" r:id="rId1074" display="https://hocmai.vn/mod/scorm/view_file.php?id=181875"/>
    <hyperlink ref="I1048558" r:id="rId1075" display="https://hocmai.vn/mod/scorm/view_file.php?id=181972"/>
    <hyperlink ref="J1048558" r:id="rId1076" display="https://drive.google.com/drive/folders/1gUrva5r60XZM5xYB8o0lMIOf3J5euWNU?usp=drive_link"/>
    <hyperlink ref="H1048559" r:id="rId1077" display="https://hocmai.vn/course/Tai_lieu_bai_giang/SLKH_2627/TLHS_TOS_V-ACT_KH03.pdf"/>
    <hyperlink ref="I1048559" r:id="rId1078" display="https://hocmai.vn/file.php/3126/Bai_tap_tu_luyen/26-27/NVHT_TOV_V-ACT_KH03_Thuc_hanh_ky_nang_scan_skim_-_Chon_tu_khoa_trong_van_ban_khoa_hoc.pdf"/>
    <hyperlink ref="J1048559" r:id="rId1079" display="https://drive.google.com/drive/folders/18iwJXG0_MBWTsGk6h-d-0P1sdSJLCOhG?usp=drive_link"/>
    <hyperlink ref="H1048560" r:id="rId1080" display="https://hocmai.vn/mod/scorm/view_file.php?inpopup=true&amp;id=181852"/>
    <hyperlink ref="I1048560" r:id="rId1081" display="https://hocmai.vn/mod/scorm/view_file.php?inpopup=true&amp;id=181872"/>
    <hyperlink ref="J1048560" r:id="rId1082" display="https://drive.google.com/drive/folders/1MqVPVpPTgcqFHaRXhRkRTMunoJ4ePZ1X?usp=sharing"/>
    <hyperlink ref="M1048560" r:id="rId1083" display="https://hocmai.sharepoint.com/Education_Development/Lists/San_xuat_video/DispForm.aspx?ID=12199"/>
    <hyperlink ref="N1048560" r:id="rId1084" display="https://hocmai.vn/course/view.php?id=3313"/>
    <hyperlink ref="H1048561" r:id="rId1085" display="https://hocmai.vn/mod/scorm/view_file.php?id=181936"/>
    <hyperlink ref="J1048561" r:id="rId1086" display="https://drive.google.com/drive/folders/1H6a_VXK2aw7mQo1-mWgAen_3dDZyslMI?usp=drive_link"/>
    <hyperlink ref="M1048561" r:id="rId1087" display="https://hocmai.sharepoint.com/Education_Development/Lists/San_xuat_video/DispForm.aspx?ID=12167"/>
    <hyperlink ref="J1048562" r:id="rId1088" display="https://drive.google.com/drive/folders/1boNsHg1B2cYvBkN4uFp3Wcdfayr5zPE2?usp=drive_link"/>
    <hyperlink ref="J1048563" r:id="rId1089" display="https://drive.google.com/file/d/15SJyriCQDzSCfpz0P9uGu00JKkb0-pnM/view?usp=drive_link"/>
    <hyperlink ref="J1048564" r:id="rId1090" display="https://drive.google.com/file/d/1jv-5gcl8a3VpP1XgML60ZMxb8vx_fUlX/view?usp=drive_link"/>
    <hyperlink ref="H1048565" r:id="rId1091" display="https://hocmai.vn/mod/scorm/view_file.php?id=181963"/>
    <hyperlink ref="I1048565" r:id="rId1092" display="https://hocmai.vn/mod/scorm/view_file.php?id=181991"/>
    <hyperlink ref="J1048565" r:id="rId1093" display="https://drive.google.com/drive/folders/141m9xbSOywL8L6oqtApya_5xLNUHZuYX"/>
    <hyperlink ref="J1048566" r:id="rId1094" display="https://drive.google.com/drive/folders/1dMU8o1TU5YUbS0zWIH_81wASx_XiZJcQ?usp=drive_link"/>
    <hyperlink ref="J1048567" r:id="rId1095" display="https://drive.google.com/drive/folders/1yFlODWMA6w-RQY7g6vEZoNBTgFZD_Da-"/>
    <hyperlink ref="J1048568" r:id="rId1096" display="https://drive.google.com/drive/folders/1BJ8eto49X334xZG-HaT7LwY4cR0Zk5D9"/>
    <hyperlink ref="J1048569" r:id="rId1097" display="https://drive.google.com/drive/folders/1W7N3HfS2mH4UMDGdRUXVpKeaWH92gaYZ?usp=drive_link"/>
    <hyperlink ref="P1048569" r:id="rId1098" display="https://hocmai.vn/bai-giang-truc-tuyen/174809/.html"/>
    <hyperlink ref="J1048570" r:id="rId1099" display="https://drive.google.com/drive/folders/1FuddXzE98FIkbAbXFhGCZYpVCkeWUZm7"/>
    <hyperlink ref="P1048570" r:id="rId1100" display="https://hocmai.vn/bai-giang-truc-tuyen/174807/.html"/>
    <hyperlink ref="J1048571" r:id="rId1101" display="https://drive.google.com/drive/folders/16i-y0uBTkjr_ZhzKSG6bJvEq37D-vn8y?usp=drive_link"/>
    <hyperlink ref="P1048571" r:id="rId1102" display="https://hocmai.vn/bai-giang-truc-tuyen/174810/.html"/>
    <hyperlink ref="H1048572" r:id="rId1103" display="https://hocmai.vn/file.php/3110/Nam_hoc_2026_-_2027/VAT_LI/TAI_LIEU_HOC_SINH/TLHS_TOV_TSA_L04._Luc_va_cac_dinh_luat_Newton_trong_mo_hinh_hoa_hien_tuong.pdf"/>
    <hyperlink ref="I1048572" r:id="rId1104" display="https://hocmai.vn/file.php/3110/Nam_hoc_2026_-_2027/VAT_LI/BTTL/BTTL_TOV_TSA_L04._Luc_va_cac_dinh_luat_Newton_trong_mo_hinh_hoa_hien_tuong.pdf"/>
    <hyperlink ref="J1048572" r:id="rId1105" display="https://drive.google.com/drive/folders/1Qmw5yyGI0cXG_h-OdoRy8r4WKrd7oTjj"/>
    <hyperlink ref="J1048573" r:id="rId1106" display="https://drive.google.com/drive/folders/1PpoyVK_pjONykBCt40S93-1ljfkxUneJ?usp=drive_link"/>
    <hyperlink ref="H1048574" r:id="rId1107" display="https://hocmai.vn/file.php/3119/NAM_HOC_2026_-_2027/Tai_lieu_live/TLHS_TOV_HSA_VL04._Cong_-_Nang_luong_-_Cong_suat_va_dinh_luat_bao_toan.pdf"/>
    <hyperlink ref="I1048574" r:id="rId1108" display="https://hocmai.vn/file.php/3119/NAM_HOC_2026_-_2027/BTTL/BTTL_TOV_HSA_VL04._Cong_-_Nang_luong_-_Cong_suat_va_dinh_luat_bao_toan.pdf"/>
    <hyperlink ref="J1048574" r:id="rId1109" display="https://drive.google.com/drive/folders/16TwB2756MgRqHrD-hHIQ6EGCAdXUTR5z"/>
    <hyperlink ref="N1048574" r:id="rId1110" display="https://hocmai.vn/course/view.php?id=3119&amp;edit=on&amp;sesskey=4KPJGukykI"/>
    <hyperlink ref="J1048575" r:id="rId1111" display="https://drive.google.com/drive/folders/1MnpHSYyltDdHVXY7HB8z16suNRxFITsR?usp=sharing"/>
    <hyperlink ref="J1048576" r:id="rId1112" display="https://drive.google.com/drive/folders/1SORfzSmrfNfY8lP3BBXg5JlQNE-zDnuv"/>
    <hyperlink ref="P1048576" r:id="rId1113" display="https://hocmai.vn/bai-giang-truc-tuyen/174808/.html"/>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114"/>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2026-07-31T15:48:34Z</dcterms:modified>
  <cp:revision>1</cp:revision>
  <dc:subject/>
  <dc:title/>
</cp:coreProperties>
</file>